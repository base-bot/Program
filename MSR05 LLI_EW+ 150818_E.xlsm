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drawings/drawing4.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drawings/drawing5.xml" ContentType="application/vnd.openxmlformats-officedocument.drawing+xml"/>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drawings/drawing6.xml" ContentType="application/vnd.openxmlformats-officedocument.drawing+xml"/>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drawings/drawing7.xml" ContentType="application/vnd.openxmlformats-officedocument.drawing+xml"/>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https://mountingsystems-my.sharepoint.com/personal/b_saridar_mounting-systems_com/Documents/StructuralReferences/Statik/"/>
    </mc:Choice>
  </mc:AlternateContent>
  <xr:revisionPtr revIDLastSave="6" documentId="11_5811F43B403F6CE03B0299C791FE25180D6BE649" xr6:coauthVersionLast="46" xr6:coauthVersionMax="46" xr10:uidLastSave="{A8B7871C-E03C-4872-BB63-EE8C5AA80656}"/>
  <bookViews>
    <workbookView xWindow="38280" yWindow="-120" windowWidth="38640" windowHeight="21240" activeTab="3" xr2:uid="{00000000-000D-0000-FFFF-FFFF00000000}"/>
  </bookViews>
  <sheets>
    <sheet name="Eingabe" sheetId="21" r:id="rId1"/>
    <sheet name="building data" sheetId="4" r:id="rId2"/>
    <sheet name="wind load calc" sheetId="14" r:id="rId3"/>
    <sheet name="DIN EN 1991-1-4 (DE)" sheetId="19" r:id="rId4"/>
    <sheet name="Annex A.3" sheetId="20" r:id="rId5"/>
    <sheet name="ASCE 7-05 (US)" sheetId="18" r:id="rId6"/>
    <sheet name="ASCE 7-10 (US)" sheetId="17" r:id="rId7"/>
    <sheet name="internal presets fc" sheetId="12"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Bild" localSheetId="0">INDIRECT("Bilder!A"&amp;[1]Auflastberechnung!$B$202)</definedName>
    <definedName name="Bild">INDIRECT("Bilder!A"&amp;[2]Auflastberechnung!$B$202)</definedName>
    <definedName name="Bild01">INDIRECT("Bilder!A"&amp;[3]Auflastberechnung!$B$202)</definedName>
    <definedName name="DB">'[4]NP EN 1991-1-4 (PT)'!$F$69:$F$71</definedName>
    <definedName name="Hoehe" localSheetId="4">[5]Eingabe!$E$17</definedName>
    <definedName name="Hoehe" localSheetId="3">[6]Eingabe!$E$17</definedName>
    <definedName name="Hoehe">[7]Eingabe!$E$17</definedName>
    <definedName name="Master_Matrix" localSheetId="0">'[8]Master Matrix'!$C$4:$AW$242</definedName>
    <definedName name="Master_Matrix">'[9]Master Matrix'!$C$4:$AW$242</definedName>
    <definedName name="_xlnm.Print_Area" localSheetId="4">'Annex A.3'!$B$2:$M$49</definedName>
    <definedName name="_xlnm.Print_Area" localSheetId="5">'ASCE 7-05 (US)'!$B$2:$M$34</definedName>
    <definedName name="_xlnm.Print_Area" localSheetId="6">'ASCE 7-10 (US)'!$B$2:$M$33</definedName>
    <definedName name="_xlnm.Print_Area" localSheetId="1">'building data'!$B$2:$O$39</definedName>
    <definedName name="_xlnm.Print_Area" localSheetId="0">Eingabe!$B$2:$O$31</definedName>
    <definedName name="_xlnm.Print_Area" localSheetId="2">'wind load calc'!$B$2:$BD$68</definedName>
    <definedName name="solver_eng" localSheetId="4" hidden="1">1</definedName>
    <definedName name="solver_neg" localSheetId="4" hidden="1">1</definedName>
    <definedName name="solver_num" localSheetId="4" hidden="1">0</definedName>
    <definedName name="solver_opt" localSheetId="4" hidden="1">'Annex A.3'!$F$31</definedName>
    <definedName name="solver_typ" localSheetId="4" hidden="1">1</definedName>
    <definedName name="solver_val" localSheetId="4" hidden="1">0</definedName>
    <definedName name="solver_ver" localSheetId="4" hidden="1">3</definedName>
    <definedName name="Standort" localSheetId="4">#REF!</definedName>
    <definedName name="Standort" localSheetId="6">#REF!</definedName>
    <definedName name="Standort" localSheetId="3">'[10]NP EN 1991-1-4 (PT)'!$F$69:$F$71</definedName>
    <definedName name="Standort" localSheetId="0">'[11]NP EN 1991-1-4 (PT)'!$F$69:$F$71</definedName>
    <definedName name="Standort" localSheetId="7">#REF!</definedName>
    <definedName name="Standort" localSheetId="2">#REF!</definedName>
    <definedName name="Standort">'[10]NP EN 1991-1-4 (PT)'!$F$69:$F$71</definedName>
    <definedName name="Standort1">'[12]NP EN 1991-1-4 (PT)'!$F$69:$F$71</definedName>
    <definedName name="Standort2" localSheetId="4">#REF!</definedName>
    <definedName name="Standort2" localSheetId="3">#REF!</definedName>
    <definedName name="Standort2" localSheetId="0">#REF!</definedName>
    <definedName name="Standort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0" i="19" l="1"/>
  <c r="C18" i="4"/>
  <c r="G10" i="4" l="1"/>
  <c r="G9" i="4"/>
  <c r="C11" i="4"/>
  <c r="C10" i="4"/>
  <c r="C9" i="4"/>
  <c r="E2" i="21" l="1"/>
  <c r="I19" i="21"/>
  <c r="K26" i="21"/>
  <c r="K23" i="21"/>
  <c r="K22" i="21"/>
  <c r="K21" i="21"/>
  <c r="K20" i="21"/>
  <c r="K19" i="21"/>
  <c r="K15" i="21"/>
  <c r="K10" i="21"/>
  <c r="D26" i="21"/>
  <c r="D25" i="21"/>
  <c r="D24" i="21"/>
  <c r="D23" i="21"/>
  <c r="D22" i="21"/>
  <c r="D21" i="21"/>
  <c r="D20" i="21"/>
  <c r="D19" i="21"/>
  <c r="D15" i="21"/>
  <c r="D14" i="21"/>
  <c r="D13" i="21"/>
  <c r="D12" i="21"/>
  <c r="D11" i="21"/>
  <c r="D10" i="21"/>
  <c r="D6" i="21"/>
  <c r="C29" i="14" l="1"/>
  <c r="C21" i="14"/>
  <c r="G18" i="14"/>
  <c r="G19" i="14"/>
  <c r="C16" i="4"/>
  <c r="C23" i="4"/>
  <c r="C19" i="4"/>
  <c r="B19" i="4"/>
  <c r="C20" i="4"/>
  <c r="C21" i="4"/>
  <c r="G11" i="4"/>
  <c r="H124" i="12" l="1"/>
  <c r="G124" i="12"/>
  <c r="F124" i="12"/>
  <c r="D124" i="12"/>
  <c r="H172" i="12" l="1"/>
  <c r="F172" i="12"/>
  <c r="E172" i="12"/>
  <c r="D172" i="12"/>
  <c r="H162" i="12"/>
  <c r="G162" i="12"/>
  <c r="F162" i="12"/>
  <c r="E162" i="12"/>
  <c r="D162" i="12"/>
  <c r="H161" i="12"/>
  <c r="G161" i="12"/>
  <c r="F161" i="12"/>
  <c r="E161" i="12"/>
  <c r="D161" i="12"/>
  <c r="H160" i="12"/>
  <c r="G160" i="12"/>
  <c r="F160" i="12"/>
  <c r="E160" i="12"/>
  <c r="D160" i="12"/>
  <c r="H153" i="12"/>
  <c r="G153" i="12"/>
  <c r="F153" i="12"/>
  <c r="E153" i="12"/>
  <c r="D153" i="12"/>
  <c r="H152" i="12"/>
  <c r="G152" i="12"/>
  <c r="F152" i="12"/>
  <c r="E152" i="12"/>
  <c r="D152" i="12"/>
  <c r="H151" i="12"/>
  <c r="G151" i="12"/>
  <c r="F151" i="12"/>
  <c r="E151" i="12"/>
  <c r="D151" i="12"/>
  <c r="H150" i="12"/>
  <c r="G150" i="12"/>
  <c r="F150" i="12"/>
  <c r="E150" i="12"/>
  <c r="D150" i="12"/>
  <c r="H149" i="12"/>
  <c r="G149" i="12"/>
  <c r="F149" i="12"/>
  <c r="E149" i="12"/>
  <c r="D149" i="12"/>
  <c r="H148" i="12"/>
  <c r="G148" i="12"/>
  <c r="F148" i="12"/>
  <c r="E148" i="12"/>
  <c r="D148" i="12"/>
  <c r="H138" i="12"/>
  <c r="G138" i="12"/>
  <c r="F138" i="12"/>
  <c r="E138" i="12"/>
  <c r="D138" i="12"/>
  <c r="H137" i="12"/>
  <c r="G137" i="12"/>
  <c r="F137" i="12"/>
  <c r="E137" i="12"/>
  <c r="D137" i="12"/>
  <c r="H136" i="12"/>
  <c r="G136" i="12"/>
  <c r="F136" i="12"/>
  <c r="E136" i="12"/>
  <c r="D136" i="12"/>
  <c r="H129" i="12"/>
  <c r="G129" i="12"/>
  <c r="F129" i="12"/>
  <c r="E129" i="12"/>
  <c r="D129" i="12"/>
  <c r="H128" i="12"/>
  <c r="G128" i="12"/>
  <c r="F128" i="12"/>
  <c r="E128" i="12"/>
  <c r="D128" i="12"/>
  <c r="H127" i="12"/>
  <c r="G127" i="12"/>
  <c r="F127" i="12"/>
  <c r="E127" i="12"/>
  <c r="D127" i="12"/>
  <c r="H126" i="12"/>
  <c r="G126" i="12"/>
  <c r="F126" i="12"/>
  <c r="E126" i="12"/>
  <c r="D126" i="12"/>
  <c r="H125" i="12"/>
  <c r="G125" i="12"/>
  <c r="F125" i="12"/>
  <c r="E125" i="12"/>
  <c r="D125" i="12"/>
  <c r="E124" i="12"/>
  <c r="G172" i="12" l="1"/>
  <c r="W172" i="12"/>
  <c r="X164" i="12"/>
  <c r="V164" i="12"/>
  <c r="U164" i="12"/>
  <c r="T164" i="12"/>
  <c r="X163" i="12"/>
  <c r="V163" i="12"/>
  <c r="U163" i="12"/>
  <c r="T163" i="12"/>
  <c r="X162" i="12"/>
  <c r="V162" i="12"/>
  <c r="U162" i="12"/>
  <c r="T162" i="12"/>
  <c r="W161" i="12"/>
  <c r="W160" i="12"/>
  <c r="X153" i="12"/>
  <c r="V153" i="12"/>
  <c r="U153" i="12"/>
  <c r="T153" i="12"/>
  <c r="W152" i="12"/>
  <c r="W151" i="12"/>
  <c r="X150" i="12"/>
  <c r="V150" i="12"/>
  <c r="U150" i="12"/>
  <c r="T150" i="12"/>
  <c r="W149" i="12"/>
  <c r="W148" i="12"/>
  <c r="X141" i="12"/>
  <c r="V141" i="12"/>
  <c r="U141" i="12"/>
  <c r="T141" i="12"/>
  <c r="X140" i="12"/>
  <c r="V140" i="12"/>
  <c r="U140" i="12"/>
  <c r="T140" i="12"/>
  <c r="X139" i="12"/>
  <c r="V139" i="12"/>
  <c r="U139" i="12"/>
  <c r="T139" i="12"/>
  <c r="W138" i="12"/>
  <c r="W137" i="12"/>
  <c r="W136" i="12"/>
  <c r="W129" i="12"/>
  <c r="W128" i="12"/>
  <c r="W127" i="12"/>
  <c r="W126" i="12"/>
  <c r="W125" i="12"/>
  <c r="W124" i="12"/>
  <c r="W153" i="12" l="1"/>
  <c r="W150" i="12"/>
  <c r="E164" i="12"/>
  <c r="W139" i="12"/>
  <c r="E140" i="12"/>
  <c r="W141" i="12"/>
  <c r="W163" i="12"/>
  <c r="E163" i="12"/>
  <c r="E139" i="12"/>
  <c r="E141" i="12"/>
  <c r="W140" i="12"/>
  <c r="W162" i="12"/>
  <c r="W164" i="12"/>
  <c r="C31" i="19"/>
  <c r="F12" i="19"/>
  <c r="F11" i="19"/>
  <c r="C13" i="19"/>
  <c r="C12" i="19"/>
  <c r="B2" i="19"/>
  <c r="I91" i="14"/>
  <c r="H91" i="14"/>
  <c r="G91" i="14"/>
  <c r="F91" i="14"/>
  <c r="C47" i="19"/>
  <c r="C11" i="19"/>
  <c r="C10" i="19"/>
  <c r="C24" i="20"/>
  <c r="C12" i="20"/>
  <c r="C11" i="20"/>
  <c r="C13" i="20"/>
  <c r="F12" i="20"/>
  <c r="F11" i="20"/>
  <c r="B2" i="20"/>
  <c r="H164" i="12" l="1"/>
  <c r="H163" i="12"/>
  <c r="F164" i="12"/>
  <c r="F163" i="12"/>
  <c r="F141" i="12"/>
  <c r="F140" i="12"/>
  <c r="F139" i="12"/>
  <c r="H141" i="12"/>
  <c r="H140" i="12"/>
  <c r="H139" i="12"/>
  <c r="B53" i="20"/>
  <c r="B52" i="20"/>
  <c r="C28" i="20" s="1"/>
  <c r="B48" i="20"/>
  <c r="B45" i="20"/>
  <c r="E42" i="20"/>
  <c r="E41" i="20"/>
  <c r="E40" i="20"/>
  <c r="B39" i="20"/>
  <c r="F38" i="20"/>
  <c r="F37" i="20"/>
  <c r="E37" i="20"/>
  <c r="F36" i="20"/>
  <c r="C36" i="20"/>
  <c r="B36" i="20"/>
  <c r="F35" i="20"/>
  <c r="B35" i="20"/>
  <c r="B34" i="20"/>
  <c r="B33" i="20"/>
  <c r="E30" i="20"/>
  <c r="B30" i="20"/>
  <c r="E29" i="20"/>
  <c r="B29" i="20"/>
  <c r="B28" i="20"/>
  <c r="G27" i="20"/>
  <c r="E27" i="20"/>
  <c r="B27" i="20"/>
  <c r="G26" i="20"/>
  <c r="C35" i="20" s="1"/>
  <c r="E26" i="20"/>
  <c r="B26" i="20"/>
  <c r="E25" i="20"/>
  <c r="B25" i="20"/>
  <c r="C30" i="20"/>
  <c r="B24" i="20"/>
  <c r="B23" i="20"/>
  <c r="B19" i="20"/>
  <c r="B17" i="20"/>
  <c r="B16" i="20"/>
  <c r="E13" i="20"/>
  <c r="B13" i="20"/>
  <c r="E12" i="20"/>
  <c r="B12" i="20"/>
  <c r="E11" i="20"/>
  <c r="B11" i="20"/>
  <c r="E10" i="20"/>
  <c r="B10" i="20"/>
  <c r="B9" i="20"/>
  <c r="H8" i="20"/>
  <c r="B6" i="20"/>
  <c r="B5" i="20"/>
  <c r="I3" i="20"/>
  <c r="N2" i="20"/>
  <c r="I2" i="20"/>
  <c r="B64" i="19"/>
  <c r="H62" i="19"/>
  <c r="H61" i="19"/>
  <c r="H60" i="19"/>
  <c r="C28" i="19" s="1"/>
  <c r="H59" i="19"/>
  <c r="H58" i="19"/>
  <c r="B58" i="19"/>
  <c r="B57" i="19"/>
  <c r="O53" i="19"/>
  <c r="I53" i="19"/>
  <c r="B53" i="19"/>
  <c r="O52" i="19"/>
  <c r="I52" i="19"/>
  <c r="B52" i="19"/>
  <c r="O51" i="19"/>
  <c r="I51" i="19"/>
  <c r="B51" i="19"/>
  <c r="O50" i="19"/>
  <c r="I50" i="19"/>
  <c r="L49" i="19"/>
  <c r="K49" i="19"/>
  <c r="J49" i="19"/>
  <c r="I49" i="19"/>
  <c r="B49" i="19"/>
  <c r="B47" i="19"/>
  <c r="B46" i="19"/>
  <c r="B45" i="19"/>
  <c r="F44" i="19"/>
  <c r="B44" i="19"/>
  <c r="C43" i="19"/>
  <c r="F43" i="19" s="1"/>
  <c r="B43" i="19"/>
  <c r="C42" i="19"/>
  <c r="F42" i="19" s="1"/>
  <c r="B42" i="19"/>
  <c r="B41" i="19"/>
  <c r="B39" i="19"/>
  <c r="H36" i="19"/>
  <c r="B36" i="19"/>
  <c r="H35" i="19"/>
  <c r="D35" i="19"/>
  <c r="B35" i="19"/>
  <c r="H34" i="19"/>
  <c r="H33" i="19"/>
  <c r="H32" i="19"/>
  <c r="H31" i="19"/>
  <c r="F31" i="19"/>
  <c r="B31" i="19"/>
  <c r="H30" i="19"/>
  <c r="G30" i="19"/>
  <c r="F30" i="19"/>
  <c r="D30" i="19"/>
  <c r="B30" i="19"/>
  <c r="B29" i="19"/>
  <c r="B28" i="19"/>
  <c r="D27" i="19"/>
  <c r="B27" i="19"/>
  <c r="B26" i="19"/>
  <c r="B22" i="19"/>
  <c r="B21" i="19"/>
  <c r="B19" i="19"/>
  <c r="B18" i="19"/>
  <c r="E13" i="19"/>
  <c r="B13" i="19"/>
  <c r="E12" i="19"/>
  <c r="B12" i="19"/>
  <c r="L11" i="19"/>
  <c r="K11" i="19"/>
  <c r="J11" i="19"/>
  <c r="I11" i="19"/>
  <c r="E11" i="19"/>
  <c r="B11" i="19"/>
  <c r="I10" i="19"/>
  <c r="F10" i="19"/>
  <c r="B10" i="19"/>
  <c r="B9" i="19"/>
  <c r="B6" i="19"/>
  <c r="B5" i="19"/>
  <c r="H3" i="19"/>
  <c r="P2" i="19"/>
  <c r="H2" i="19"/>
  <c r="H17" i="20" l="1"/>
  <c r="C41" i="19"/>
  <c r="E68" i="19" s="1"/>
  <c r="D68" i="19" s="1"/>
  <c r="G139" i="12"/>
  <c r="D139" i="12"/>
  <c r="G140" i="12"/>
  <c r="D140" i="12"/>
  <c r="G141" i="12"/>
  <c r="D141" i="12"/>
  <c r="D163" i="12"/>
  <c r="D164" i="12"/>
  <c r="C34" i="20"/>
  <c r="C42" i="20" s="1"/>
  <c r="E43" i="20"/>
  <c r="E59" i="19" l="1"/>
  <c r="E60" i="19"/>
  <c r="J50" i="19" s="1"/>
  <c r="F41" i="19"/>
  <c r="E61" i="19"/>
  <c r="E62" i="19"/>
  <c r="E65" i="19"/>
  <c r="D65" i="19" s="1"/>
  <c r="E66" i="19"/>
  <c r="D66" i="19" s="1"/>
  <c r="E67" i="19"/>
  <c r="D67" i="19" s="1"/>
  <c r="C41" i="20"/>
  <c r="C38" i="20"/>
  <c r="C40" i="20"/>
  <c r="G164" i="12"/>
  <c r="G163" i="12"/>
  <c r="C37" i="20"/>
  <c r="C46" i="20"/>
  <c r="C47" i="20"/>
  <c r="E44" i="20"/>
  <c r="C48" i="20"/>
  <c r="C39" i="20"/>
  <c r="F81" i="14"/>
  <c r="H78" i="14"/>
  <c r="C44" i="20" l="1"/>
  <c r="C45" i="19"/>
  <c r="F45" i="19" s="1"/>
  <c r="C45" i="20"/>
  <c r="G35" i="20" s="1"/>
  <c r="G36" i="20" s="1"/>
  <c r="G37" i="20" s="1"/>
  <c r="G38" i="20" s="1"/>
  <c r="C19" i="20" s="1"/>
  <c r="C36" i="19" s="1"/>
  <c r="C43" i="20"/>
  <c r="F59" i="19"/>
  <c r="D79" i="14"/>
  <c r="E79" i="14" s="1"/>
  <c r="F79" i="14"/>
  <c r="C46" i="19" l="1"/>
  <c r="F46" i="19" s="1"/>
  <c r="F61" i="19"/>
  <c r="C51" i="19"/>
  <c r="F51" i="19" s="1"/>
  <c r="F62" i="19"/>
  <c r="G59" i="19"/>
  <c r="G60" i="19" l="1"/>
  <c r="C53" i="19" s="1"/>
  <c r="F53" i="19" s="1"/>
  <c r="G61" i="19"/>
  <c r="G62" i="19"/>
  <c r="C52" i="19"/>
  <c r="J51" i="19"/>
  <c r="J52" i="19" s="1"/>
  <c r="C22" i="19" s="1"/>
  <c r="F52" i="19"/>
  <c r="D23" i="4"/>
  <c r="M51" i="19" l="1"/>
  <c r="L22" i="19"/>
  <c r="F22" i="19"/>
  <c r="I22" i="19" s="1"/>
  <c r="M52" i="19"/>
  <c r="J53" i="19"/>
  <c r="E31" i="17"/>
  <c r="E32" i="18"/>
  <c r="E31" i="18"/>
  <c r="F90" i="14"/>
  <c r="C27" i="18"/>
  <c r="F39" i="18" s="1"/>
  <c r="G39" i="18" s="1"/>
  <c r="B27" i="18"/>
  <c r="B37" i="18"/>
  <c r="B36" i="18"/>
  <c r="B24" i="18"/>
  <c r="B16" i="18"/>
  <c r="F12" i="18"/>
  <c r="F11" i="18"/>
  <c r="C13" i="18"/>
  <c r="C12" i="18"/>
  <c r="C11" i="18"/>
  <c r="C10" i="18"/>
  <c r="I3" i="18"/>
  <c r="I2" i="18"/>
  <c r="B5" i="18"/>
  <c r="B2" i="18"/>
  <c r="D43" i="18"/>
  <c r="C43" i="18"/>
  <c r="B43" i="18"/>
  <c r="B42" i="18"/>
  <c r="H40" i="18"/>
  <c r="H39" i="18"/>
  <c r="H38" i="18"/>
  <c r="H37" i="18"/>
  <c r="B32" i="18"/>
  <c r="B31" i="18"/>
  <c r="E30" i="18"/>
  <c r="B30" i="18"/>
  <c r="E29" i="18"/>
  <c r="B29" i="18"/>
  <c r="E28" i="18"/>
  <c r="B28" i="18"/>
  <c r="E27" i="18"/>
  <c r="D26" i="18"/>
  <c r="B26" i="18"/>
  <c r="C25" i="18"/>
  <c r="B25" i="18"/>
  <c r="E24" i="18"/>
  <c r="B23" i="18"/>
  <c r="H19" i="18"/>
  <c r="E19" i="18"/>
  <c r="B19" i="18"/>
  <c r="B17" i="18"/>
  <c r="E13" i="18"/>
  <c r="B13" i="18"/>
  <c r="E12" i="18"/>
  <c r="B12" i="18"/>
  <c r="E11" i="18"/>
  <c r="B11" i="18"/>
  <c r="E10" i="18"/>
  <c r="B10" i="18"/>
  <c r="B9" i="18"/>
  <c r="B6" i="18"/>
  <c r="N2" i="18"/>
  <c r="M53" i="19" l="1"/>
  <c r="C21" i="19"/>
  <c r="F38" i="18"/>
  <c r="G38" i="18" s="1"/>
  <c r="C19" i="18" s="1"/>
  <c r="F19" i="18" s="1"/>
  <c r="J19" i="18" s="1"/>
  <c r="F40" i="18"/>
  <c r="G40" i="18" s="1"/>
  <c r="E91" i="14" l="1"/>
  <c r="L21" i="19"/>
  <c r="F21" i="19"/>
  <c r="I21" i="19" s="1"/>
  <c r="E90" i="14"/>
  <c r="E29" i="17"/>
  <c r="E30" i="17"/>
  <c r="E27" i="17"/>
  <c r="B16" i="17"/>
  <c r="B36" i="17"/>
  <c r="B35" i="17"/>
  <c r="B27" i="17"/>
  <c r="D16" i="4"/>
  <c r="B23" i="4"/>
  <c r="E36" i="4"/>
  <c r="E28" i="4"/>
  <c r="B29" i="4"/>
  <c r="BA27" i="14" l="1"/>
  <c r="BA39" i="14" s="1"/>
  <c r="B24" i="17"/>
  <c r="I3" i="4" l="1"/>
  <c r="I2" i="4"/>
  <c r="I3" i="17"/>
  <c r="I2" i="17"/>
  <c r="B5" i="17"/>
  <c r="B5" i="4"/>
  <c r="F9" i="14" l="1"/>
  <c r="H13" i="14" s="1"/>
  <c r="F10" i="14"/>
  <c r="F11" i="14"/>
  <c r="D17" i="4"/>
  <c r="D19" i="4"/>
  <c r="B32" i="4"/>
  <c r="B33" i="4"/>
  <c r="N9" i="4"/>
  <c r="M9" i="4"/>
  <c r="M8" i="4"/>
  <c r="B28" i="4"/>
  <c r="G27" i="4"/>
  <c r="D32" i="4"/>
  <c r="B22" i="4"/>
  <c r="B21" i="4"/>
  <c r="B20" i="4"/>
  <c r="B18" i="4"/>
  <c r="B16" i="4"/>
  <c r="B15" i="4"/>
  <c r="C77" i="14" l="1"/>
  <c r="C78" i="14"/>
  <c r="G78" i="14"/>
  <c r="B77" i="14"/>
  <c r="C79" i="14"/>
  <c r="C81" i="14"/>
  <c r="B81" i="14"/>
  <c r="C82" i="14"/>
  <c r="B72" i="14"/>
  <c r="D22" i="14"/>
  <c r="F21" i="14"/>
  <c r="B59" i="14"/>
  <c r="P21" i="14"/>
  <c r="T21" i="14"/>
  <c r="B8" i="14"/>
  <c r="G47" i="14"/>
  <c r="H47" i="14"/>
  <c r="F47" i="14"/>
  <c r="E88" i="14"/>
  <c r="G88" i="14"/>
  <c r="B42" i="14"/>
  <c r="C86" i="14"/>
  <c r="B84" i="14"/>
  <c r="C73" i="14"/>
  <c r="F46" i="14"/>
  <c r="AF21" i="14"/>
  <c r="I54" i="14"/>
  <c r="F51" i="14"/>
  <c r="B46" i="14"/>
  <c r="B30" i="14"/>
  <c r="B26" i="14"/>
  <c r="F19" i="14"/>
  <c r="B20" i="14"/>
  <c r="B39" i="14"/>
  <c r="C85" i="14"/>
  <c r="C72" i="14"/>
  <c r="I57" i="14"/>
  <c r="I53" i="14"/>
  <c r="B36" i="14"/>
  <c r="F18" i="14"/>
  <c r="F42" i="14"/>
  <c r="F84" i="14"/>
  <c r="C75" i="14"/>
  <c r="G70" i="14"/>
  <c r="I56" i="14"/>
  <c r="I52" i="14"/>
  <c r="E51" i="14"/>
  <c r="B35" i="14"/>
  <c r="B15" i="14"/>
  <c r="B24" i="14"/>
  <c r="D21" i="14"/>
  <c r="B18" i="14"/>
  <c r="H88" i="14"/>
  <c r="F39" i="14"/>
  <c r="D84" i="14"/>
  <c r="C84" i="14"/>
  <c r="C74" i="14"/>
  <c r="F70" i="14"/>
  <c r="I55" i="14"/>
  <c r="G51" i="14"/>
  <c r="B51" i="14"/>
  <c r="B31" i="14"/>
  <c r="B28" i="14"/>
  <c r="F20" i="14"/>
  <c r="B21" i="14"/>
  <c r="B16" i="14"/>
  <c r="H75" i="14"/>
  <c r="I59" i="14"/>
  <c r="H51" i="14"/>
  <c r="B29" i="14"/>
  <c r="B25" i="14"/>
  <c r="B19" i="14"/>
  <c r="B12" i="14"/>
  <c r="B10" i="14"/>
  <c r="E10" i="14"/>
  <c r="B38" i="14"/>
  <c r="D88" i="14"/>
  <c r="B11" i="14"/>
  <c r="E11" i="14"/>
  <c r="B41" i="14"/>
  <c r="I88" i="14"/>
  <c r="F40" i="14"/>
  <c r="J3" i="14"/>
  <c r="B40" i="14"/>
  <c r="J2" i="14"/>
  <c r="F43" i="14"/>
  <c r="B43" i="14"/>
  <c r="B5" i="14"/>
  <c r="U16" i="14"/>
  <c r="E12" i="14"/>
  <c r="H38" i="14"/>
  <c r="F88" i="14"/>
  <c r="B9" i="14"/>
  <c r="E9" i="14"/>
  <c r="C88" i="14"/>
  <c r="U15" i="14"/>
  <c r="B9" i="4"/>
  <c r="E12" i="4"/>
  <c r="E11" i="4"/>
  <c r="E10" i="4"/>
  <c r="E9" i="4"/>
  <c r="B12" i="4"/>
  <c r="B11" i="4"/>
  <c r="B10" i="4"/>
  <c r="B8" i="4"/>
  <c r="P2" i="4"/>
  <c r="B3" i="4"/>
  <c r="B4" i="4"/>
  <c r="B3" i="18" l="1"/>
  <c r="B3" i="19"/>
  <c r="B3" i="20"/>
  <c r="AB21" i="14"/>
  <c r="AI21" i="14"/>
  <c r="X21" i="14"/>
  <c r="AM21" i="14"/>
  <c r="B4" i="12"/>
  <c r="B4" i="18"/>
  <c r="D91" i="14"/>
  <c r="F89" i="14"/>
  <c r="G43" i="14"/>
  <c r="G40" i="14"/>
  <c r="T165" i="12" l="1"/>
  <c r="V165" i="12"/>
  <c r="U165" i="12"/>
  <c r="X165" i="12"/>
  <c r="W165" i="12" l="1"/>
  <c r="E165" i="12"/>
  <c r="H43" i="14"/>
  <c r="H40" i="14"/>
  <c r="K28" i="4"/>
  <c r="M12" i="4"/>
  <c r="C27" i="17"/>
  <c r="F39" i="17" s="1"/>
  <c r="G39" i="17" s="1"/>
  <c r="F12" i="17"/>
  <c r="F11" i="17"/>
  <c r="C13" i="17"/>
  <c r="C12" i="17"/>
  <c r="C11" i="17"/>
  <c r="C10" i="17"/>
  <c r="B2" i="17"/>
  <c r="H39" i="17"/>
  <c r="H38" i="17"/>
  <c r="H37" i="17"/>
  <c r="C25" i="17" s="1"/>
  <c r="H36" i="17"/>
  <c r="B31" i="17"/>
  <c r="B30" i="17"/>
  <c r="B29" i="17"/>
  <c r="L28" i="17"/>
  <c r="K28" i="17"/>
  <c r="J28" i="17"/>
  <c r="I28" i="17"/>
  <c r="H28" i="17"/>
  <c r="G28" i="17"/>
  <c r="F28" i="17"/>
  <c r="E28" i="17"/>
  <c r="B28" i="17"/>
  <c r="D26" i="17"/>
  <c r="B26" i="17"/>
  <c r="B25" i="17"/>
  <c r="E24" i="17"/>
  <c r="B23" i="17"/>
  <c r="H19" i="17"/>
  <c r="E19" i="17"/>
  <c r="B19" i="17"/>
  <c r="B17" i="17"/>
  <c r="E13" i="17"/>
  <c r="B13" i="17"/>
  <c r="E12" i="17"/>
  <c r="B12" i="17"/>
  <c r="E11" i="17"/>
  <c r="B11" i="17"/>
  <c r="E10" i="17"/>
  <c r="B10" i="17"/>
  <c r="B9" i="17"/>
  <c r="B6" i="17"/>
  <c r="N2" i="17"/>
  <c r="C91" i="14" l="1"/>
  <c r="L15" i="21"/>
  <c r="H165" i="12"/>
  <c r="F165" i="12"/>
  <c r="F38" i="17"/>
  <c r="G38" i="17" s="1"/>
  <c r="F37" i="17"/>
  <c r="G37" i="17" s="1"/>
  <c r="C19" i="17" s="1"/>
  <c r="D165" i="12" l="1"/>
  <c r="F19" i="17"/>
  <c r="J19" i="17" s="1"/>
  <c r="E89" i="14"/>
  <c r="G165" i="12" l="1"/>
  <c r="B3" i="17"/>
  <c r="B4" i="17"/>
  <c r="BA48" i="14"/>
  <c r="D17" i="12" l="1"/>
  <c r="H39" i="14"/>
  <c r="D16" i="12" l="1"/>
  <c r="H42" i="14"/>
  <c r="G39" i="14" l="1"/>
  <c r="F72" i="14" s="1"/>
  <c r="G42" i="14"/>
  <c r="G72" i="14" s="1"/>
  <c r="B4" i="14" l="1"/>
  <c r="I73" i="14"/>
  <c r="D75" i="14" s="1"/>
  <c r="D90" i="14" l="1"/>
  <c r="C90" i="14"/>
  <c r="I38" i="4" l="1"/>
  <c r="D21" i="12" l="1"/>
  <c r="C21" i="12"/>
  <c r="D88" i="12" s="1"/>
  <c r="E93" i="12" l="1"/>
  <c r="F92" i="12"/>
  <c r="D92" i="12"/>
  <c r="E91" i="12"/>
  <c r="F90" i="12"/>
  <c r="D90" i="12"/>
  <c r="E89" i="12"/>
  <c r="F88" i="12"/>
  <c r="F93" i="12"/>
  <c r="D93" i="12"/>
  <c r="E92" i="12"/>
  <c r="F91" i="12"/>
  <c r="D91" i="12"/>
  <c r="E90" i="12"/>
  <c r="F89" i="12"/>
  <c r="D89" i="12"/>
  <c r="E88" i="12"/>
  <c r="D20" i="12"/>
  <c r="G93" i="12" l="1"/>
  <c r="G89" i="12"/>
  <c r="G91" i="12"/>
  <c r="G92" i="12"/>
  <c r="B2" i="12" l="1"/>
  <c r="B3" i="12"/>
  <c r="C20" i="12" l="1"/>
  <c r="C17" i="12"/>
  <c r="D77" i="12" l="1"/>
  <c r="D112" i="12"/>
  <c r="D100" i="12" s="1"/>
  <c r="D76" i="12"/>
  <c r="H88" i="12"/>
  <c r="H89" i="12"/>
  <c r="D113" i="12"/>
  <c r="D101" i="12" s="1"/>
  <c r="E81" i="12"/>
  <c r="F80" i="12"/>
  <c r="D80" i="12"/>
  <c r="E79" i="12"/>
  <c r="F78" i="12"/>
  <c r="D78" i="12"/>
  <c r="E77" i="12"/>
  <c r="G77" i="12" s="1"/>
  <c r="F76" i="12"/>
  <c r="E117" i="12"/>
  <c r="E105" i="12" s="1"/>
  <c r="F116" i="12"/>
  <c r="F104" i="12" s="1"/>
  <c r="D116" i="12"/>
  <c r="E115" i="12"/>
  <c r="E103" i="12" s="1"/>
  <c r="F114" i="12"/>
  <c r="F102" i="12" s="1"/>
  <c r="D114" i="12"/>
  <c r="D102" i="12" s="1"/>
  <c r="F112" i="12"/>
  <c r="F100" i="12" s="1"/>
  <c r="F81" i="12"/>
  <c r="D81" i="12"/>
  <c r="E80" i="12"/>
  <c r="F79" i="12"/>
  <c r="D79" i="12"/>
  <c r="G79" i="12" s="1"/>
  <c r="E78" i="12"/>
  <c r="F77" i="12"/>
  <c r="E76" i="12"/>
  <c r="F117" i="12"/>
  <c r="F105" i="12" s="1"/>
  <c r="D117" i="12"/>
  <c r="E116" i="12"/>
  <c r="E104" i="12" s="1"/>
  <c r="F115" i="12"/>
  <c r="F103" i="12" s="1"/>
  <c r="D115" i="12"/>
  <c r="E114" i="12"/>
  <c r="E102" i="12" s="1"/>
  <c r="F113" i="12"/>
  <c r="F101" i="12" s="1"/>
  <c r="E112" i="12"/>
  <c r="E100" i="12" s="1"/>
  <c r="E113" i="12"/>
  <c r="E101" i="12" s="1"/>
  <c r="H92" i="12"/>
  <c r="H90" i="12"/>
  <c r="H93" i="12"/>
  <c r="H91" i="12"/>
  <c r="C16" i="12"/>
  <c r="H77" i="12" l="1"/>
  <c r="H112" i="12"/>
  <c r="G81" i="12"/>
  <c r="J81" i="12" s="1"/>
  <c r="J77" i="12"/>
  <c r="J79" i="12"/>
  <c r="G113" i="12"/>
  <c r="G101" i="12"/>
  <c r="J101" i="12" s="1"/>
  <c r="D105" i="12"/>
  <c r="G105" i="12" s="1"/>
  <c r="J105" i="12" s="1"/>
  <c r="G117" i="12"/>
  <c r="D103" i="12"/>
  <c r="G103" i="12" s="1"/>
  <c r="J103" i="12" s="1"/>
  <c r="G115" i="12"/>
  <c r="D104" i="12"/>
  <c r="G104" i="12" s="1"/>
  <c r="J104" i="12" s="1"/>
  <c r="G116" i="12"/>
  <c r="G80" i="12"/>
  <c r="J80" i="12" s="1"/>
  <c r="H80" i="12"/>
  <c r="H78" i="12"/>
  <c r="H116" i="12"/>
  <c r="H104" i="12" s="1"/>
  <c r="H114" i="12"/>
  <c r="H102" i="12" s="1"/>
  <c r="H81" i="12"/>
  <c r="H117" i="12"/>
  <c r="H105" i="12" s="1"/>
  <c r="H115" i="12"/>
  <c r="H113" i="12"/>
  <c r="H101" i="12" s="1"/>
  <c r="G102" i="12"/>
  <c r="J102" i="12" s="1"/>
  <c r="G114" i="12"/>
  <c r="H68" i="12" l="1"/>
  <c r="H56" i="12" s="1"/>
  <c r="H66" i="12"/>
  <c r="H54" i="12" s="1"/>
  <c r="H65" i="12"/>
  <c r="H53" i="12" s="1"/>
  <c r="H69" i="12"/>
  <c r="H57" i="12" s="1"/>
  <c r="G78" i="12"/>
  <c r="J78" i="12" s="1"/>
  <c r="G90" i="12"/>
  <c r="G100" i="12"/>
  <c r="J100" i="12" s="1"/>
  <c r="G112" i="12"/>
  <c r="G88" i="12"/>
  <c r="G76" i="12" l="1"/>
  <c r="J76" i="12" s="1"/>
  <c r="E75" i="14" l="1"/>
  <c r="F75" i="14" s="1"/>
  <c r="H42" i="12" l="1"/>
  <c r="H45" i="12"/>
  <c r="H41" i="12"/>
  <c r="H44" i="12"/>
  <c r="G75" i="14"/>
  <c r="C30" i="14"/>
  <c r="D85" i="14" l="1"/>
  <c r="F85" i="14"/>
  <c r="H30" i="12"/>
  <c r="H29" i="12"/>
  <c r="H32" i="12"/>
  <c r="H33" i="12"/>
  <c r="F12" i="12"/>
  <c r="C12" i="12"/>
  <c r="C11" i="12"/>
  <c r="F10" i="12"/>
  <c r="C10" i="12"/>
  <c r="F9" i="12"/>
  <c r="C9" i="12"/>
  <c r="D89" i="14"/>
  <c r="C89" i="14"/>
  <c r="C12" i="14"/>
  <c r="F49" i="14"/>
  <c r="C11" i="14"/>
  <c r="C10" i="14"/>
  <c r="C9" i="14"/>
  <c r="B2" i="14"/>
  <c r="B37" i="12" l="1"/>
  <c r="R172" i="12"/>
  <c r="R157" i="12"/>
  <c r="R121" i="12"/>
  <c r="J169" i="12"/>
  <c r="J145" i="12"/>
  <c r="R169" i="12"/>
  <c r="R145" i="12"/>
  <c r="R133" i="12"/>
  <c r="J172" i="12"/>
  <c r="J157" i="12"/>
  <c r="J133" i="12"/>
  <c r="J121" i="12"/>
  <c r="B28" i="12"/>
  <c r="B31" i="12"/>
  <c r="B145" i="12"/>
  <c r="B133" i="12"/>
  <c r="B109" i="12"/>
  <c r="B49" i="12"/>
  <c r="D2" i="12"/>
  <c r="C30" i="12"/>
  <c r="B5" i="12"/>
  <c r="C28" i="12"/>
  <c r="C29" i="12"/>
  <c r="D3" i="12"/>
  <c r="E12" i="12"/>
  <c r="B12" i="12"/>
  <c r="B8" i="12"/>
  <c r="E11" i="12"/>
  <c r="B11" i="12"/>
  <c r="E10" i="12"/>
  <c r="B10" i="12"/>
  <c r="E9" i="12"/>
  <c r="B9" i="12"/>
  <c r="P58" i="14"/>
  <c r="N29" i="14"/>
  <c r="L27" i="14"/>
  <c r="AY29" i="14"/>
  <c r="P27" i="14"/>
  <c r="H26" i="12"/>
  <c r="B61" i="12"/>
  <c r="B85" i="12"/>
  <c r="B157" i="12"/>
  <c r="B172" i="12"/>
  <c r="D26" i="12"/>
  <c r="B25" i="12"/>
  <c r="B73" i="12"/>
  <c r="B97" i="12"/>
  <c r="B121" i="12"/>
  <c r="B169" i="12"/>
  <c r="B20" i="12"/>
  <c r="B16" i="12"/>
  <c r="D15" i="12"/>
  <c r="D19" i="12" s="1"/>
  <c r="G49" i="14"/>
  <c r="H49" i="14"/>
  <c r="B21" i="12"/>
  <c r="B15" i="12"/>
  <c r="B19" i="12"/>
  <c r="B17" i="12"/>
  <c r="G20" i="14"/>
  <c r="C18" i="14" s="1"/>
  <c r="C20" i="14" s="1"/>
  <c r="X158" i="12" l="1"/>
  <c r="X122" i="12"/>
  <c r="P170" i="12"/>
  <c r="P146" i="12"/>
  <c r="X170" i="12"/>
  <c r="X146" i="12"/>
  <c r="X134" i="12"/>
  <c r="P158" i="12"/>
  <c r="P134" i="12"/>
  <c r="P122" i="12"/>
  <c r="S161" i="12"/>
  <c r="S125" i="12"/>
  <c r="K164" i="12"/>
  <c r="K161" i="12"/>
  <c r="K140" i="12"/>
  <c r="K137" i="12"/>
  <c r="S164" i="12"/>
  <c r="S152" i="12"/>
  <c r="S149" i="12"/>
  <c r="S140" i="12"/>
  <c r="S137" i="12"/>
  <c r="S128" i="12"/>
  <c r="K152" i="12"/>
  <c r="K149" i="12"/>
  <c r="K128" i="12"/>
  <c r="K125" i="12"/>
  <c r="R148" i="12"/>
  <c r="R136" i="12"/>
  <c r="J160" i="12"/>
  <c r="R160" i="12"/>
  <c r="R124" i="12"/>
  <c r="J148" i="12"/>
  <c r="J124" i="12"/>
  <c r="J136" i="12"/>
  <c r="D38" i="12"/>
  <c r="T170" i="12"/>
  <c r="T146" i="12"/>
  <c r="T134" i="12"/>
  <c r="L158" i="12"/>
  <c r="T158" i="12"/>
  <c r="T122" i="12"/>
  <c r="L170" i="12"/>
  <c r="L146" i="12"/>
  <c r="L122" i="12"/>
  <c r="L134" i="12"/>
  <c r="S163" i="12"/>
  <c r="S160" i="12"/>
  <c r="S139" i="12"/>
  <c r="S124" i="12"/>
  <c r="K151" i="12"/>
  <c r="K148" i="12"/>
  <c r="K124" i="12"/>
  <c r="S151" i="12"/>
  <c r="S148" i="12"/>
  <c r="S136" i="12"/>
  <c r="S127" i="12"/>
  <c r="K163" i="12"/>
  <c r="K160" i="12"/>
  <c r="K139" i="12"/>
  <c r="K136" i="12"/>
  <c r="K127" i="12"/>
  <c r="S165" i="12"/>
  <c r="S162" i="12"/>
  <c r="S141" i="12"/>
  <c r="S126" i="12"/>
  <c r="K153" i="12"/>
  <c r="K150" i="12"/>
  <c r="K129" i="12"/>
  <c r="S153" i="12"/>
  <c r="S150" i="12"/>
  <c r="S138" i="12"/>
  <c r="S129" i="12"/>
  <c r="K165" i="12"/>
  <c r="K162" i="12"/>
  <c r="K141" i="12"/>
  <c r="K138" i="12"/>
  <c r="K126" i="12"/>
  <c r="R151" i="12"/>
  <c r="R127" i="12"/>
  <c r="J163" i="12"/>
  <c r="J139" i="12"/>
  <c r="R163" i="12"/>
  <c r="R139" i="12"/>
  <c r="J151" i="12"/>
  <c r="J127" i="12"/>
  <c r="C79" i="12"/>
  <c r="C76" i="12"/>
  <c r="C67" i="12"/>
  <c r="C64" i="12"/>
  <c r="C55" i="12"/>
  <c r="C52" i="12"/>
  <c r="C43" i="12"/>
  <c r="C31" i="12"/>
  <c r="E55" i="14" s="1"/>
  <c r="X29" i="14" s="1"/>
  <c r="C163" i="12"/>
  <c r="C160" i="12"/>
  <c r="C151" i="12"/>
  <c r="C148" i="12"/>
  <c r="C139" i="12"/>
  <c r="C136" i="12"/>
  <c r="C124" i="12"/>
  <c r="C115" i="12"/>
  <c r="C112" i="12"/>
  <c r="C103" i="12"/>
  <c r="C100" i="12"/>
  <c r="C127" i="12"/>
  <c r="C88" i="12"/>
  <c r="C91" i="12"/>
  <c r="B160" i="12"/>
  <c r="B148" i="12"/>
  <c r="B136" i="12"/>
  <c r="B124" i="12"/>
  <c r="B112" i="12"/>
  <c r="B100" i="12"/>
  <c r="B88" i="12"/>
  <c r="B76" i="12"/>
  <c r="B64" i="12"/>
  <c r="B52" i="12"/>
  <c r="C164" i="12"/>
  <c r="C161" i="12"/>
  <c r="C152" i="12"/>
  <c r="C149" i="12"/>
  <c r="C140" i="12"/>
  <c r="C137" i="12"/>
  <c r="C128" i="12"/>
  <c r="C125" i="12"/>
  <c r="C116" i="12"/>
  <c r="C113" i="12"/>
  <c r="C104" i="12"/>
  <c r="C101" i="12"/>
  <c r="C92" i="12"/>
  <c r="C89" i="12"/>
  <c r="C80" i="12"/>
  <c r="C77" i="12"/>
  <c r="C68" i="12"/>
  <c r="C65" i="12"/>
  <c r="C56" i="12"/>
  <c r="C53" i="12"/>
  <c r="C32" i="12"/>
  <c r="E56" i="14" s="1"/>
  <c r="E53" i="14"/>
  <c r="P39" i="14" s="1"/>
  <c r="C44" i="12"/>
  <c r="C165" i="12"/>
  <c r="C162" i="12"/>
  <c r="C153" i="12"/>
  <c r="C150" i="12"/>
  <c r="C141" i="12"/>
  <c r="C138" i="12"/>
  <c r="C129" i="12"/>
  <c r="C126" i="12"/>
  <c r="C117" i="12"/>
  <c r="C114" i="12"/>
  <c r="C105" i="12"/>
  <c r="C102" i="12"/>
  <c r="C93" i="12"/>
  <c r="C90" i="12"/>
  <c r="C81" i="12"/>
  <c r="C78" i="12"/>
  <c r="C69" i="12"/>
  <c r="C66" i="12"/>
  <c r="C57" i="12"/>
  <c r="C54" i="12"/>
  <c r="C33" i="12"/>
  <c r="E57" i="14" s="1"/>
  <c r="C45" i="12"/>
  <c r="B55" i="14"/>
  <c r="B163" i="12"/>
  <c r="B151" i="12"/>
  <c r="B139" i="12"/>
  <c r="B127" i="12"/>
  <c r="B115" i="12"/>
  <c r="B103" i="12"/>
  <c r="B91" i="12"/>
  <c r="B43" i="12"/>
  <c r="B79" i="12"/>
  <c r="B67" i="12"/>
  <c r="B55" i="12"/>
  <c r="C42" i="12"/>
  <c r="C41" i="12"/>
  <c r="C40" i="12"/>
  <c r="H38" i="12"/>
  <c r="H50" i="12"/>
  <c r="H170" i="12"/>
  <c r="L58" i="14"/>
  <c r="N19" i="14"/>
  <c r="AY19" i="14"/>
  <c r="B40" i="12"/>
  <c r="D170" i="12"/>
  <c r="D50" i="12"/>
  <c r="D158" i="12"/>
  <c r="D146" i="12"/>
  <c r="D134" i="12"/>
  <c r="D122" i="12"/>
  <c r="D110" i="12"/>
  <c r="D98" i="12"/>
  <c r="D86" i="12"/>
  <c r="D74" i="12"/>
  <c r="D62" i="12"/>
  <c r="H146" i="12"/>
  <c r="H98" i="12"/>
  <c r="H74" i="12"/>
  <c r="H158" i="12"/>
  <c r="H134" i="12"/>
  <c r="H110" i="12"/>
  <c r="H86" i="12"/>
  <c r="H62" i="12"/>
  <c r="H122" i="12"/>
  <c r="E54" i="14"/>
  <c r="P41" i="14" s="1"/>
  <c r="E52" i="14"/>
  <c r="P29" i="14" s="1"/>
  <c r="B52" i="14"/>
  <c r="AU21" i="14" s="1"/>
  <c r="AB41" i="14" l="1"/>
  <c r="AI41" i="14"/>
  <c r="AI39" i="14"/>
  <c r="AI46" i="14"/>
  <c r="AI29" i="14"/>
  <c r="AI48" i="14"/>
  <c r="AB39" i="14"/>
  <c r="AB46" i="14"/>
  <c r="AB29" i="14"/>
  <c r="AB48" i="14"/>
  <c r="AQ21" i="14"/>
  <c r="AU41" i="14"/>
  <c r="AM41" i="14"/>
  <c r="T41" i="14"/>
  <c r="AF41" i="14"/>
  <c r="AQ41" i="14"/>
  <c r="X41" i="14"/>
  <c r="AF46" i="14"/>
  <c r="AQ39" i="14"/>
  <c r="X39" i="14"/>
  <c r="AU46" i="14"/>
  <c r="AM46" i="14"/>
  <c r="T46" i="14"/>
  <c r="AF39" i="14"/>
  <c r="AU39" i="14"/>
  <c r="AM39" i="14"/>
  <c r="T39" i="14"/>
  <c r="AQ46" i="14"/>
  <c r="X46" i="14"/>
  <c r="P46" i="14"/>
  <c r="T29" i="14"/>
  <c r="P48" i="14"/>
  <c r="T48" i="14"/>
  <c r="AU29" i="14"/>
  <c r="AM29" i="14"/>
  <c r="AF29" i="14"/>
  <c r="AU48" i="14"/>
  <c r="AM48" i="14"/>
  <c r="AF48" i="14"/>
  <c r="X48" i="14"/>
  <c r="AQ29" i="14"/>
  <c r="AQ48" i="14"/>
  <c r="D86" i="14"/>
  <c r="F86" i="14"/>
  <c r="E38" i="4" l="1"/>
  <c r="K36" i="4"/>
  <c r="G12" i="4" l="1"/>
  <c r="F13" i="20" l="1"/>
  <c r="F13" i="19"/>
  <c r="F12" i="14"/>
  <c r="I47" i="14" s="1"/>
  <c r="F13" i="18"/>
  <c r="F13" i="17"/>
  <c r="B3" i="14"/>
  <c r="C22" i="4" l="1"/>
  <c r="F11" i="12" l="1"/>
  <c r="C26" i="14" l="1"/>
  <c r="C25" i="14" l="1"/>
  <c r="F57" i="14" l="1"/>
  <c r="F54" i="14"/>
  <c r="F53" i="14"/>
  <c r="F56" i="14"/>
  <c r="J69" i="12" l="1"/>
  <c r="J66" i="12"/>
  <c r="J67" i="12"/>
  <c r="J68" i="12"/>
  <c r="F68" i="12" s="1"/>
  <c r="J65" i="12"/>
  <c r="J64" i="12"/>
  <c r="D64" i="12" s="1"/>
  <c r="D52" i="12" l="1"/>
  <c r="D40" i="12" s="1"/>
  <c r="D28" i="12" s="1"/>
  <c r="D65" i="12"/>
  <c r="F65" i="12"/>
  <c r="F53" i="12" s="1"/>
  <c r="F41" i="12" s="1"/>
  <c r="E65" i="12"/>
  <c r="E53" i="12" s="1"/>
  <c r="E41" i="12" s="1"/>
  <c r="E64" i="12"/>
  <c r="E52" i="12" s="1"/>
  <c r="E40" i="12" s="1"/>
  <c r="F64" i="12"/>
  <c r="F52" i="12" s="1"/>
  <c r="F40" i="12" s="1"/>
  <c r="D68" i="12"/>
  <c r="E68" i="12"/>
  <c r="E56" i="12" s="1"/>
  <c r="E44" i="12" s="1"/>
  <c r="F56" i="12"/>
  <c r="F44" i="12" s="1"/>
  <c r="E66" i="12"/>
  <c r="E54" i="12" s="1"/>
  <c r="E42" i="12" s="1"/>
  <c r="F66" i="12"/>
  <c r="F54" i="12" s="1"/>
  <c r="F42" i="12" s="1"/>
  <c r="D66" i="12"/>
  <c r="D54" i="12" s="1"/>
  <c r="D42" i="12" s="1"/>
  <c r="F69" i="12"/>
  <c r="F57" i="12" s="1"/>
  <c r="F45" i="12" s="1"/>
  <c r="D69" i="12"/>
  <c r="E69" i="12"/>
  <c r="E57" i="12" s="1"/>
  <c r="E45" i="12" s="1"/>
  <c r="D67" i="12"/>
  <c r="F67" i="12"/>
  <c r="F55" i="12" s="1"/>
  <c r="F43" i="12" s="1"/>
  <c r="E67" i="12"/>
  <c r="E55" i="12" s="1"/>
  <c r="E43" i="12" s="1"/>
  <c r="G40" i="12" l="1"/>
  <c r="G28" i="12" s="1"/>
  <c r="G42" i="12"/>
  <c r="G30" i="12" s="1"/>
  <c r="E31" i="12"/>
  <c r="E33" i="12"/>
  <c r="E29" i="12"/>
  <c r="E30" i="12"/>
  <c r="E32" i="12"/>
  <c r="F28" i="12"/>
  <c r="F29" i="12"/>
  <c r="F31" i="12"/>
  <c r="F33" i="12"/>
  <c r="F30" i="12"/>
  <c r="F32" i="12"/>
  <c r="D30" i="12"/>
  <c r="G66" i="12"/>
  <c r="G67" i="12"/>
  <c r="D55" i="12"/>
  <c r="G69" i="12"/>
  <c r="D57" i="12"/>
  <c r="D45" i="12" s="1"/>
  <c r="G68" i="12"/>
  <c r="D56" i="12"/>
  <c r="D53" i="12"/>
  <c r="G65" i="12"/>
  <c r="G64" i="12"/>
  <c r="G52" i="14" l="1"/>
  <c r="D41" i="12"/>
  <c r="D44" i="12"/>
  <c r="D43" i="12"/>
  <c r="E28" i="12"/>
  <c r="G56" i="12"/>
  <c r="G57" i="12"/>
  <c r="G55" i="12"/>
  <c r="G53" i="12"/>
  <c r="G54" i="12"/>
  <c r="G52" i="12"/>
  <c r="G43" i="12" l="1"/>
  <c r="G31" i="12" s="1"/>
  <c r="G41" i="12"/>
  <c r="G29" i="12" s="1"/>
  <c r="G44" i="12"/>
  <c r="G32" i="12" s="1"/>
  <c r="G45" i="12"/>
  <c r="G33" i="12" s="1"/>
  <c r="D29" i="12"/>
  <c r="D31" i="12"/>
  <c r="D33" i="12"/>
  <c r="D32" i="12"/>
  <c r="G55" i="14" l="1"/>
  <c r="G54" i="14"/>
  <c r="H54" i="14" s="1"/>
  <c r="G56" i="14"/>
  <c r="H56" i="14" s="1"/>
  <c r="G57" i="14"/>
  <c r="H57" i="14" s="1"/>
  <c r="G53" i="14"/>
  <c r="H53" i="14" s="1"/>
  <c r="H76" i="12"/>
  <c r="H100" i="12" l="1"/>
  <c r="H64" i="12" s="1"/>
  <c r="H52" i="12" s="1"/>
  <c r="H40" i="12" s="1"/>
  <c r="H79" i="12" l="1"/>
  <c r="H103" i="12"/>
  <c r="H67" i="12" l="1"/>
  <c r="H55" i="12" s="1"/>
  <c r="H43" i="12" s="1"/>
  <c r="H31" i="12" l="1"/>
  <c r="F55" i="14" s="1"/>
  <c r="H55" i="14" s="1"/>
  <c r="H28" i="12"/>
  <c r="F52" i="14" l="1"/>
  <c r="H52"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Lutz During</author>
  </authors>
  <commentList>
    <comment ref="D20" authorId="0" shapeId="0" xr:uid="{00000000-0006-0000-0000-000001000000}">
      <text>
        <r>
          <rPr>
            <b/>
            <sz val="9"/>
            <color indexed="81"/>
            <rFont val="Segoe UI"/>
            <family val="2"/>
          </rPr>
          <t>Lutz During:</t>
        </r>
        <r>
          <rPr>
            <sz val="9"/>
            <color indexed="81"/>
            <rFont val="Segoe UI"/>
            <family val="2"/>
          </rPr>
          <t xml:space="preserve">
ist für die Ballastberechnung in Nord-Süd-Richtung definiert.
is for the Ballast calculation in North-South-direction defined</t>
        </r>
      </text>
    </comment>
    <comment ref="F22" authorId="0" shapeId="0" xr:uid="{00000000-0006-0000-0000-000002000000}">
      <text>
        <r>
          <rPr>
            <b/>
            <sz val="9"/>
            <color indexed="81"/>
            <rFont val="Segoe UI"/>
            <family val="2"/>
          </rPr>
          <t>Lutz During:</t>
        </r>
        <r>
          <rPr>
            <sz val="9"/>
            <color indexed="81"/>
            <rFont val="Segoe UI"/>
            <family val="2"/>
          </rPr>
          <t xml:space="preserve">
Für Gebäude in den USA beträgt die maximale Höhe 18,3 m.</t>
        </r>
      </text>
    </comment>
    <comment ref="F23" authorId="0" shapeId="0" xr:uid="{00000000-0006-0000-0000-000003000000}">
      <text>
        <r>
          <rPr>
            <b/>
            <sz val="9"/>
            <color indexed="81"/>
            <rFont val="Tahoma"/>
            <family val="2"/>
          </rPr>
          <t>Lutz During:</t>
        </r>
        <r>
          <rPr>
            <sz val="9"/>
            <color indexed="81"/>
            <rFont val="Tahoma"/>
            <family val="2"/>
          </rPr>
          <t xml:space="preserve">
Wenn in unmittelbarer Umgebung ein Gebäude höher ist, bzw. das Gebäude auf dem sich die Anlage befindet mehrere Dachhöhen hat ist die höchste Höhe anzusetzen!</t>
        </r>
      </text>
    </comment>
    <comment ref="F26" authorId="0" shapeId="0" xr:uid="{00000000-0006-0000-0000-000004000000}">
      <text>
        <r>
          <rPr>
            <b/>
            <sz val="9"/>
            <color indexed="81"/>
            <rFont val="Segoe UI"/>
            <family val="2"/>
          </rPr>
          <t>Lutz During:</t>
        </r>
        <r>
          <rPr>
            <sz val="9"/>
            <color indexed="81"/>
            <rFont val="Segoe UI"/>
            <family val="2"/>
          </rPr>
          <t xml:space="preserve">
Der minimale Randabstand beträgt 1,5 m. Wird der Randabstand unterschritten ist der Ballast zu erhöhen. </t>
        </r>
      </text>
    </comment>
    <comment ref="D117" authorId="0" shapeId="0" xr:uid="{00000000-0006-0000-0000-000005000000}">
      <text>
        <r>
          <rPr>
            <b/>
            <sz val="9"/>
            <color indexed="81"/>
            <rFont val="Tahoma"/>
            <family val="2"/>
          </rPr>
          <t>Lutz During:</t>
        </r>
        <r>
          <rPr>
            <sz val="9"/>
            <color indexed="81"/>
            <rFont val="Tahoma"/>
            <family val="2"/>
          </rPr>
          <t xml:space="preserve">
standardmäßig ist einseitig geneigt eingestellt</t>
        </r>
      </text>
    </comment>
    <comment ref="D136" authorId="0" shapeId="0" xr:uid="{00000000-0006-0000-0000-000006000000}">
      <text>
        <r>
          <rPr>
            <b/>
            <sz val="9"/>
            <color indexed="81"/>
            <rFont val="Tahoma"/>
            <family val="2"/>
          </rPr>
          <t>Lutz During:</t>
        </r>
        <r>
          <rPr>
            <sz val="9"/>
            <color indexed="81"/>
            <rFont val="Tahoma"/>
            <family val="2"/>
          </rPr>
          <t xml:space="preserve">
für Gründach wird standardmäßig 1,25 eingestellt, sonst kann hier der Wert dem Projekt angepasst werden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Jantje Paul</author>
  </authors>
  <commentList>
    <comment ref="F9" authorId="0" shapeId="0" xr:uid="{00000000-0006-0000-0200-000001000000}">
      <text>
        <r>
          <rPr>
            <b/>
            <sz val="9"/>
            <color indexed="81"/>
            <rFont val="Tahoma"/>
            <family val="2"/>
          </rPr>
          <t>Jantje Paul:</t>
        </r>
        <r>
          <rPr>
            <sz val="9"/>
            <color indexed="81"/>
            <rFont val="Tahoma"/>
            <family val="2"/>
          </rPr>
          <t xml:space="preserve">
The language can be switched on the sheet "building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Jantje Paul</author>
  </authors>
  <commentList>
    <comment ref="F9" authorId="0" shapeId="0" xr:uid="{00000000-0006-0000-0700-000001000000}">
      <text>
        <r>
          <rPr>
            <b/>
            <sz val="9"/>
            <color indexed="81"/>
            <rFont val="Tahoma"/>
            <family val="2"/>
          </rPr>
          <t>Jantje Paul:</t>
        </r>
        <r>
          <rPr>
            <sz val="9"/>
            <color indexed="81"/>
            <rFont val="Tahoma"/>
            <family val="2"/>
          </rPr>
          <t xml:space="preserve">
The language can be switched on the sheet "building data".</t>
        </r>
      </text>
    </comment>
  </commentList>
</comments>
</file>

<file path=xl/sharedStrings.xml><?xml version="1.0" encoding="utf-8"?>
<sst xmlns="http://schemas.openxmlformats.org/spreadsheetml/2006/main" count="389" uniqueCount="178">
  <si>
    <t>Deutsch</t>
  </si>
  <si>
    <t>m</t>
  </si>
  <si>
    <t>m²</t>
  </si>
  <si>
    <t>kN/m²</t>
  </si>
  <si>
    <t>kg/m²</t>
  </si>
  <si>
    <t>-</t>
  </si>
  <si>
    <t>°</t>
  </si>
  <si>
    <r>
      <t>h</t>
    </r>
    <r>
      <rPr>
        <vertAlign val="subscript"/>
        <sz val="10"/>
        <rFont val="Arial"/>
        <family val="2"/>
      </rPr>
      <t>p</t>
    </r>
    <r>
      <rPr>
        <sz val="10"/>
        <rFont val="Arial"/>
        <family val="2"/>
      </rPr>
      <t>/h =</t>
    </r>
  </si>
  <si>
    <t xml:space="preserve"> -</t>
  </si>
  <si>
    <t>cFx [-]</t>
  </si>
  <si>
    <t>cFy [-]</t>
  </si>
  <si>
    <t>cFz [-]</t>
  </si>
  <si>
    <t>cFxy [-]</t>
  </si>
  <si>
    <t>English</t>
  </si>
  <si>
    <t>m/s</t>
  </si>
  <si>
    <t>km/h</t>
  </si>
  <si>
    <t>Exp. B</t>
  </si>
  <si>
    <r>
      <t>z</t>
    </r>
    <r>
      <rPr>
        <b/>
        <vertAlign val="subscript"/>
        <sz val="10"/>
        <rFont val="Arial"/>
        <family val="2"/>
      </rPr>
      <t>g</t>
    </r>
    <r>
      <rPr>
        <b/>
        <sz val="10"/>
        <rFont val="Arial"/>
        <family val="2"/>
      </rPr>
      <t xml:space="preserve"> [m]</t>
    </r>
  </si>
  <si>
    <r>
      <t>z</t>
    </r>
    <r>
      <rPr>
        <b/>
        <vertAlign val="subscript"/>
        <sz val="10"/>
        <rFont val="Arial"/>
        <family val="2"/>
      </rPr>
      <t>min</t>
    </r>
    <r>
      <rPr>
        <b/>
        <sz val="10"/>
        <rFont val="Arial"/>
        <family val="2"/>
      </rPr>
      <t xml:space="preserve"> [m]</t>
    </r>
  </si>
  <si>
    <r>
      <rPr>
        <b/>
        <sz val="10"/>
        <rFont val="Symbol"/>
        <family val="1"/>
        <charset val="2"/>
      </rPr>
      <t>a</t>
    </r>
    <r>
      <rPr>
        <b/>
        <sz val="10"/>
        <rFont val="Arial"/>
        <family val="2"/>
      </rPr>
      <t xml:space="preserve"> [-]</t>
    </r>
  </si>
  <si>
    <r>
      <t>k</t>
    </r>
    <r>
      <rPr>
        <b/>
        <vertAlign val="subscript"/>
        <sz val="10"/>
        <rFont val="Arial"/>
        <family val="2"/>
      </rPr>
      <t>z</t>
    </r>
    <r>
      <rPr>
        <b/>
        <sz val="10"/>
        <rFont val="Arial"/>
        <family val="2"/>
      </rPr>
      <t xml:space="preserve"> [-]</t>
    </r>
  </si>
  <si>
    <r>
      <t>q</t>
    </r>
    <r>
      <rPr>
        <b/>
        <vertAlign val="subscript"/>
        <sz val="10"/>
        <rFont val="Arial"/>
        <family val="2"/>
      </rPr>
      <t>h</t>
    </r>
    <r>
      <rPr>
        <b/>
        <sz val="10"/>
        <rFont val="Arial"/>
        <family val="2"/>
      </rPr>
      <t xml:space="preserve"> [N/m²]</t>
    </r>
  </si>
  <si>
    <t>Exp. C</t>
  </si>
  <si>
    <t>Exp. D</t>
  </si>
  <si>
    <t>ASCE/SEI 7-10: Annex C26 and C27</t>
  </si>
  <si>
    <t>Main Structure</t>
  </si>
  <si>
    <t>Components and Cladding</t>
  </si>
  <si>
    <t>ASCE/SEI 7-10</t>
  </si>
  <si>
    <t>ASCE/SEI 7-10: Section 26 and 27</t>
  </si>
  <si>
    <t>Nein / No</t>
  </si>
  <si>
    <t>Ja / Yes</t>
  </si>
  <si>
    <t>USA</t>
  </si>
  <si>
    <r>
      <t>cF</t>
    </r>
    <r>
      <rPr>
        <vertAlign val="subscript"/>
        <sz val="10"/>
        <rFont val="Arial"/>
        <family val="2"/>
      </rPr>
      <t>1</t>
    </r>
    <r>
      <rPr>
        <sz val="10"/>
        <rFont val="Arial"/>
        <family val="2"/>
      </rPr>
      <t>x [-]</t>
    </r>
  </si>
  <si>
    <r>
      <t>cF</t>
    </r>
    <r>
      <rPr>
        <vertAlign val="subscript"/>
        <sz val="10"/>
        <rFont val="Arial"/>
        <family val="2"/>
      </rPr>
      <t>1</t>
    </r>
    <r>
      <rPr>
        <sz val="10"/>
        <rFont val="Arial"/>
        <family val="2"/>
      </rPr>
      <t>y [-]</t>
    </r>
  </si>
  <si>
    <r>
      <t>cF</t>
    </r>
    <r>
      <rPr>
        <vertAlign val="subscript"/>
        <sz val="10"/>
        <rFont val="Arial"/>
        <family val="2"/>
      </rPr>
      <t>1</t>
    </r>
    <r>
      <rPr>
        <sz val="10"/>
        <rFont val="Arial"/>
        <family val="2"/>
      </rPr>
      <t>z [-]</t>
    </r>
  </si>
  <si>
    <r>
      <t>cF</t>
    </r>
    <r>
      <rPr>
        <vertAlign val="subscript"/>
        <sz val="10"/>
        <rFont val="Arial"/>
        <family val="2"/>
      </rPr>
      <t>1</t>
    </r>
    <r>
      <rPr>
        <sz val="10"/>
        <rFont val="Arial"/>
        <family val="2"/>
      </rPr>
      <t>xy [-]</t>
    </r>
  </si>
  <si>
    <r>
      <t>cF</t>
    </r>
    <r>
      <rPr>
        <vertAlign val="subscript"/>
        <sz val="10"/>
        <rFont val="Arial"/>
        <family val="2"/>
      </rPr>
      <t>M1</t>
    </r>
    <r>
      <rPr>
        <sz val="10"/>
        <rFont val="Arial"/>
        <family val="2"/>
      </rPr>
      <t>x [-]</t>
    </r>
  </si>
  <si>
    <r>
      <t>cF</t>
    </r>
    <r>
      <rPr>
        <vertAlign val="subscript"/>
        <sz val="10"/>
        <rFont val="Arial"/>
        <family val="2"/>
      </rPr>
      <t>M1</t>
    </r>
    <r>
      <rPr>
        <sz val="10"/>
        <rFont val="Arial"/>
        <family val="2"/>
      </rPr>
      <t>y [-]</t>
    </r>
  </si>
  <si>
    <r>
      <t>cF</t>
    </r>
    <r>
      <rPr>
        <vertAlign val="subscript"/>
        <sz val="10"/>
        <rFont val="Arial"/>
        <family val="2"/>
      </rPr>
      <t>M1</t>
    </r>
    <r>
      <rPr>
        <sz val="10"/>
        <rFont val="Arial"/>
        <family val="2"/>
      </rPr>
      <t>z [-]</t>
    </r>
  </si>
  <si>
    <r>
      <t>cF</t>
    </r>
    <r>
      <rPr>
        <vertAlign val="subscript"/>
        <sz val="10"/>
        <rFont val="Arial"/>
        <family val="2"/>
      </rPr>
      <t>M1</t>
    </r>
    <r>
      <rPr>
        <sz val="10"/>
        <rFont val="Arial"/>
        <family val="2"/>
      </rPr>
      <t>xy [-]</t>
    </r>
  </si>
  <si>
    <r>
      <t>cF</t>
    </r>
    <r>
      <rPr>
        <vertAlign val="subscript"/>
        <sz val="10"/>
        <rFont val="Arial"/>
        <family val="2"/>
      </rPr>
      <t>MR</t>
    </r>
    <r>
      <rPr>
        <sz val="10"/>
        <rFont val="Arial"/>
        <family val="2"/>
      </rPr>
      <t>x [-]</t>
    </r>
  </si>
  <si>
    <r>
      <t>cF</t>
    </r>
    <r>
      <rPr>
        <vertAlign val="subscript"/>
        <sz val="10"/>
        <rFont val="Arial"/>
        <family val="2"/>
      </rPr>
      <t>MR</t>
    </r>
    <r>
      <rPr>
        <sz val="10"/>
        <rFont val="Arial"/>
        <family val="2"/>
      </rPr>
      <t>y [-]</t>
    </r>
  </si>
  <si>
    <r>
      <t>cF</t>
    </r>
    <r>
      <rPr>
        <vertAlign val="subscript"/>
        <sz val="10"/>
        <rFont val="Arial"/>
        <family val="2"/>
      </rPr>
      <t>MR</t>
    </r>
    <r>
      <rPr>
        <sz val="10"/>
        <rFont val="Arial"/>
        <family val="2"/>
      </rPr>
      <t>z [-]</t>
    </r>
  </si>
  <si>
    <r>
      <t>cF</t>
    </r>
    <r>
      <rPr>
        <vertAlign val="subscript"/>
        <sz val="10"/>
        <rFont val="Arial"/>
        <family val="2"/>
      </rPr>
      <t>MR</t>
    </r>
    <r>
      <rPr>
        <sz val="10"/>
        <rFont val="Arial"/>
        <family val="2"/>
      </rPr>
      <t>xy [-]</t>
    </r>
  </si>
  <si>
    <r>
      <t>cF</t>
    </r>
    <r>
      <rPr>
        <vertAlign val="subscript"/>
        <sz val="10"/>
        <rFont val="Arial"/>
        <family val="2"/>
      </rPr>
      <t>1R</t>
    </r>
    <r>
      <rPr>
        <sz val="10"/>
        <rFont val="Arial"/>
        <family val="2"/>
      </rPr>
      <t>x [-]</t>
    </r>
  </si>
  <si>
    <r>
      <t>cF</t>
    </r>
    <r>
      <rPr>
        <vertAlign val="subscript"/>
        <sz val="10"/>
        <rFont val="Arial"/>
        <family val="2"/>
      </rPr>
      <t>1R</t>
    </r>
    <r>
      <rPr>
        <sz val="10"/>
        <rFont val="Arial"/>
        <family val="2"/>
      </rPr>
      <t>y [-]</t>
    </r>
  </si>
  <si>
    <r>
      <t>cF</t>
    </r>
    <r>
      <rPr>
        <vertAlign val="subscript"/>
        <sz val="10"/>
        <rFont val="Arial"/>
        <family val="2"/>
      </rPr>
      <t>1R</t>
    </r>
    <r>
      <rPr>
        <sz val="10"/>
        <rFont val="Arial"/>
        <family val="2"/>
      </rPr>
      <t>z [-]</t>
    </r>
  </si>
  <si>
    <r>
      <t>cF</t>
    </r>
    <r>
      <rPr>
        <vertAlign val="subscript"/>
        <sz val="10"/>
        <rFont val="Arial"/>
        <family val="2"/>
      </rPr>
      <t>1R</t>
    </r>
    <r>
      <rPr>
        <sz val="10"/>
        <rFont val="Arial"/>
        <family val="2"/>
      </rPr>
      <t>xy [-]</t>
    </r>
  </si>
  <si>
    <r>
      <t>cF</t>
    </r>
    <r>
      <rPr>
        <vertAlign val="subscript"/>
        <sz val="10"/>
        <rFont val="Arial"/>
        <family val="2"/>
      </rPr>
      <t>LA</t>
    </r>
    <r>
      <rPr>
        <sz val="10"/>
        <rFont val="Arial"/>
        <family val="2"/>
      </rPr>
      <t>x [-]</t>
    </r>
  </si>
  <si>
    <r>
      <t>cF</t>
    </r>
    <r>
      <rPr>
        <vertAlign val="subscript"/>
        <sz val="10"/>
        <rFont val="Arial"/>
        <family val="2"/>
      </rPr>
      <t>LA</t>
    </r>
    <r>
      <rPr>
        <sz val="10"/>
        <rFont val="Arial"/>
        <family val="2"/>
      </rPr>
      <t>y [-]</t>
    </r>
  </si>
  <si>
    <r>
      <t>cF</t>
    </r>
    <r>
      <rPr>
        <vertAlign val="subscript"/>
        <sz val="10"/>
        <rFont val="Arial"/>
        <family val="2"/>
      </rPr>
      <t>LA</t>
    </r>
    <r>
      <rPr>
        <sz val="10"/>
        <rFont val="Arial"/>
        <family val="2"/>
      </rPr>
      <t>z [-]</t>
    </r>
  </si>
  <si>
    <r>
      <t>cF</t>
    </r>
    <r>
      <rPr>
        <vertAlign val="subscript"/>
        <sz val="10"/>
        <rFont val="Arial"/>
        <family val="2"/>
      </rPr>
      <t>LA</t>
    </r>
    <r>
      <rPr>
        <sz val="10"/>
        <rFont val="Arial"/>
        <family val="2"/>
      </rPr>
      <t>xy [-]</t>
    </r>
  </si>
  <si>
    <t>I</t>
  </si>
  <si>
    <t>II</t>
  </si>
  <si>
    <t>III</t>
  </si>
  <si>
    <t>IV</t>
  </si>
  <si>
    <t>USA II</t>
  </si>
  <si>
    <t>ASCE/SEI 7-05</t>
  </si>
  <si>
    <r>
      <t>cF</t>
    </r>
    <r>
      <rPr>
        <vertAlign val="subscript"/>
        <sz val="10"/>
        <rFont val="Arial"/>
        <family val="2"/>
      </rPr>
      <t>4</t>
    </r>
    <r>
      <rPr>
        <sz val="10"/>
        <rFont val="Arial"/>
        <family val="2"/>
      </rPr>
      <t>x [-]</t>
    </r>
  </si>
  <si>
    <r>
      <t>cF</t>
    </r>
    <r>
      <rPr>
        <vertAlign val="subscript"/>
        <sz val="10"/>
        <rFont val="Arial"/>
        <family val="2"/>
      </rPr>
      <t>4</t>
    </r>
    <r>
      <rPr>
        <sz val="10"/>
        <rFont val="Arial"/>
        <family val="2"/>
      </rPr>
      <t>y [-]</t>
    </r>
  </si>
  <si>
    <r>
      <t>cF</t>
    </r>
    <r>
      <rPr>
        <vertAlign val="subscript"/>
        <sz val="10"/>
        <rFont val="Arial"/>
        <family val="2"/>
      </rPr>
      <t>4</t>
    </r>
    <r>
      <rPr>
        <sz val="10"/>
        <rFont val="Arial"/>
        <family val="2"/>
      </rPr>
      <t>z [-]</t>
    </r>
  </si>
  <si>
    <r>
      <t>cF</t>
    </r>
    <r>
      <rPr>
        <vertAlign val="subscript"/>
        <sz val="10"/>
        <rFont val="Arial"/>
        <family val="2"/>
      </rPr>
      <t>4</t>
    </r>
    <r>
      <rPr>
        <sz val="10"/>
        <rFont val="Arial"/>
        <family val="2"/>
      </rPr>
      <t>xy [-]</t>
    </r>
  </si>
  <si>
    <r>
      <t>L</t>
    </r>
    <r>
      <rPr>
        <b/>
        <vertAlign val="subscript"/>
        <sz val="14"/>
        <rFont val="Arial"/>
        <family val="2"/>
      </rPr>
      <t>1</t>
    </r>
  </si>
  <si>
    <r>
      <t>L</t>
    </r>
    <r>
      <rPr>
        <b/>
        <vertAlign val="subscript"/>
        <sz val="14"/>
        <color theme="1"/>
        <rFont val="Calibri"/>
        <family val="2"/>
        <scheme val="minor"/>
      </rPr>
      <t>2</t>
    </r>
  </si>
  <si>
    <t>Mounting Systems GmbH</t>
  </si>
  <si>
    <t>DIN EN 1991-1-4:2010</t>
  </si>
  <si>
    <t>DIN EN 1991-1-4/NA:2010</t>
  </si>
  <si>
    <t>lbs/ft²</t>
  </si>
  <si>
    <t>ft</t>
  </si>
  <si>
    <t>mph</t>
  </si>
  <si>
    <t>psf</t>
  </si>
  <si>
    <r>
      <t>z</t>
    </r>
    <r>
      <rPr>
        <b/>
        <vertAlign val="subscript"/>
        <sz val="10"/>
        <rFont val="Arial"/>
        <family val="2"/>
      </rPr>
      <t>0</t>
    </r>
    <r>
      <rPr>
        <b/>
        <sz val="10"/>
        <rFont val="Arial"/>
        <family val="2"/>
      </rPr>
      <t xml:space="preserve"> [m]</t>
    </r>
  </si>
  <si>
    <r>
      <t>I</t>
    </r>
    <r>
      <rPr>
        <b/>
        <vertAlign val="subscript"/>
        <sz val="10"/>
        <rFont val="Arial"/>
        <family val="2"/>
      </rPr>
      <t>v</t>
    </r>
    <r>
      <rPr>
        <b/>
        <sz val="10"/>
        <rFont val="Arial"/>
        <family val="2"/>
      </rPr>
      <t>(z) [-]</t>
    </r>
  </si>
  <si>
    <r>
      <t>v</t>
    </r>
    <r>
      <rPr>
        <b/>
        <vertAlign val="subscript"/>
        <sz val="10"/>
        <rFont val="Arial"/>
        <family val="2"/>
      </rPr>
      <t>m</t>
    </r>
    <r>
      <rPr>
        <b/>
        <sz val="10"/>
        <rFont val="Arial"/>
        <family val="2"/>
      </rPr>
      <t>(z) [m/s]</t>
    </r>
  </si>
  <si>
    <r>
      <t>q</t>
    </r>
    <r>
      <rPr>
        <b/>
        <vertAlign val="subscript"/>
        <sz val="10"/>
        <rFont val="Arial"/>
        <family val="2"/>
      </rPr>
      <t>b</t>
    </r>
    <r>
      <rPr>
        <b/>
        <sz val="10"/>
        <rFont val="Arial"/>
        <family val="2"/>
      </rPr>
      <t>(z) [kN/m²]</t>
    </r>
  </si>
  <si>
    <r>
      <t xml:space="preserve"> v</t>
    </r>
    <r>
      <rPr>
        <b/>
        <vertAlign val="subscript"/>
        <sz val="10"/>
        <rFont val="Arial"/>
        <family val="2"/>
      </rPr>
      <t>b,0</t>
    </r>
    <r>
      <rPr>
        <b/>
        <sz val="10"/>
        <rFont val="Arial"/>
        <family val="2"/>
      </rPr>
      <t xml:space="preserve"> [m/s]</t>
    </r>
  </si>
  <si>
    <r>
      <t>q</t>
    </r>
    <r>
      <rPr>
        <b/>
        <vertAlign val="subscript"/>
        <sz val="10"/>
        <rFont val="Arial"/>
        <family val="2"/>
      </rPr>
      <t xml:space="preserve">b </t>
    </r>
    <r>
      <rPr>
        <b/>
        <sz val="10"/>
        <rFont val="Arial"/>
        <family val="2"/>
      </rPr>
      <t>[kN/m²]</t>
    </r>
  </si>
  <si>
    <r>
      <t>v</t>
    </r>
    <r>
      <rPr>
        <b/>
        <vertAlign val="subscript"/>
        <sz val="10"/>
        <rFont val="Arial"/>
        <family val="2"/>
      </rPr>
      <t>b</t>
    </r>
    <r>
      <rPr>
        <b/>
        <sz val="10"/>
        <rFont val="Arial"/>
        <family val="2"/>
      </rPr>
      <t>=v</t>
    </r>
    <r>
      <rPr>
        <b/>
        <vertAlign val="subscript"/>
        <sz val="10"/>
        <rFont val="Arial"/>
        <family val="2"/>
      </rPr>
      <t>b,Hs</t>
    </r>
    <r>
      <rPr>
        <b/>
        <sz val="10"/>
        <rFont val="Arial"/>
        <family val="2"/>
      </rPr>
      <t xml:space="preserve"> [m/s]</t>
    </r>
  </si>
  <si>
    <t>DIN EN 1991-1-4</t>
  </si>
  <si>
    <r>
      <t>cF</t>
    </r>
    <r>
      <rPr>
        <vertAlign val="subscript"/>
        <sz val="10"/>
        <rFont val="Arial"/>
        <family val="2"/>
      </rPr>
      <t>4∙4</t>
    </r>
    <r>
      <rPr>
        <sz val="10"/>
        <rFont val="Arial"/>
        <family val="2"/>
      </rPr>
      <t>y [-]</t>
    </r>
  </si>
  <si>
    <r>
      <t>cF</t>
    </r>
    <r>
      <rPr>
        <vertAlign val="subscript"/>
        <sz val="10"/>
        <rFont val="Arial"/>
        <family val="2"/>
      </rPr>
      <t>4∙4</t>
    </r>
    <r>
      <rPr>
        <sz val="10"/>
        <rFont val="Arial"/>
        <family val="2"/>
      </rPr>
      <t>z [-]</t>
    </r>
  </si>
  <si>
    <r>
      <t>cF</t>
    </r>
    <r>
      <rPr>
        <vertAlign val="subscript"/>
        <sz val="10"/>
        <rFont val="Arial"/>
        <family val="2"/>
      </rPr>
      <t>4∙4</t>
    </r>
    <r>
      <rPr>
        <sz val="10"/>
        <rFont val="Arial"/>
        <family val="2"/>
      </rPr>
      <t>xy [-]</t>
    </r>
  </si>
  <si>
    <r>
      <t>cF</t>
    </r>
    <r>
      <rPr>
        <vertAlign val="subscript"/>
        <sz val="10"/>
        <rFont val="Arial"/>
        <family val="2"/>
      </rPr>
      <t>4∙4</t>
    </r>
    <r>
      <rPr>
        <sz val="10"/>
        <rFont val="Arial"/>
        <family val="2"/>
      </rPr>
      <t>x [-]</t>
    </r>
  </si>
  <si>
    <t>ASCE/SEI 7-05: Section 6</t>
  </si>
  <si>
    <t>ASCE/SEI 7-05: Annex C6</t>
  </si>
  <si>
    <t>Case 1</t>
  </si>
  <si>
    <t>Case 2</t>
  </si>
  <si>
    <t>mm</t>
  </si>
  <si>
    <t>with / mit</t>
  </si>
  <si>
    <t>without / ohne</t>
  </si>
  <si>
    <t>→</t>
  </si>
  <si>
    <t>EN 1991-1-4:2005</t>
  </si>
  <si>
    <t>A.1:2010 + AC:2010</t>
  </si>
  <si>
    <t>=</t>
  </si>
  <si>
    <r>
      <t>A(z/L</t>
    </r>
    <r>
      <rPr>
        <vertAlign val="subscript"/>
        <sz val="10"/>
        <rFont val="Arial"/>
        <family val="2"/>
      </rPr>
      <t>e</t>
    </r>
    <r>
      <rPr>
        <sz val="10"/>
        <rFont val="Arial"/>
        <family val="2"/>
      </rPr>
      <t>) =</t>
    </r>
  </si>
  <si>
    <r>
      <t>A(z/L</t>
    </r>
    <r>
      <rPr>
        <vertAlign val="subscript"/>
        <sz val="10"/>
        <rFont val="Arial"/>
        <family val="2"/>
      </rPr>
      <t>e</t>
    </r>
    <r>
      <rPr>
        <sz val="10"/>
        <rFont val="Arial"/>
        <family val="2"/>
      </rPr>
      <t>=0,1) =</t>
    </r>
  </si>
  <si>
    <r>
      <t>B(z/L</t>
    </r>
    <r>
      <rPr>
        <vertAlign val="subscript"/>
        <sz val="10"/>
        <rFont val="Arial"/>
        <family val="2"/>
      </rPr>
      <t>e</t>
    </r>
    <r>
      <rPr>
        <sz val="10"/>
        <rFont val="Arial"/>
        <family val="2"/>
      </rPr>
      <t>) =</t>
    </r>
  </si>
  <si>
    <r>
      <t>B(z/L</t>
    </r>
    <r>
      <rPr>
        <vertAlign val="subscript"/>
        <sz val="10"/>
        <rFont val="Arial"/>
        <family val="2"/>
      </rPr>
      <t>e</t>
    </r>
    <r>
      <rPr>
        <sz val="10"/>
        <rFont val="Arial"/>
        <family val="2"/>
      </rPr>
      <t>=0,1) =</t>
    </r>
  </si>
  <si>
    <r>
      <t>C(z/L</t>
    </r>
    <r>
      <rPr>
        <vertAlign val="subscript"/>
        <sz val="10"/>
        <rFont val="Arial"/>
        <family val="2"/>
      </rPr>
      <t>e</t>
    </r>
    <r>
      <rPr>
        <sz val="10"/>
        <rFont val="Arial"/>
        <family val="2"/>
      </rPr>
      <t>) =</t>
    </r>
  </si>
  <si>
    <r>
      <t>C(z/L</t>
    </r>
    <r>
      <rPr>
        <vertAlign val="subscript"/>
        <sz val="10"/>
        <rFont val="Arial"/>
        <family val="2"/>
      </rPr>
      <t>e</t>
    </r>
    <r>
      <rPr>
        <sz val="10"/>
        <rFont val="Arial"/>
        <family val="2"/>
      </rPr>
      <t>=0,1) =</t>
    </r>
  </si>
  <si>
    <r>
      <t>s(z/L</t>
    </r>
    <r>
      <rPr>
        <vertAlign val="subscript"/>
        <sz val="10"/>
        <rFont val="Arial"/>
        <family val="2"/>
      </rPr>
      <t>e</t>
    </r>
    <r>
      <rPr>
        <sz val="10"/>
        <rFont val="Arial"/>
        <family val="2"/>
      </rPr>
      <t>;x/L</t>
    </r>
    <r>
      <rPr>
        <vertAlign val="subscript"/>
        <sz val="10"/>
        <rFont val="Arial"/>
        <family val="2"/>
      </rPr>
      <t>e</t>
    </r>
    <r>
      <rPr>
        <sz val="10"/>
        <rFont val="Arial"/>
        <family val="2"/>
      </rPr>
      <t>=0,1) =</t>
    </r>
  </si>
  <si>
    <r>
      <t>s(x/L</t>
    </r>
    <r>
      <rPr>
        <vertAlign val="subscript"/>
        <sz val="10"/>
        <rFont val="Arial"/>
        <family val="2"/>
      </rPr>
      <t>e</t>
    </r>
    <r>
      <rPr>
        <sz val="10"/>
        <rFont val="Arial"/>
        <family val="2"/>
      </rPr>
      <t>=0,1;z/L</t>
    </r>
    <r>
      <rPr>
        <vertAlign val="subscript"/>
        <sz val="10"/>
        <rFont val="Arial"/>
        <family val="2"/>
      </rPr>
      <t>e</t>
    </r>
    <r>
      <rPr>
        <sz val="10"/>
        <rFont val="Arial"/>
        <family val="2"/>
      </rPr>
      <t>=0,1) =</t>
    </r>
  </si>
  <si>
    <r>
      <t>s(z/L</t>
    </r>
    <r>
      <rPr>
        <vertAlign val="subscript"/>
        <sz val="10"/>
        <rFont val="Arial"/>
        <family val="2"/>
      </rPr>
      <t>e</t>
    </r>
    <r>
      <rPr>
        <sz val="10"/>
        <rFont val="Arial"/>
        <family val="2"/>
      </rPr>
      <t>;x/L</t>
    </r>
    <r>
      <rPr>
        <vertAlign val="subscript"/>
        <sz val="10"/>
        <rFont val="Arial"/>
        <family val="2"/>
      </rPr>
      <t>e</t>
    </r>
    <r>
      <rPr>
        <sz val="10"/>
        <rFont val="Arial"/>
        <family val="2"/>
      </rPr>
      <t>) =</t>
    </r>
  </si>
  <si>
    <r>
      <t>s(x/L</t>
    </r>
    <r>
      <rPr>
        <vertAlign val="subscript"/>
        <sz val="10"/>
        <rFont val="Arial"/>
        <family val="2"/>
      </rPr>
      <t>e</t>
    </r>
    <r>
      <rPr>
        <sz val="10"/>
        <rFont val="Arial"/>
        <family val="2"/>
      </rPr>
      <t>;z/L</t>
    </r>
    <r>
      <rPr>
        <vertAlign val="subscript"/>
        <sz val="10"/>
        <rFont val="Arial"/>
        <family val="2"/>
      </rPr>
      <t>e</t>
    </r>
    <r>
      <rPr>
        <sz val="10"/>
        <rFont val="Arial"/>
        <family val="2"/>
      </rPr>
      <t>=0,1) =</t>
    </r>
  </si>
  <si>
    <t>15°</t>
  </si>
  <si>
    <t>10°</t>
  </si>
  <si>
    <t>Lohr</t>
  </si>
  <si>
    <t>EN15-</t>
  </si>
  <si>
    <t>kg</t>
  </si>
  <si>
    <t>Sprache</t>
  </si>
  <si>
    <t>language</t>
  </si>
  <si>
    <t>Projektbezeichnung</t>
  </si>
  <si>
    <t>project</t>
  </si>
  <si>
    <t>PLZ</t>
  </si>
  <si>
    <t>post code</t>
  </si>
  <si>
    <t>Ort</t>
  </si>
  <si>
    <t>site</t>
  </si>
  <si>
    <t>Land</t>
  </si>
  <si>
    <t>country</t>
  </si>
  <si>
    <t>Bearbeiter Sales</t>
  </si>
  <si>
    <t>person in charge Sales</t>
  </si>
  <si>
    <t>Bearbeiter Eng</t>
  </si>
  <si>
    <t>person in charge Eng</t>
  </si>
  <si>
    <t>Gebäudedaten</t>
  </si>
  <si>
    <t>building data</t>
  </si>
  <si>
    <t>Länge (Def. beachten)</t>
  </si>
  <si>
    <t xml:space="preserve">lenght (note definition) </t>
  </si>
  <si>
    <t>Breite</t>
  </si>
  <si>
    <t>width</t>
  </si>
  <si>
    <t>Höhe</t>
  </si>
  <si>
    <t>high</t>
  </si>
  <si>
    <t>Höhe Nachbarbebauung</t>
  </si>
  <si>
    <t>high neighbor buildings</t>
  </si>
  <si>
    <t>Attikahöhe</t>
  </si>
  <si>
    <t>parapet high</t>
  </si>
  <si>
    <t>Dachneigung</t>
  </si>
  <si>
    <t>sloping of the roof</t>
  </si>
  <si>
    <t>Korrektur</t>
  </si>
  <si>
    <t>correction</t>
  </si>
  <si>
    <t>Bautenschutzmatte</t>
  </si>
  <si>
    <t>building protection mat</t>
  </si>
  <si>
    <t>Bautenschutzmatte alukaschiert</t>
  </si>
  <si>
    <t>building protection mat foil laminated</t>
  </si>
  <si>
    <t>bei der Eingabe bitte beachten:</t>
  </si>
  <si>
    <t>note that in the input please:</t>
  </si>
  <si>
    <t>Systemneigung</t>
  </si>
  <si>
    <t>system inclination</t>
  </si>
  <si>
    <t>Norm:</t>
  </si>
  <si>
    <t>standard:</t>
  </si>
  <si>
    <t>Moduldaten</t>
  </si>
  <si>
    <t>module data</t>
  </si>
  <si>
    <t>Modullänge</t>
  </si>
  <si>
    <t>module lenght</t>
  </si>
  <si>
    <t>Modulbreite</t>
  </si>
  <si>
    <t>module widht</t>
  </si>
  <si>
    <t>Rahmenhöhe</t>
  </si>
  <si>
    <t>frame high</t>
  </si>
  <si>
    <t>Modulgewicht</t>
  </si>
  <si>
    <t>module weight</t>
  </si>
  <si>
    <t>Modulleistung</t>
  </si>
  <si>
    <t>module power</t>
  </si>
  <si>
    <t>Haftreibbeiwert</t>
  </si>
  <si>
    <t>coefficient of friction</t>
  </si>
  <si>
    <t>Korrekturfaktor</t>
  </si>
  <si>
    <t>correction factor</t>
  </si>
  <si>
    <r>
      <t>Lambda Light EW</t>
    </r>
    <r>
      <rPr>
        <vertAlign val="superscript"/>
        <sz val="11"/>
        <color theme="1"/>
        <rFont val="Calibri"/>
        <family val="2"/>
        <scheme val="minor"/>
      </rPr>
      <t>+</t>
    </r>
    <r>
      <rPr>
        <sz val="11"/>
        <color theme="1"/>
        <rFont val="Calibri"/>
        <family val="2"/>
        <scheme val="minor"/>
      </rPr>
      <t xml:space="preserve"> Ballasttool</t>
    </r>
  </si>
  <si>
    <r>
      <t>Lambda Light EW</t>
    </r>
    <r>
      <rPr>
        <vertAlign val="superscript"/>
        <sz val="11"/>
        <color theme="1"/>
        <rFont val="Calibri"/>
        <family val="2"/>
        <scheme val="minor"/>
      </rPr>
      <t>+</t>
    </r>
    <r>
      <rPr>
        <sz val="11"/>
        <color theme="1"/>
        <rFont val="Calibri"/>
        <family val="2"/>
        <scheme val="minor"/>
      </rPr>
      <t xml:space="preserve"> ballast calculation </t>
    </r>
  </si>
  <si>
    <t>Schienenklemmung</t>
  </si>
  <si>
    <t>rail clamp</t>
  </si>
  <si>
    <t>Laminate</t>
  </si>
  <si>
    <t>laminates</t>
  </si>
  <si>
    <t>Randabstand des PV-Feldes:</t>
  </si>
  <si>
    <t>Offset distance from roof edges:</t>
  </si>
  <si>
    <t>Version MSR05 LLI_EW+ 150818</t>
  </si>
  <si>
    <t>Hortsfelde</t>
  </si>
  <si>
    <t>cve</t>
  </si>
  <si>
    <t>HGF</t>
  </si>
  <si>
    <t>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</si>
</sst>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00"/>
    <numFmt numFmtId="166" formatCode="_([$€]* #,##0.00_);_([$€]* \(#,##0.00\);_([$€]* &quot;-&quot;??_);_(@_)"/>
    <numFmt numFmtId="167" formatCode="dd/mm/yy;@"/>
    <numFmt numFmtId="168" formatCode="0.00000"/>
    <numFmt numFmtId="169" formatCode="0.0000"/>
    <numFmt numFmtId="170" formatCode="\≥\ 0"/>
    <numFmt numFmtId="171" formatCode="mm/dd/yy;@"/>
    <numFmt numFmtId="172" formatCode="d/m/yy;@"/>
    <numFmt numFmtId="173" formatCode="00000"/>
  </numFmts>
  <fonts count="59" x14ac:knownFonts="1">
    <font>
      <sz val="11"/>
      <color theme="1"/>
      <name val="Calibri"/>
      <family val="2"/>
      <scheme val="minor"/>
    </font>
    <font>
      <sz val="11"/>
      <color theme="1"/>
      <name val="Calibri"/>
      <family val="2"/>
      <scheme val="minor"/>
    </font>
    <font>
      <sz val="10"/>
      <name val="Arial"/>
      <family val="2"/>
    </font>
    <font>
      <sz val="14"/>
      <name val="Arial"/>
      <family val="2"/>
    </font>
    <font>
      <i/>
      <sz val="10"/>
      <name val="Arial"/>
      <family val="2"/>
    </font>
    <font>
      <b/>
      <sz val="12"/>
      <name val="Arial"/>
      <family val="2"/>
    </font>
    <font>
      <b/>
      <sz val="10"/>
      <name val="Arial"/>
      <family val="2"/>
    </font>
    <font>
      <sz val="10"/>
      <name val="Arial"/>
      <family val="2"/>
    </font>
    <font>
      <sz val="8"/>
      <name val="Arial"/>
      <family val="2"/>
    </font>
    <font>
      <sz val="9"/>
      <name val="Arial"/>
      <family val="2"/>
    </font>
    <font>
      <b/>
      <sz val="10"/>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2"/>
      <name val="Arial"/>
      <family val="2"/>
    </font>
    <font>
      <b/>
      <sz val="10"/>
      <color rgb="FF0070C0"/>
      <name val="Arial"/>
      <family val="2"/>
    </font>
    <font>
      <b/>
      <u/>
      <sz val="10"/>
      <name val="Arial"/>
      <family val="2"/>
    </font>
    <font>
      <b/>
      <sz val="16"/>
      <name val="Arial"/>
      <family val="2"/>
    </font>
    <font>
      <b/>
      <sz val="14"/>
      <name val="Arial"/>
      <family val="2"/>
    </font>
    <font>
      <vertAlign val="subscript"/>
      <sz val="10"/>
      <name val="Arial"/>
      <family val="2"/>
    </font>
    <font>
      <i/>
      <sz val="10"/>
      <color rgb="FF7030A0"/>
      <name val="Arial"/>
      <family val="2"/>
    </font>
    <font>
      <sz val="10"/>
      <color theme="1"/>
      <name val="Arial"/>
      <family val="2"/>
    </font>
    <font>
      <b/>
      <sz val="10"/>
      <color theme="1"/>
      <name val="Arial"/>
      <family val="2"/>
    </font>
    <font>
      <b/>
      <sz val="10"/>
      <color rgb="FFFF0000"/>
      <name val="Arial"/>
      <family val="2"/>
    </font>
    <font>
      <b/>
      <i/>
      <sz val="10"/>
      <color indexed="10"/>
      <name val="Arial"/>
      <family val="2"/>
    </font>
    <font>
      <b/>
      <vertAlign val="subscript"/>
      <sz val="10"/>
      <name val="Arial"/>
      <family val="2"/>
    </font>
    <font>
      <b/>
      <sz val="10"/>
      <name val="Symbol"/>
      <family val="1"/>
      <charset val="2"/>
    </font>
    <font>
      <b/>
      <sz val="11"/>
      <color theme="1"/>
      <name val="Calibri"/>
      <family val="2"/>
      <scheme val="minor"/>
    </font>
    <font>
      <sz val="11"/>
      <name val="Arial"/>
      <family val="2"/>
    </font>
    <font>
      <b/>
      <sz val="9"/>
      <color indexed="81"/>
      <name val="Tahoma"/>
      <family val="2"/>
    </font>
    <font>
      <sz val="9"/>
      <color indexed="81"/>
      <name val="Tahoma"/>
      <family val="2"/>
    </font>
    <font>
      <sz val="12"/>
      <color theme="1"/>
      <name val="Arial"/>
      <family val="2"/>
    </font>
    <font>
      <sz val="10"/>
      <color rgb="FFFF0000"/>
      <name val="Arial"/>
      <family val="2"/>
    </font>
    <font>
      <sz val="10"/>
      <color indexed="10"/>
      <name val="Arial"/>
      <family val="2"/>
    </font>
    <font>
      <b/>
      <i/>
      <sz val="10"/>
      <name val="Arial"/>
      <family val="2"/>
    </font>
    <font>
      <b/>
      <vertAlign val="subscript"/>
      <sz val="14"/>
      <name val="Arial"/>
      <family val="2"/>
    </font>
    <font>
      <b/>
      <sz val="14"/>
      <color theme="1"/>
      <name val="Calibri"/>
      <family val="2"/>
      <scheme val="minor"/>
    </font>
    <font>
      <b/>
      <vertAlign val="subscript"/>
      <sz val="14"/>
      <color theme="1"/>
      <name val="Calibri"/>
      <family val="2"/>
      <scheme val="minor"/>
    </font>
    <font>
      <b/>
      <sz val="11"/>
      <name val="Arial"/>
      <family val="2"/>
    </font>
    <font>
      <sz val="24"/>
      <name val="Arial"/>
      <family val="2"/>
    </font>
    <font>
      <sz val="10"/>
      <name val="Calibri"/>
      <family val="2"/>
    </font>
    <font>
      <b/>
      <sz val="16"/>
      <color rgb="FFFF0000"/>
      <name val="Arial"/>
      <family val="2"/>
    </font>
    <font>
      <i/>
      <sz val="12"/>
      <color theme="1"/>
      <name val="Calibri"/>
      <family val="2"/>
      <scheme val="minor"/>
    </font>
    <font>
      <vertAlign val="superscript"/>
      <sz val="11"/>
      <color theme="1"/>
      <name val="Calibri"/>
      <family val="2"/>
      <scheme val="minor"/>
    </font>
    <font>
      <b/>
      <sz val="9"/>
      <color indexed="81"/>
      <name val="Segoe UI"/>
      <family val="2"/>
    </font>
    <font>
      <sz val="9"/>
      <color indexed="81"/>
      <name val="Segoe UI"/>
      <family val="2"/>
    </font>
  </fonts>
  <fills count="32">
    <fill>
      <patternFill patternType="none"/>
    </fill>
    <fill>
      <patternFill patternType="gray125"/>
    </fill>
    <fill>
      <patternFill patternType="solid">
        <fgColor theme="0" tint="0.79998168889431442"/>
        <bgColor indexed="64"/>
      </patternFill>
    </fill>
    <fill>
      <patternFill patternType="solid">
        <fgColor rgb="FFFFFF00"/>
        <bgColor indexed="64"/>
      </patternFill>
    </fill>
    <fill>
      <patternFill patternType="solid">
        <fgColor indexed="41"/>
        <bgColor indexed="64"/>
      </patternFill>
    </fill>
    <fill>
      <patternFill patternType="solid">
        <fgColor indexed="13"/>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28"/>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rgb="FFCCFFFF"/>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0070C0"/>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DAE9F2"/>
        <bgColor indexed="64"/>
      </patternFill>
    </fill>
  </fills>
  <borders count="14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ck">
        <color indexed="64"/>
      </right>
      <top/>
      <bottom style="thin">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right/>
      <top/>
      <bottom style="thick">
        <color indexed="64"/>
      </bottom>
      <diagonal/>
    </border>
    <border>
      <left/>
      <right/>
      <top style="thick">
        <color indexed="64"/>
      </top>
      <bottom/>
      <diagonal/>
    </border>
    <border>
      <left style="thick">
        <color auto="1"/>
      </left>
      <right/>
      <top style="thick">
        <color auto="1"/>
      </top>
      <bottom/>
      <diagonal/>
    </border>
    <border>
      <left/>
      <right style="medium">
        <color indexed="64"/>
      </right>
      <top style="thick">
        <color indexed="64"/>
      </top>
      <bottom/>
      <diagonal/>
    </border>
    <border>
      <left style="medium">
        <color indexed="64"/>
      </left>
      <right/>
      <top style="thick">
        <color auto="1"/>
      </top>
      <bottom style="medium">
        <color indexed="64"/>
      </bottom>
      <diagonal/>
    </border>
    <border>
      <left style="medium">
        <color indexed="64"/>
      </left>
      <right style="thick">
        <color indexed="64"/>
      </right>
      <top style="medium">
        <color indexed="64"/>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ck">
        <color auto="1"/>
      </right>
      <top style="medium">
        <color indexed="64"/>
      </top>
      <bottom style="thin">
        <color indexed="64"/>
      </bottom>
      <diagonal/>
    </border>
    <border>
      <left style="thin">
        <color indexed="64"/>
      </left>
      <right/>
      <top/>
      <bottom style="thin">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style="thick">
        <color indexed="64"/>
      </right>
      <top style="thin">
        <color indexed="64"/>
      </top>
      <bottom style="thick">
        <color indexed="64"/>
      </bottom>
      <diagonal/>
    </border>
    <border>
      <left/>
      <right/>
      <top/>
      <bottom style="medium">
        <color auto="1"/>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ck">
        <color auto="1"/>
      </right>
      <top/>
      <bottom style="medium">
        <color indexed="64"/>
      </bottom>
      <diagonal/>
    </border>
    <border>
      <left style="thin">
        <color indexed="64"/>
      </left>
      <right style="thin">
        <color indexed="64"/>
      </right>
      <top style="thin">
        <color indexed="64"/>
      </top>
      <bottom style="thick">
        <color indexed="64"/>
      </bottom>
      <diagonal/>
    </border>
    <border>
      <left/>
      <right style="thin">
        <color indexed="64"/>
      </right>
      <top/>
      <bottom style="thick">
        <color indexed="64"/>
      </bottom>
      <diagonal/>
    </border>
    <border>
      <left style="thick">
        <color indexed="64"/>
      </left>
      <right style="thin">
        <color indexed="64"/>
      </right>
      <top/>
      <bottom style="thick">
        <color indexed="64"/>
      </bottom>
      <diagonal/>
    </border>
    <border>
      <left style="thin">
        <color indexed="64"/>
      </left>
      <right style="medium">
        <color indexed="64"/>
      </right>
      <top style="thin">
        <color indexed="64"/>
      </top>
      <bottom style="thick">
        <color auto="1"/>
      </bottom>
      <diagonal/>
    </border>
    <border>
      <left style="medium">
        <color indexed="64"/>
      </left>
      <right style="thin">
        <color indexed="64"/>
      </right>
      <top style="thin">
        <color indexed="64"/>
      </top>
      <bottom style="thick">
        <color auto="1"/>
      </bottom>
      <diagonal/>
    </border>
    <border>
      <left style="thin">
        <color indexed="64"/>
      </left>
      <right style="thick">
        <color indexed="64"/>
      </right>
      <top/>
      <bottom style="thick">
        <color indexed="64"/>
      </bottom>
      <diagonal/>
    </border>
    <border>
      <left style="medium">
        <color indexed="64"/>
      </left>
      <right style="medium">
        <color indexed="64"/>
      </right>
      <top/>
      <bottom/>
      <diagonal/>
    </border>
    <border>
      <left style="thick">
        <color auto="1"/>
      </left>
      <right/>
      <top/>
      <bottom style="thick">
        <color auto="1"/>
      </bottom>
      <diagonal/>
    </border>
    <border>
      <left/>
      <right/>
      <top/>
      <bottom style="thick">
        <color auto="1"/>
      </bottom>
      <diagonal/>
    </border>
    <border>
      <left/>
      <right style="thin">
        <color indexed="64"/>
      </right>
      <top/>
      <bottom style="thick">
        <color auto="1"/>
      </bottom>
      <diagonal/>
    </border>
    <border>
      <left/>
      <right style="medium">
        <color auto="1"/>
      </right>
      <top/>
      <bottom style="medium">
        <color auto="1"/>
      </bottom>
      <diagonal/>
    </border>
    <border>
      <left style="medium">
        <color indexed="64"/>
      </left>
      <right style="medium">
        <color indexed="64"/>
      </right>
      <top/>
      <bottom style="medium">
        <color indexed="64"/>
      </bottom>
      <diagonal/>
    </border>
    <border>
      <left/>
      <right/>
      <top style="thin">
        <color auto="1"/>
      </top>
      <bottom/>
      <diagonal/>
    </border>
    <border>
      <left/>
      <right style="thin">
        <color indexed="64"/>
      </right>
      <top/>
      <bottom style="medium">
        <color indexed="64"/>
      </bottom>
      <diagonal/>
    </border>
    <border>
      <left/>
      <right style="thin">
        <color auto="1"/>
      </right>
      <top style="thin">
        <color auto="1"/>
      </top>
      <bottom/>
      <diagonal/>
    </border>
    <border>
      <left/>
      <right/>
      <top/>
      <bottom style="thick">
        <color auto="1"/>
      </bottom>
      <diagonal/>
    </border>
    <border>
      <left style="double">
        <color theme="3" tint="0.39994506668294322"/>
      </left>
      <right/>
      <top style="double">
        <color theme="3" tint="0.39994506668294322"/>
      </top>
      <bottom/>
      <diagonal/>
    </border>
    <border>
      <left/>
      <right/>
      <top style="double">
        <color theme="3" tint="0.39994506668294322"/>
      </top>
      <bottom/>
      <diagonal/>
    </border>
    <border>
      <left/>
      <right style="double">
        <color theme="3" tint="0.39994506668294322"/>
      </right>
      <top style="double">
        <color theme="3" tint="0.39994506668294322"/>
      </top>
      <bottom/>
      <diagonal/>
    </border>
    <border>
      <left style="double">
        <color theme="3" tint="0.39994506668294322"/>
      </left>
      <right/>
      <top/>
      <bottom/>
      <diagonal/>
    </border>
    <border>
      <left/>
      <right style="double">
        <color theme="3" tint="0.39994506668294322"/>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top style="thin">
        <color auto="1"/>
      </top>
      <bottom style="thin">
        <color indexed="64"/>
      </bottom>
      <diagonal/>
    </border>
    <border>
      <left/>
      <right/>
      <top style="thin">
        <color auto="1"/>
      </top>
      <bottom style="thin">
        <color auto="1"/>
      </bottom>
      <diagonal/>
    </border>
    <border>
      <left/>
      <right style="thin">
        <color indexed="64"/>
      </right>
      <top style="thin">
        <color auto="1"/>
      </top>
      <bottom style="thin">
        <color indexed="64"/>
      </bottom>
      <diagonal/>
    </border>
    <border>
      <left/>
      <right/>
      <top style="thin">
        <color auto="1"/>
      </top>
      <bottom/>
      <diagonal/>
    </border>
    <border>
      <left style="double">
        <color theme="3" tint="0.39994506668294322"/>
      </left>
      <right/>
      <top/>
      <bottom style="double">
        <color theme="3" tint="0.39994506668294322"/>
      </bottom>
      <diagonal/>
    </border>
    <border>
      <left/>
      <right/>
      <top/>
      <bottom style="double">
        <color theme="3" tint="0.39994506668294322"/>
      </bottom>
      <diagonal/>
    </border>
    <border>
      <left/>
      <right style="double">
        <color theme="3" tint="0.39994506668294322"/>
      </right>
      <top/>
      <bottom style="double">
        <color theme="3" tint="0.39994506668294322"/>
      </bottom>
      <diagonal/>
    </border>
  </borders>
  <cellStyleXfs count="86">
    <xf numFmtId="0" fontId="0" fillId="0" borderId="0"/>
    <xf numFmtId="0" fontId="2" fillId="0" borderId="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7"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7" borderId="0" applyNumberFormat="0" applyBorder="0" applyAlignment="0" applyProtection="0"/>
    <xf numFmtId="0" fontId="12" fillId="14" borderId="0" applyNumberFormat="0" applyBorder="0" applyAlignment="0" applyProtection="0"/>
    <xf numFmtId="0" fontId="12" fillId="11" borderId="0" applyNumberFormat="0" applyBorder="0" applyAlignment="0" applyProtection="0"/>
    <xf numFmtId="0" fontId="12" fillId="15" borderId="0" applyNumberFormat="0" applyBorder="0" applyAlignment="0" applyProtection="0"/>
    <xf numFmtId="0" fontId="12" fillId="10" borderId="0" applyNumberFormat="0" applyBorder="0" applyAlignment="0" applyProtection="0"/>
    <xf numFmtId="0" fontId="12" fillId="14" borderId="0" applyNumberFormat="0" applyBorder="0" applyAlignment="0" applyProtection="0"/>
    <xf numFmtId="0" fontId="12" fillId="7"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3" fillId="18" borderId="0" applyNumberFormat="0" applyBorder="0" applyAlignment="0" applyProtection="0"/>
    <xf numFmtId="0" fontId="14" fillId="6" borderId="34" applyNumberFormat="0" applyAlignment="0" applyProtection="0"/>
    <xf numFmtId="0" fontId="15" fillId="19" borderId="35" applyNumberFormat="0" applyAlignment="0" applyProtection="0"/>
    <xf numFmtId="166"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16" fillId="0" borderId="0" applyNumberFormat="0" applyFill="0" applyBorder="0" applyAlignment="0" applyProtection="0"/>
    <xf numFmtId="0" fontId="17" fillId="20" borderId="0" applyNumberFormat="0" applyBorder="0" applyAlignment="0" applyProtection="0"/>
    <xf numFmtId="0" fontId="18" fillId="0" borderId="36" applyNumberFormat="0" applyFill="0" applyAlignment="0" applyProtection="0"/>
    <xf numFmtId="0" fontId="19" fillId="0" borderId="37" applyNumberFormat="0" applyFill="0" applyAlignment="0" applyProtection="0"/>
    <xf numFmtId="0" fontId="20" fillId="0" borderId="38" applyNumberFormat="0" applyFill="0" applyAlignment="0" applyProtection="0"/>
    <xf numFmtId="0" fontId="20" fillId="0" borderId="0" applyNumberFormat="0" applyFill="0" applyBorder="0" applyAlignment="0" applyProtection="0"/>
    <xf numFmtId="0" fontId="21" fillId="7" borderId="34" applyNumberFormat="0" applyAlignment="0" applyProtection="0"/>
    <xf numFmtId="43" fontId="7" fillId="0" borderId="0" applyFont="0" applyFill="0" applyBorder="0" applyAlignment="0" applyProtection="0"/>
    <xf numFmtId="0" fontId="22" fillId="0" borderId="39" applyNumberFormat="0" applyFill="0" applyAlignment="0" applyProtection="0"/>
    <xf numFmtId="0" fontId="7" fillId="8" borderId="40" applyNumberFormat="0" applyFont="0" applyAlignment="0" applyProtection="0"/>
    <xf numFmtId="0" fontId="23" fillId="6" borderId="41" applyNumberFormat="0" applyAlignment="0" applyProtection="0"/>
    <xf numFmtId="9" fontId="7" fillId="0" borderId="0" applyFont="0" applyFill="0" applyBorder="0" applyAlignment="0" applyProtection="0"/>
    <xf numFmtId="9" fontId="7" fillId="0" borderId="0" applyFont="0" applyFill="0" applyBorder="0" applyAlignment="0" applyProtection="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24" fillId="0" borderId="0" applyNumberFormat="0" applyFill="0" applyBorder="0" applyAlignment="0" applyProtection="0"/>
    <xf numFmtId="0" fontId="25" fillId="0" borderId="42" applyNumberFormat="0" applyFill="0" applyAlignment="0" applyProtection="0"/>
    <xf numFmtId="0" fontId="2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41" fillId="0" borderId="0"/>
    <xf numFmtId="9" fontId="2" fillId="0" borderId="0" applyFont="0" applyFill="0" applyBorder="0" applyAlignment="0" applyProtection="0"/>
    <xf numFmtId="9" fontId="1"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0" fontId="2" fillId="8" borderId="40" applyNumberFormat="0" applyFont="0" applyAlignment="0" applyProtection="0"/>
    <xf numFmtId="0" fontId="2" fillId="8" borderId="40" applyNumberFormat="0" applyFont="0" applyAlignment="0" applyProtection="0"/>
    <xf numFmtId="0" fontId="2" fillId="8" borderId="40" applyNumberFormat="0" applyFont="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cellStyleXfs>
  <cellXfs count="1287">
    <xf numFmtId="0" fontId="0" fillId="0" borderId="0" xfId="0"/>
    <xf numFmtId="0" fontId="2" fillId="0" borderId="0" xfId="1"/>
    <xf numFmtId="0" fontId="3" fillId="2" borderId="1" xfId="1" applyFont="1" applyFill="1" applyBorder="1"/>
    <xf numFmtId="0" fontId="4" fillId="2" borderId="2" xfId="1" applyFont="1" applyFill="1" applyBorder="1"/>
    <xf numFmtId="0" fontId="2" fillId="2" borderId="2" xfId="1" applyFill="1" applyBorder="1"/>
    <xf numFmtId="0" fontId="2" fillId="3" borderId="2" xfId="1" applyFill="1" applyBorder="1"/>
    <xf numFmtId="0" fontId="2" fillId="2" borderId="2" xfId="1" applyFill="1" applyBorder="1" applyAlignment="1">
      <alignment horizontal="left"/>
    </xf>
    <xf numFmtId="0" fontId="2" fillId="2" borderId="3" xfId="1" applyFill="1" applyBorder="1"/>
    <xf numFmtId="0" fontId="2" fillId="0" borderId="4" xfId="1" applyFill="1" applyBorder="1" applyAlignment="1">
      <alignment horizontal="left"/>
    </xf>
    <xf numFmtId="0" fontId="3" fillId="2" borderId="5" xfId="1" applyFont="1" applyFill="1" applyBorder="1"/>
    <xf numFmtId="0" fontId="4" fillId="2" borderId="0" xfId="1" applyFont="1" applyFill="1" applyBorder="1" applyAlignment="1">
      <alignment horizontal="left"/>
    </xf>
    <xf numFmtId="0" fontId="2" fillId="2" borderId="0" xfId="1" applyFill="1" applyBorder="1"/>
    <xf numFmtId="0" fontId="2" fillId="4" borderId="0" xfId="1" applyFill="1" applyBorder="1"/>
    <xf numFmtId="0" fontId="2" fillId="2" borderId="0" xfId="1" applyFill="1" applyBorder="1" applyAlignment="1">
      <alignment horizontal="left"/>
    </xf>
    <xf numFmtId="0" fontId="4" fillId="2" borderId="0" xfId="1" applyFont="1" applyFill="1" applyBorder="1"/>
    <xf numFmtId="0" fontId="2" fillId="2" borderId="6" xfId="1" applyFill="1" applyBorder="1"/>
    <xf numFmtId="0" fontId="2" fillId="0" borderId="7" xfId="1" applyBorder="1"/>
    <xf numFmtId="0" fontId="2" fillId="0" borderId="7" xfId="1" applyFill="1" applyBorder="1"/>
    <xf numFmtId="0" fontId="6" fillId="0" borderId="0" xfId="1" applyFont="1" applyFill="1" applyBorder="1" applyAlignment="1">
      <alignment horizontal="left"/>
    </xf>
    <xf numFmtId="0" fontId="2" fillId="0" borderId="1" xfId="1" applyFill="1" applyBorder="1" applyAlignment="1">
      <alignment horizontal="right"/>
    </xf>
    <xf numFmtId="0" fontId="2" fillId="0" borderId="17" xfId="1" applyFill="1" applyBorder="1" applyAlignment="1">
      <alignment horizontal="right"/>
    </xf>
    <xf numFmtId="0" fontId="2" fillId="0" borderId="23" xfId="1" applyFill="1" applyBorder="1" applyAlignment="1">
      <alignment horizontal="right"/>
    </xf>
    <xf numFmtId="0" fontId="2" fillId="0" borderId="0" xfId="1" applyFill="1"/>
    <xf numFmtId="0" fontId="8" fillId="0" borderId="2" xfId="1" applyFont="1" applyBorder="1" applyAlignment="1">
      <alignment horizontal="right"/>
    </xf>
    <xf numFmtId="0" fontId="8" fillId="0" borderId="2" xfId="1" applyFont="1" applyFill="1" applyBorder="1" applyAlignment="1">
      <alignment horizontal="left"/>
    </xf>
    <xf numFmtId="0" fontId="2" fillId="0" borderId="2" xfId="1" applyBorder="1"/>
    <xf numFmtId="0" fontId="2" fillId="0" borderId="0" xfId="1" applyBorder="1"/>
    <xf numFmtId="0" fontId="8" fillId="0" borderId="0" xfId="1" applyFont="1" applyBorder="1" applyAlignment="1">
      <alignment horizontal="right"/>
    </xf>
    <xf numFmtId="0" fontId="8" fillId="0" borderId="0" xfId="1" applyFont="1" applyFill="1" applyBorder="1" applyAlignment="1">
      <alignment horizontal="left"/>
    </xf>
    <xf numFmtId="0" fontId="2" fillId="0" borderId="6" xfId="1" applyBorder="1"/>
    <xf numFmtId="2" fontId="2" fillId="4" borderId="7" xfId="1" applyNumberFormat="1" applyFill="1" applyBorder="1"/>
    <xf numFmtId="0" fontId="2" fillId="0" borderId="9" xfId="1" applyBorder="1"/>
    <xf numFmtId="0" fontId="8" fillId="0" borderId="0" xfId="1" applyFont="1" applyAlignment="1">
      <alignment horizontal="left"/>
    </xf>
    <xf numFmtId="0" fontId="2" fillId="0" borderId="0" xfId="1" applyFill="1" applyBorder="1" applyAlignment="1">
      <alignment horizontal="center"/>
    </xf>
    <xf numFmtId="2" fontId="2" fillId="0" borderId="0" xfId="1" applyNumberFormat="1"/>
    <xf numFmtId="0" fontId="2" fillId="0" borderId="0" xfId="1" applyFill="1" applyBorder="1" applyAlignment="1">
      <alignment horizontal="right"/>
    </xf>
    <xf numFmtId="2" fontId="9" fillId="0" borderId="0" xfId="1" applyNumberFormat="1" applyFont="1" applyBorder="1"/>
    <xf numFmtId="0" fontId="2" fillId="0" borderId="0" xfId="1" applyFill="1" applyBorder="1" applyAlignment="1"/>
    <xf numFmtId="0" fontId="2" fillId="0" borderId="0" xfId="1" applyFill="1" applyBorder="1"/>
    <xf numFmtId="2" fontId="9" fillId="0" borderId="18" xfId="1" applyNumberFormat="1" applyFont="1" applyBorder="1" applyAlignment="1">
      <alignment horizontal="center"/>
    </xf>
    <xf numFmtId="2" fontId="9" fillId="0" borderId="33" xfId="1" applyNumberFormat="1" applyFont="1" applyBorder="1" applyAlignment="1">
      <alignment horizontal="center"/>
    </xf>
    <xf numFmtId="0" fontId="2" fillId="0" borderId="0" xfId="1" applyAlignment="1">
      <alignment horizontal="center"/>
    </xf>
    <xf numFmtId="0" fontId="7" fillId="0" borderId="0" xfId="1" applyFont="1"/>
    <xf numFmtId="0" fontId="2" fillId="0" borderId="0" xfId="1" applyFill="1" applyAlignment="1">
      <alignment horizontal="center"/>
    </xf>
    <xf numFmtId="0" fontId="2" fillId="0" borderId="0" xfId="1" applyFill="1" applyAlignment="1">
      <alignment horizontal="left"/>
    </xf>
    <xf numFmtId="2" fontId="2" fillId="0" borderId="0" xfId="1" applyNumberFormat="1" applyBorder="1" applyAlignment="1">
      <alignment horizontal="center"/>
    </xf>
    <xf numFmtId="2" fontId="2" fillId="0" borderId="0" xfId="1" applyNumberFormat="1" applyFill="1" applyBorder="1" applyAlignment="1">
      <alignment horizontal="center"/>
    </xf>
    <xf numFmtId="0" fontId="6" fillId="0" borderId="0" xfId="1" applyFont="1" applyFill="1" applyBorder="1"/>
    <xf numFmtId="0" fontId="2" fillId="0" borderId="0" xfId="1" applyFill="1" applyBorder="1" applyAlignment="1">
      <alignment vertical="center" wrapText="1"/>
    </xf>
    <xf numFmtId="164" fontId="2" fillId="4" borderId="0" xfId="1" applyNumberFormat="1" applyFill="1" applyBorder="1"/>
    <xf numFmtId="0" fontId="2" fillId="2" borderId="0" xfId="1" applyFill="1" applyBorder="1" applyAlignment="1">
      <alignment vertical="center" wrapText="1"/>
    </xf>
    <xf numFmtId="0" fontId="27" fillId="0" borderId="0" xfId="1" applyFont="1"/>
    <xf numFmtId="0" fontId="2" fillId="0" borderId="0" xfId="1" applyBorder="1" applyAlignment="1">
      <alignment horizontal="right"/>
    </xf>
    <xf numFmtId="0" fontId="2" fillId="0" borderId="45" xfId="1" applyFill="1" applyBorder="1" applyAlignment="1">
      <alignment horizontal="right"/>
    </xf>
    <xf numFmtId="0" fontId="2" fillId="4" borderId="46" xfId="1" applyFill="1" applyBorder="1" applyAlignment="1">
      <alignment horizontal="left"/>
    </xf>
    <xf numFmtId="0" fontId="2" fillId="4" borderId="47" xfId="1" applyFill="1" applyBorder="1" applyAlignment="1">
      <alignment horizontal="left"/>
    </xf>
    <xf numFmtId="0" fontId="2" fillId="0" borderId="33" xfId="1" applyFill="1" applyBorder="1" applyAlignment="1">
      <alignment horizontal="right"/>
    </xf>
    <xf numFmtId="0" fontId="2" fillId="4" borderId="20" xfId="1" applyFill="1" applyBorder="1"/>
    <xf numFmtId="14" fontId="2" fillId="4" borderId="48" xfId="1" applyNumberFormat="1" applyFill="1" applyBorder="1" applyAlignment="1">
      <alignment horizontal="left"/>
    </xf>
    <xf numFmtId="14" fontId="2" fillId="4" borderId="49" xfId="1" applyNumberFormat="1" applyFill="1" applyBorder="1" applyAlignment="1">
      <alignment horizontal="left"/>
    </xf>
    <xf numFmtId="0" fontId="2" fillId="0" borderId="50" xfId="1" applyFill="1" applyBorder="1" applyAlignment="1">
      <alignment horizontal="right"/>
    </xf>
    <xf numFmtId="0" fontId="2" fillId="4" borderId="27" xfId="1" applyFill="1" applyBorder="1"/>
    <xf numFmtId="2" fontId="2" fillId="0" borderId="0" xfId="1" applyNumberFormat="1" applyFill="1" applyBorder="1"/>
    <xf numFmtId="2" fontId="2" fillId="0" borderId="0" xfId="1" applyNumberFormat="1" applyFill="1"/>
    <xf numFmtId="0" fontId="5" fillId="0" borderId="0" xfId="1" applyFont="1" applyFill="1" applyBorder="1" applyAlignment="1">
      <alignment horizontal="left" vertical="center"/>
    </xf>
    <xf numFmtId="0" fontId="29" fillId="0" borderId="0" xfId="1" applyFont="1"/>
    <xf numFmtId="0" fontId="10" fillId="0" borderId="0" xfId="1" applyFont="1" applyFill="1" applyBorder="1" applyAlignment="1">
      <alignment horizontal="center" vertical="center"/>
    </xf>
    <xf numFmtId="0" fontId="28" fillId="0" borderId="0" xfId="1" applyFont="1" applyFill="1" applyBorder="1" applyAlignment="1"/>
    <xf numFmtId="0" fontId="2" fillId="0" borderId="56" xfId="1" applyBorder="1" applyAlignment="1">
      <alignment horizontal="right" vertical="center"/>
    </xf>
    <xf numFmtId="0" fontId="2" fillId="0" borderId="0" xfId="1" applyBorder="1" applyAlignment="1">
      <alignment vertical="center"/>
    </xf>
    <xf numFmtId="0" fontId="2" fillId="0" borderId="0" xfId="1" applyBorder="1" applyAlignment="1">
      <alignment horizontal="right" vertical="center"/>
    </xf>
    <xf numFmtId="0" fontId="2" fillId="0" borderId="57" xfId="1" applyBorder="1" applyAlignment="1">
      <alignment vertical="center"/>
    </xf>
    <xf numFmtId="0" fontId="2" fillId="0" borderId="0" xfId="1" applyFill="1" applyBorder="1" applyAlignment="1">
      <alignment vertical="center"/>
    </xf>
    <xf numFmtId="0" fontId="10" fillId="0" borderId="0" xfId="1" applyFont="1" applyFill="1" applyBorder="1" applyAlignment="1"/>
    <xf numFmtId="0" fontId="2" fillId="0" borderId="57" xfId="1" applyFill="1" applyBorder="1" applyAlignment="1">
      <alignment horizontal="right" vertical="center"/>
    </xf>
    <xf numFmtId="0" fontId="2" fillId="0" borderId="0" xfId="1" applyFill="1" applyBorder="1" applyAlignment="1">
      <alignment horizontal="right" vertical="center"/>
    </xf>
    <xf numFmtId="164" fontId="2" fillId="4" borderId="7" xfId="1" applyNumberFormat="1" applyFill="1" applyBorder="1" applyAlignment="1">
      <alignment vertical="center"/>
    </xf>
    <xf numFmtId="0" fontId="2" fillId="0" borderId="58" xfId="1" applyBorder="1" applyAlignment="1">
      <alignment horizontal="right" vertical="center"/>
    </xf>
    <xf numFmtId="0" fontId="2" fillId="0" borderId="59" xfId="1" applyBorder="1" applyAlignment="1">
      <alignment vertical="center"/>
    </xf>
    <xf numFmtId="0" fontId="10" fillId="0" borderId="56" xfId="1" applyFont="1" applyFill="1" applyBorder="1" applyAlignment="1">
      <alignment vertical="center"/>
    </xf>
    <xf numFmtId="0" fontId="2" fillId="0" borderId="4" xfId="1" applyBorder="1"/>
    <xf numFmtId="0" fontId="2" fillId="0" borderId="54" xfId="1" applyBorder="1" applyAlignment="1">
      <alignment horizontal="right" vertical="center"/>
    </xf>
    <xf numFmtId="2" fontId="2" fillId="4" borderId="11" xfId="1" applyNumberFormat="1" applyFill="1" applyBorder="1"/>
    <xf numFmtId="0" fontId="2" fillId="0" borderId="2" xfId="1" applyBorder="1" applyAlignment="1">
      <alignment vertical="center"/>
    </xf>
    <xf numFmtId="0" fontId="2" fillId="0" borderId="55" xfId="1" applyBorder="1" applyAlignment="1">
      <alignment vertical="center"/>
    </xf>
    <xf numFmtId="0" fontId="2" fillId="4" borderId="50" xfId="1" applyNumberFormat="1" applyFill="1" applyBorder="1" applyAlignment="1">
      <alignment horizontal="center" vertical="center"/>
    </xf>
    <xf numFmtId="0" fontId="6" fillId="0" borderId="0" xfId="1" applyFont="1" applyBorder="1" applyAlignment="1">
      <alignment vertical="center" wrapText="1"/>
    </xf>
    <xf numFmtId="0" fontId="2" fillId="0" borderId="56" xfId="1" applyFill="1" applyBorder="1" applyAlignment="1">
      <alignment horizontal="right"/>
    </xf>
    <xf numFmtId="0" fontId="2" fillId="0" borderId="57" xfId="1" applyFill="1" applyBorder="1"/>
    <xf numFmtId="0" fontId="2" fillId="0" borderId="54" xfId="1" applyFill="1" applyBorder="1" applyAlignment="1">
      <alignment horizontal="right" vertical="center"/>
    </xf>
    <xf numFmtId="0" fontId="2" fillId="0" borderId="2" xfId="1" applyFill="1" applyBorder="1" applyAlignment="1">
      <alignment vertical="center"/>
    </xf>
    <xf numFmtId="0" fontId="2" fillId="0" borderId="55" xfId="1" applyFill="1" applyBorder="1" applyAlignment="1">
      <alignment vertical="center"/>
    </xf>
    <xf numFmtId="0" fontId="2" fillId="0" borderId="66" xfId="1" applyFill="1" applyBorder="1" applyAlignment="1">
      <alignment vertical="center"/>
    </xf>
    <xf numFmtId="164" fontId="6" fillId="0" borderId="0" xfId="1" applyNumberFormat="1" applyFont="1" applyFill="1" applyBorder="1" applyAlignment="1">
      <alignment horizontal="center" vertical="center"/>
    </xf>
    <xf numFmtId="164" fontId="6" fillId="0" borderId="15" xfId="1" applyNumberFormat="1" applyFont="1" applyFill="1" applyBorder="1" applyAlignment="1">
      <alignment horizontal="center" vertical="center" wrapText="1"/>
    </xf>
    <xf numFmtId="164" fontId="6" fillId="0" borderId="30" xfId="1" applyNumberFormat="1" applyFont="1" applyBorder="1" applyAlignment="1">
      <alignment horizontal="center" vertical="center"/>
    </xf>
    <xf numFmtId="164" fontId="2" fillId="0" borderId="83" xfId="1" applyNumberFormat="1" applyBorder="1" applyAlignment="1">
      <alignment horizontal="center" vertical="center"/>
    </xf>
    <xf numFmtId="0" fontId="2" fillId="0" borderId="48" xfId="1" applyBorder="1" applyAlignment="1">
      <alignment horizontal="center" vertical="center"/>
    </xf>
    <xf numFmtId="164" fontId="2" fillId="0" borderId="85" xfId="1" applyNumberFormat="1" applyBorder="1" applyAlignment="1">
      <alignment horizontal="center" vertical="center"/>
    </xf>
    <xf numFmtId="0" fontId="31" fillId="0" borderId="0" xfId="1" applyFont="1" applyFill="1" applyBorder="1" applyAlignment="1">
      <alignment horizontal="left" vertical="center"/>
    </xf>
    <xf numFmtId="164" fontId="6" fillId="0" borderId="0" xfId="1" applyNumberFormat="1" applyFont="1" applyFill="1" applyBorder="1" applyAlignment="1">
      <alignment horizontal="center"/>
    </xf>
    <xf numFmtId="0" fontId="6" fillId="0" borderId="0" xfId="1" applyFont="1" applyBorder="1" applyAlignment="1">
      <alignment vertical="center"/>
    </xf>
    <xf numFmtId="0" fontId="2" fillId="0" borderId="3" xfId="1" applyBorder="1" applyAlignment="1">
      <alignment vertical="center"/>
    </xf>
    <xf numFmtId="0" fontId="2" fillId="0" borderId="7" xfId="1" applyBorder="1" applyAlignment="1">
      <alignment horizontal="center" vertical="center"/>
    </xf>
    <xf numFmtId="165" fontId="2" fillId="4" borderId="28" xfId="1" applyNumberFormat="1" applyFill="1" applyBorder="1" applyAlignment="1">
      <alignment vertical="center"/>
    </xf>
    <xf numFmtId="0" fontId="2" fillId="0" borderId="11" xfId="1" applyBorder="1" applyAlignment="1">
      <alignment horizontal="center"/>
    </xf>
    <xf numFmtId="0" fontId="2" fillId="0" borderId="88" xfId="1" applyBorder="1" applyAlignment="1">
      <alignment horizontal="center"/>
    </xf>
    <xf numFmtId="164" fontId="2" fillId="0" borderId="46" xfId="1" applyNumberFormat="1" applyBorder="1"/>
    <xf numFmtId="0" fontId="2" fillId="0" borderId="47" xfId="1" applyBorder="1"/>
    <xf numFmtId="0" fontId="2" fillId="0" borderId="89" xfId="1" applyBorder="1"/>
    <xf numFmtId="0" fontId="33" fillId="0" borderId="0" xfId="1" applyFont="1"/>
    <xf numFmtId="0" fontId="2" fillId="0" borderId="50" xfId="1" applyBorder="1" applyAlignment="1">
      <alignment horizontal="center"/>
    </xf>
    <xf numFmtId="165" fontId="2" fillId="0" borderId="25" xfId="1" applyNumberFormat="1" applyBorder="1"/>
    <xf numFmtId="0" fontId="2" fillId="0" borderId="26" xfId="1" applyBorder="1"/>
    <xf numFmtId="165" fontId="2" fillId="0" borderId="9" xfId="1" applyNumberFormat="1" applyBorder="1"/>
    <xf numFmtId="0" fontId="2" fillId="0" borderId="10" xfId="1" applyBorder="1"/>
    <xf numFmtId="0" fontId="2" fillId="0" borderId="15" xfId="1" applyBorder="1" applyAlignment="1">
      <alignment horizontal="center" vertical="center" wrapText="1"/>
    </xf>
    <xf numFmtId="0" fontId="2" fillId="0" borderId="80" xfId="1" applyBorder="1" applyAlignment="1">
      <alignment horizontal="center" vertical="center" wrapText="1"/>
    </xf>
    <xf numFmtId="0" fontId="2" fillId="0" borderId="16" xfId="1" applyBorder="1" applyAlignment="1">
      <alignment horizontal="center" vertical="center" wrapText="1"/>
    </xf>
    <xf numFmtId="165" fontId="2" fillId="0" borderId="0" xfId="1" applyNumberFormat="1" applyBorder="1" applyAlignment="1">
      <alignment horizontal="center" vertical="center"/>
    </xf>
    <xf numFmtId="0" fontId="2" fillId="0" borderId="47" xfId="1" applyBorder="1" applyAlignment="1">
      <alignment horizontal="center" vertical="center" wrapText="1"/>
    </xf>
    <xf numFmtId="0" fontId="33" fillId="0" borderId="0" xfId="1" applyFont="1" applyFill="1"/>
    <xf numFmtId="2" fontId="9" fillId="0" borderId="0" xfId="1" applyNumberFormat="1" applyFont="1" applyBorder="1" applyAlignment="1">
      <alignment horizontal="center"/>
    </xf>
    <xf numFmtId="164" fontId="2" fillId="0" borderId="7" xfId="1" applyNumberFormat="1" applyBorder="1" applyAlignment="1">
      <alignment horizontal="center" vertical="center"/>
    </xf>
    <xf numFmtId="0" fontId="2" fillId="0" borderId="22" xfId="1" applyFont="1" applyFill="1" applyBorder="1" applyAlignment="1">
      <alignment horizontal="center"/>
    </xf>
    <xf numFmtId="0" fontId="2" fillId="0" borderId="20" xfId="1" applyFont="1" applyFill="1" applyBorder="1" applyAlignment="1">
      <alignment horizontal="center"/>
    </xf>
    <xf numFmtId="0" fontId="3" fillId="0" borderId="0" xfId="1" applyFont="1" applyFill="1" applyBorder="1" applyAlignment="1">
      <alignment horizontal="center" vertical="top"/>
    </xf>
    <xf numFmtId="0" fontId="2" fillId="0" borderId="0" xfId="1" applyFill="1" applyBorder="1" applyAlignment="1">
      <alignment horizontal="center" vertical="center"/>
    </xf>
    <xf numFmtId="164" fontId="2" fillId="0" borderId="0" xfId="1" applyNumberFormat="1" applyFill="1" applyBorder="1" applyAlignment="1">
      <alignment horizontal="center" vertical="center"/>
    </xf>
    <xf numFmtId="0" fontId="2" fillId="0" borderId="7" xfId="1" applyFont="1" applyBorder="1" applyAlignment="1">
      <alignment horizontal="center" vertical="center"/>
    </xf>
    <xf numFmtId="165" fontId="2" fillId="0" borderId="7" xfId="1" applyNumberFormat="1" applyFont="1" applyBorder="1" applyAlignment="1">
      <alignment horizontal="center" vertical="center"/>
    </xf>
    <xf numFmtId="0" fontId="2" fillId="0" borderId="24" xfId="1" applyFont="1" applyBorder="1" applyAlignment="1">
      <alignment horizontal="center" vertical="center"/>
    </xf>
    <xf numFmtId="0" fontId="2" fillId="0" borderId="84" xfId="1" applyBorder="1" applyAlignment="1">
      <alignment horizontal="center" vertical="center"/>
    </xf>
    <xf numFmtId="0" fontId="2" fillId="0" borderId="46" xfId="1" applyBorder="1" applyAlignment="1">
      <alignment horizontal="center" vertical="center"/>
    </xf>
    <xf numFmtId="0" fontId="10" fillId="0" borderId="0" xfId="1" applyFont="1" applyAlignment="1">
      <alignment vertical="center"/>
    </xf>
    <xf numFmtId="0" fontId="2" fillId="0" borderId="1" xfId="1" applyBorder="1" applyAlignment="1">
      <alignment horizontal="right" vertical="center" wrapText="1"/>
    </xf>
    <xf numFmtId="0" fontId="2" fillId="3" borderId="2" xfId="1" applyFont="1" applyFill="1" applyBorder="1" applyAlignment="1">
      <alignment horizontal="center" vertical="center"/>
    </xf>
    <xf numFmtId="0" fontId="2" fillId="0" borderId="99" xfId="1" applyFont="1" applyFill="1" applyBorder="1" applyAlignment="1">
      <alignment horizontal="right" vertical="center"/>
    </xf>
    <xf numFmtId="0" fontId="2" fillId="0" borderId="99" xfId="1" applyBorder="1" applyAlignment="1">
      <alignment horizontal="right" vertical="center" wrapText="1"/>
    </xf>
    <xf numFmtId="0" fontId="2" fillId="5" borderId="29" xfId="1" applyFill="1" applyBorder="1" applyAlignment="1">
      <alignment horizontal="center" vertical="center"/>
    </xf>
    <xf numFmtId="0" fontId="2" fillId="0" borderId="99" xfId="1" applyBorder="1" applyAlignment="1">
      <alignment horizontal="right" vertical="center"/>
    </xf>
    <xf numFmtId="2" fontId="2" fillId="21" borderId="0" xfId="1" applyNumberFormat="1" applyFont="1" applyFill="1" applyBorder="1" applyAlignment="1">
      <alignment horizontal="center" vertical="center"/>
    </xf>
    <xf numFmtId="0" fontId="2" fillId="0" borderId="29" xfId="1" applyFont="1" applyBorder="1" applyAlignment="1">
      <alignment vertical="center"/>
    </xf>
    <xf numFmtId="0" fontId="2" fillId="0" borderId="99" xfId="1" applyFont="1" applyBorder="1" applyAlignment="1">
      <alignment horizontal="right" vertical="center"/>
    </xf>
    <xf numFmtId="0" fontId="2" fillId="3" borderId="29" xfId="1" applyFont="1" applyFill="1" applyBorder="1" applyAlignment="1">
      <alignment horizontal="center" vertical="center"/>
    </xf>
    <xf numFmtId="0" fontId="2" fillId="3" borderId="29" xfId="1" applyFont="1" applyFill="1" applyBorder="1" applyAlignment="1">
      <alignment horizontal="center" vertical="center" wrapText="1"/>
    </xf>
    <xf numFmtId="2" fontId="2" fillId="3" borderId="29" xfId="1" applyNumberFormat="1" applyFont="1" applyFill="1" applyBorder="1" applyAlignment="1">
      <alignment horizontal="center" vertical="center"/>
    </xf>
    <xf numFmtId="0" fontId="2" fillId="0" borderId="8" xfId="1" applyBorder="1" applyAlignment="1">
      <alignment horizontal="right" vertical="center"/>
    </xf>
    <xf numFmtId="2" fontId="2" fillId="5" borderId="9" xfId="1" applyNumberFormat="1" applyFont="1" applyFill="1" applyBorder="1" applyAlignment="1">
      <alignment horizontal="center" vertical="center"/>
    </xf>
    <xf numFmtId="0" fontId="2" fillId="0" borderId="100" xfId="1" applyFont="1" applyBorder="1" applyAlignment="1">
      <alignment vertical="center"/>
    </xf>
    <xf numFmtId="2" fontId="2" fillId="0" borderId="0" xfId="1" applyNumberFormat="1" applyFont="1" applyFill="1" applyBorder="1" applyAlignment="1">
      <alignment horizontal="center" vertical="center"/>
    </xf>
    <xf numFmtId="0" fontId="2" fillId="0" borderId="0" xfId="1" applyFont="1" applyBorder="1" applyAlignment="1">
      <alignment vertical="center"/>
    </xf>
    <xf numFmtId="0" fontId="37" fillId="0" borderId="0" xfId="1" applyFont="1" applyAlignment="1">
      <alignment vertical="center"/>
    </xf>
    <xf numFmtId="165" fontId="2" fillId="0" borderId="0" xfId="1" applyNumberFormat="1" applyFill="1" applyBorder="1" applyAlignment="1">
      <alignment vertical="center"/>
    </xf>
    <xf numFmtId="0" fontId="2" fillId="0" borderId="0" xfId="1" applyFill="1" applyAlignment="1">
      <alignment vertical="center"/>
    </xf>
    <xf numFmtId="165" fontId="2" fillId="0" borderId="0" xfId="1" applyNumberFormat="1" applyFill="1" applyAlignment="1">
      <alignment vertical="center"/>
    </xf>
    <xf numFmtId="0" fontId="6" fillId="0" borderId="15" xfId="1" applyFont="1" applyBorder="1" applyAlignment="1">
      <alignment horizontal="center" vertical="center" wrapText="1"/>
    </xf>
    <xf numFmtId="0" fontId="6" fillId="0" borderId="80" xfId="1" applyFont="1" applyBorder="1" applyAlignment="1">
      <alignment horizontal="center" vertical="center"/>
    </xf>
    <xf numFmtId="0" fontId="6" fillId="0" borderId="22" xfId="1" applyFont="1" applyBorder="1" applyAlignment="1">
      <alignment horizontal="center" vertical="center"/>
    </xf>
    <xf numFmtId="2" fontId="2" fillId="0" borderId="7" xfId="1" applyNumberFormat="1" applyBorder="1" applyAlignment="1">
      <alignment horizontal="center" vertical="center"/>
    </xf>
    <xf numFmtId="165" fontId="2" fillId="0" borderId="7" xfId="1" applyNumberFormat="1" applyBorder="1" applyAlignment="1">
      <alignment horizontal="center" vertical="center"/>
    </xf>
    <xf numFmtId="0" fontId="6" fillId="0" borderId="32" xfId="1" applyFont="1" applyBorder="1" applyAlignment="1">
      <alignment horizontal="center" vertical="center"/>
    </xf>
    <xf numFmtId="2" fontId="2" fillId="0" borderId="24" xfId="1" applyNumberFormat="1" applyBorder="1" applyAlignment="1">
      <alignment horizontal="center" vertical="center"/>
    </xf>
    <xf numFmtId="0" fontId="2" fillId="0" borderId="24" xfId="1" applyBorder="1" applyAlignment="1">
      <alignment horizontal="center" vertical="center"/>
    </xf>
    <xf numFmtId="164" fontId="2" fillId="0" borderId="24" xfId="1" applyNumberFormat="1" applyBorder="1" applyAlignment="1">
      <alignment horizontal="center" vertical="center"/>
    </xf>
    <xf numFmtId="165" fontId="2" fillId="0" borderId="24" xfId="1" applyNumberFormat="1" applyBorder="1" applyAlignment="1">
      <alignment horizontal="center" vertical="center"/>
    </xf>
    <xf numFmtId="0" fontId="6" fillId="0" borderId="0" xfId="1" applyFont="1" applyAlignment="1">
      <alignment horizontal="right" vertical="center"/>
    </xf>
    <xf numFmtId="2" fontId="2" fillId="0" borderId="0" xfId="1" applyNumberFormat="1" applyAlignment="1">
      <alignment vertical="center"/>
    </xf>
    <xf numFmtId="2" fontId="2" fillId="0" borderId="0" xfId="1" applyNumberFormat="1" applyFill="1" applyAlignment="1">
      <alignment vertical="center"/>
    </xf>
    <xf numFmtId="0" fontId="2" fillId="0" borderId="0" xfId="1" applyBorder="1" applyAlignment="1">
      <alignment horizontal="left" vertical="center"/>
    </xf>
    <xf numFmtId="0" fontId="2" fillId="0" borderId="0" xfId="1" applyFont="1" applyFill="1" applyBorder="1" applyAlignment="1">
      <alignment horizontal="left" vertical="center"/>
    </xf>
    <xf numFmtId="0" fontId="2" fillId="0" borderId="0" xfId="1" applyBorder="1" applyAlignment="1">
      <alignment horizontal="center" vertical="center"/>
    </xf>
    <xf numFmtId="0" fontId="2" fillId="0" borderId="0" xfId="1" applyFont="1" applyAlignment="1">
      <alignment vertical="center"/>
    </xf>
    <xf numFmtId="0" fontId="27" fillId="0" borderId="0" xfId="1" applyFont="1" applyAlignment="1">
      <alignment vertical="center"/>
    </xf>
    <xf numFmtId="0" fontId="6" fillId="0" borderId="0" xfId="1" applyFont="1" applyBorder="1" applyAlignment="1">
      <alignment horizontal="center" vertical="center"/>
    </xf>
    <xf numFmtId="0" fontId="6" fillId="0" borderId="0" xfId="1" applyFont="1" applyFill="1" applyBorder="1" applyAlignment="1">
      <alignment horizontal="center" vertical="center"/>
    </xf>
    <xf numFmtId="0" fontId="2" fillId="2" borderId="2" xfId="1" applyFill="1" applyBorder="1" applyAlignment="1">
      <alignment horizontal="left" vertical="center"/>
    </xf>
    <xf numFmtId="0" fontId="2" fillId="2" borderId="0" xfId="1" applyFill="1" applyBorder="1" applyAlignment="1">
      <alignment horizontal="left" vertical="center"/>
    </xf>
    <xf numFmtId="0" fontId="2" fillId="0" borderId="0" xfId="1" applyAlignment="1">
      <alignment vertical="center"/>
    </xf>
    <xf numFmtId="0" fontId="2" fillId="0" borderId="0" xfId="1" applyFont="1" applyFill="1" applyBorder="1" applyAlignment="1">
      <alignment vertical="center" wrapText="1"/>
    </xf>
    <xf numFmtId="0" fontId="2" fillId="0" borderId="6" xfId="1" applyBorder="1" applyAlignment="1">
      <alignment vertical="center"/>
    </xf>
    <xf numFmtId="0" fontId="2" fillId="0" borderId="0" xfId="1" applyFont="1" applyFill="1" applyBorder="1" applyAlignment="1">
      <alignment horizontal="center" vertical="center"/>
    </xf>
    <xf numFmtId="0" fontId="2" fillId="0" borderId="0" xfId="1" applyFont="1" applyFill="1" applyBorder="1" applyAlignment="1">
      <alignment horizontal="right" vertical="center"/>
    </xf>
    <xf numFmtId="0" fontId="2" fillId="0" borderId="8" xfId="1" applyBorder="1"/>
    <xf numFmtId="0" fontId="2" fillId="0" borderId="0" xfId="59" applyFont="1" applyAlignment="1">
      <alignment vertical="center"/>
    </xf>
    <xf numFmtId="0" fontId="2" fillId="2" borderId="1" xfId="59" applyFont="1" applyFill="1" applyBorder="1" applyAlignment="1">
      <alignment vertical="center"/>
    </xf>
    <xf numFmtId="0" fontId="4" fillId="2" borderId="2" xfId="59" applyFont="1" applyFill="1" applyBorder="1" applyAlignment="1">
      <alignment vertical="center"/>
    </xf>
    <xf numFmtId="0" fontId="2" fillId="2" borderId="2" xfId="59" applyFont="1" applyFill="1" applyBorder="1" applyAlignment="1">
      <alignment vertical="center"/>
    </xf>
    <xf numFmtId="0" fontId="2" fillId="3" borderId="2" xfId="59" applyFont="1" applyFill="1" applyBorder="1" applyAlignment="1">
      <alignment vertical="center"/>
    </xf>
    <xf numFmtId="0" fontId="2" fillId="2" borderId="3" xfId="59" applyFont="1" applyFill="1" applyBorder="1" applyAlignment="1">
      <alignment vertical="center"/>
    </xf>
    <xf numFmtId="0" fontId="2" fillId="2" borderId="5" xfId="59" applyFont="1" applyFill="1" applyBorder="1" applyAlignment="1">
      <alignment vertical="center"/>
    </xf>
    <xf numFmtId="0" fontId="2" fillId="2" borderId="0" xfId="59" applyFont="1" applyFill="1" applyBorder="1" applyAlignment="1">
      <alignment vertical="center"/>
    </xf>
    <xf numFmtId="0" fontId="2" fillId="4" borderId="0" xfId="59" applyFont="1" applyFill="1" applyBorder="1" applyAlignment="1">
      <alignment vertical="center"/>
    </xf>
    <xf numFmtId="0" fontId="4" fillId="2" borderId="0" xfId="59" applyFont="1" applyFill="1" applyBorder="1" applyAlignment="1">
      <alignment vertical="center"/>
    </xf>
    <xf numFmtId="0" fontId="2" fillId="2" borderId="6" xfId="59" applyFont="1" applyFill="1" applyBorder="1" applyAlignment="1">
      <alignment vertical="center"/>
    </xf>
    <xf numFmtId="0" fontId="6" fillId="0" borderId="0" xfId="59" applyFont="1" applyFill="1" applyBorder="1" applyAlignment="1">
      <alignment horizontal="left" vertical="center"/>
    </xf>
    <xf numFmtId="0" fontId="2" fillId="0" borderId="1" xfId="1" applyFill="1" applyBorder="1" applyAlignment="1">
      <alignment horizontal="right" vertical="center"/>
    </xf>
    <xf numFmtId="0" fontId="2" fillId="0" borderId="45" xfId="1" applyFill="1" applyBorder="1" applyAlignment="1">
      <alignment horizontal="right" vertical="center"/>
    </xf>
    <xf numFmtId="0" fontId="2" fillId="21" borderId="14" xfId="1" applyFill="1" applyBorder="1" applyAlignment="1">
      <alignment horizontal="left"/>
    </xf>
    <xf numFmtId="0" fontId="2" fillId="0" borderId="17" xfId="1" applyFill="1" applyBorder="1" applyAlignment="1">
      <alignment horizontal="right" vertical="center"/>
    </xf>
    <xf numFmtId="0" fontId="2" fillId="0" borderId="33" xfId="1" applyFill="1" applyBorder="1" applyAlignment="1">
      <alignment horizontal="right" vertical="center"/>
    </xf>
    <xf numFmtId="0" fontId="2" fillId="4" borderId="20" xfId="59" applyFont="1" applyFill="1" applyBorder="1" applyAlignment="1">
      <alignment horizontal="left" vertical="center"/>
    </xf>
    <xf numFmtId="0" fontId="2" fillId="0" borderId="0" xfId="59" applyFont="1" applyBorder="1" applyAlignment="1">
      <alignment horizontal="left" vertical="center"/>
    </xf>
    <xf numFmtId="0" fontId="2" fillId="0" borderId="33" xfId="59" applyFont="1" applyFill="1" applyBorder="1" applyAlignment="1">
      <alignment horizontal="right" vertical="center"/>
    </xf>
    <xf numFmtId="0" fontId="2" fillId="0" borderId="23" xfId="1" applyFill="1" applyBorder="1" applyAlignment="1">
      <alignment horizontal="right" vertical="center"/>
    </xf>
    <xf numFmtId="0" fontId="2" fillId="0" borderId="50" xfId="59" applyFont="1" applyFill="1" applyBorder="1" applyAlignment="1">
      <alignment horizontal="right" vertical="center"/>
    </xf>
    <xf numFmtId="0" fontId="2" fillId="4" borderId="27" xfId="59" applyFont="1" applyFill="1" applyBorder="1" applyAlignment="1">
      <alignment horizontal="left" vertical="center"/>
    </xf>
    <xf numFmtId="0" fontId="6" fillId="0" borderId="0" xfId="59" applyFont="1" applyAlignment="1">
      <alignment vertical="center"/>
    </xf>
    <xf numFmtId="0" fontId="6" fillId="0" borderId="0" xfId="59" applyFont="1" applyBorder="1" applyAlignment="1">
      <alignment vertical="center"/>
    </xf>
    <xf numFmtId="0" fontId="2" fillId="0" borderId="0" xfId="59" applyFont="1" applyBorder="1" applyAlignment="1">
      <alignment vertical="center"/>
    </xf>
    <xf numFmtId="0" fontId="6" fillId="0" borderId="0" xfId="59" applyFont="1" applyFill="1" applyAlignment="1">
      <alignment vertical="center"/>
    </xf>
    <xf numFmtId="0" fontId="2" fillId="0" borderId="86" xfId="59" applyFont="1" applyFill="1" applyBorder="1" applyAlignment="1">
      <alignment horizontal="center" vertical="center"/>
    </xf>
    <xf numFmtId="0" fontId="2" fillId="0" borderId="45" xfId="59" applyFont="1" applyFill="1" applyBorder="1" applyAlignment="1">
      <alignment horizontal="center" vertical="center"/>
    </xf>
    <xf numFmtId="164" fontId="41" fillId="0" borderId="0" xfId="0" applyNumberFormat="1" applyFont="1" applyFill="1" applyBorder="1" applyAlignment="1">
      <alignment horizontal="center" vertical="center"/>
    </xf>
    <xf numFmtId="0" fontId="0" fillId="0" borderId="0" xfId="0" applyAlignment="1">
      <alignment vertical="center"/>
    </xf>
    <xf numFmtId="0" fontId="6" fillId="0" borderId="0" xfId="0" applyFont="1" applyFill="1" applyBorder="1" applyAlignment="1">
      <alignment horizontal="center" vertical="center" wrapText="1"/>
    </xf>
    <xf numFmtId="0" fontId="2" fillId="0" borderId="0" xfId="0" applyFont="1" applyFill="1" applyBorder="1" applyAlignment="1">
      <alignment horizontal="center" vertical="center"/>
    </xf>
    <xf numFmtId="0" fontId="6" fillId="0" borderId="9" xfId="0" applyFont="1" applyFill="1" applyBorder="1" applyAlignment="1">
      <alignment horizontal="center" vertical="center" wrapText="1"/>
    </xf>
    <xf numFmtId="0" fontId="2" fillId="0" borderId="9" xfId="0" applyFont="1" applyFill="1" applyBorder="1" applyAlignment="1">
      <alignment horizontal="center" vertical="center"/>
    </xf>
    <xf numFmtId="0" fontId="2" fillId="0" borderId="9" xfId="59" applyFont="1" applyBorder="1" applyAlignment="1">
      <alignment vertical="center"/>
    </xf>
    <xf numFmtId="165" fontId="2" fillId="0" borderId="0" xfId="59" applyNumberFormat="1" applyFont="1" applyFill="1" applyBorder="1" applyAlignment="1">
      <alignment horizontal="center" vertical="center"/>
    </xf>
    <xf numFmtId="0" fontId="6" fillId="0" borderId="0" xfId="0" applyFont="1" applyFill="1" applyBorder="1" applyAlignment="1">
      <alignment vertical="center" wrapText="1"/>
    </xf>
    <xf numFmtId="165" fontId="2" fillId="0" borderId="0" xfId="59" applyNumberFormat="1" applyFont="1" applyAlignment="1">
      <alignment vertical="center"/>
    </xf>
    <xf numFmtId="0" fontId="2" fillId="0" borderId="0" xfId="1" applyFont="1" applyBorder="1"/>
    <xf numFmtId="0" fontId="2" fillId="0" borderId="0" xfId="1" applyFont="1" applyAlignment="1">
      <alignment vertical="top" wrapText="1"/>
    </xf>
    <xf numFmtId="168" fontId="10" fillId="0" borderId="0" xfId="1" applyNumberFormat="1" applyFont="1" applyFill="1" applyBorder="1" applyAlignment="1"/>
    <xf numFmtId="169" fontId="10" fillId="0" borderId="0" xfId="1" applyNumberFormat="1" applyFont="1" applyFill="1" applyBorder="1" applyAlignment="1"/>
    <xf numFmtId="0" fontId="34" fillId="0" borderId="0" xfId="0" applyFont="1" applyFill="1" applyBorder="1" applyAlignment="1">
      <alignment vertical="center" wrapText="1"/>
    </xf>
    <xf numFmtId="0" fontId="30" fillId="0" borderId="63" xfId="1" applyFont="1" applyBorder="1" applyAlignment="1">
      <alignment vertical="center"/>
    </xf>
    <xf numFmtId="0" fontId="2" fillId="0" borderId="2" xfId="1" applyFont="1" applyBorder="1" applyAlignment="1">
      <alignment vertical="center"/>
    </xf>
    <xf numFmtId="164" fontId="2" fillId="0" borderId="0" xfId="1" applyNumberFormat="1" applyFont="1" applyFill="1" applyBorder="1"/>
    <xf numFmtId="0" fontId="2" fillId="0" borderId="0" xfId="1" applyFont="1"/>
    <xf numFmtId="0" fontId="2" fillId="0" borderId="0" xfId="1" applyFont="1" applyFill="1" applyAlignment="1">
      <alignment vertical="center"/>
    </xf>
    <xf numFmtId="0" fontId="2" fillId="0" borderId="0" xfId="1" applyFont="1" applyFill="1" applyAlignment="1">
      <alignment horizontal="right"/>
    </xf>
    <xf numFmtId="164" fontId="2" fillId="0" borderId="0" xfId="1" applyNumberFormat="1" applyFont="1" applyFill="1" applyBorder="1" applyAlignment="1">
      <alignment horizontal="left"/>
    </xf>
    <xf numFmtId="0" fontId="2" fillId="0" borderId="0" xfId="1" applyFont="1" applyBorder="1" applyAlignment="1">
      <alignment horizontal="left" vertical="center"/>
    </xf>
    <xf numFmtId="164" fontId="6" fillId="0" borderId="0" xfId="1" applyNumberFormat="1" applyFont="1" applyFill="1" applyBorder="1" applyAlignment="1">
      <alignment horizontal="left" vertical="center" wrapText="1"/>
    </xf>
    <xf numFmtId="0" fontId="2" fillId="0" borderId="0" xfId="1" applyFont="1" applyFill="1" applyBorder="1"/>
    <xf numFmtId="164" fontId="2" fillId="0" borderId="103" xfId="1" applyNumberFormat="1" applyFill="1" applyBorder="1" applyAlignment="1">
      <alignment horizontal="center" vertical="center"/>
    </xf>
    <xf numFmtId="164" fontId="2" fillId="0" borderId="91" xfId="1" applyNumberFormat="1" applyFill="1" applyBorder="1" applyAlignment="1">
      <alignment horizontal="center" vertical="center"/>
    </xf>
    <xf numFmtId="0" fontId="31" fillId="0" borderId="0" xfId="1" applyFont="1" applyFill="1" applyAlignment="1">
      <alignment horizontal="left" vertical="center"/>
    </xf>
    <xf numFmtId="164" fontId="2" fillId="0" borderId="27" xfId="1" applyNumberFormat="1" applyFill="1" applyBorder="1" applyAlignment="1">
      <alignment horizontal="center" vertical="center"/>
    </xf>
    <xf numFmtId="0" fontId="6" fillId="0" borderId="0" xfId="66" applyFont="1" applyFill="1" applyBorder="1" applyAlignment="1">
      <alignment horizontal="center" vertical="center" wrapText="1"/>
    </xf>
    <xf numFmtId="164" fontId="28" fillId="0" borderId="0" xfId="1" applyNumberFormat="1" applyFont="1" applyFill="1" applyBorder="1" applyAlignment="1">
      <alignment horizontal="left" vertical="center"/>
    </xf>
    <xf numFmtId="0" fontId="31" fillId="0" borderId="0" xfId="1" applyFont="1" applyFill="1" applyBorder="1" applyAlignment="1">
      <alignment horizontal="center" vertical="center"/>
    </xf>
    <xf numFmtId="0" fontId="34" fillId="0" borderId="0" xfId="1" applyFont="1" applyFill="1" applyBorder="1" applyAlignment="1">
      <alignment horizontal="center"/>
    </xf>
    <xf numFmtId="0" fontId="2" fillId="0" borderId="0" xfId="1" applyFont="1" applyFill="1" applyBorder="1" applyAlignment="1">
      <alignment horizontal="center"/>
    </xf>
    <xf numFmtId="2" fontId="2" fillId="4" borderId="7" xfId="1" applyNumberFormat="1" applyFill="1" applyBorder="1" applyAlignment="1">
      <alignment horizontal="center" vertical="center"/>
    </xf>
    <xf numFmtId="0" fontId="2" fillId="0" borderId="21" xfId="1" applyFont="1" applyBorder="1" applyAlignment="1">
      <alignment horizontal="center" vertical="center"/>
    </xf>
    <xf numFmtId="0" fontId="2" fillId="0" borderId="11" xfId="1" applyFont="1" applyBorder="1" applyAlignment="1">
      <alignment horizontal="center" vertical="center"/>
    </xf>
    <xf numFmtId="0" fontId="2" fillId="0" borderId="22" xfId="1" applyBorder="1" applyAlignment="1">
      <alignment horizontal="center" vertical="center"/>
    </xf>
    <xf numFmtId="0" fontId="2" fillId="0" borderId="32" xfId="1" applyBorder="1" applyAlignment="1">
      <alignment horizontal="center" vertical="center"/>
    </xf>
    <xf numFmtId="0" fontId="2" fillId="0" borderId="58" xfId="1" applyFill="1" applyBorder="1" applyAlignment="1">
      <alignment horizontal="right" vertical="center"/>
    </xf>
    <xf numFmtId="164" fontId="2" fillId="21" borderId="15" xfId="1" applyNumberFormat="1" applyFont="1" applyFill="1" applyBorder="1" applyAlignment="1">
      <alignment horizontal="center" vertical="center"/>
    </xf>
    <xf numFmtId="164" fontId="2" fillId="21" borderId="16" xfId="1" applyNumberFormat="1" applyFont="1" applyFill="1" applyBorder="1" applyAlignment="1">
      <alignment horizontal="center" vertical="center"/>
    </xf>
    <xf numFmtId="0" fontId="2" fillId="0" borderId="46" xfId="1" applyFont="1" applyBorder="1" applyAlignment="1">
      <alignment horizontal="center" vertical="center"/>
    </xf>
    <xf numFmtId="0" fontId="2" fillId="0" borderId="31" xfId="1" applyBorder="1" applyAlignment="1">
      <alignment horizontal="center" vertical="center" wrapText="1"/>
    </xf>
    <xf numFmtId="164" fontId="2" fillId="0" borderId="99" xfId="1" applyNumberFormat="1" applyFont="1" applyBorder="1" applyAlignment="1">
      <alignment horizontal="center" vertical="center"/>
    </xf>
    <xf numFmtId="164" fontId="2" fillId="0" borderId="93" xfId="1" applyNumberFormat="1" applyFont="1" applyBorder="1" applyAlignment="1">
      <alignment horizontal="center" vertical="center"/>
    </xf>
    <xf numFmtId="164" fontId="2" fillId="0" borderId="65" xfId="1" applyNumberFormat="1" applyFont="1" applyBorder="1" applyAlignment="1">
      <alignment horizontal="center" vertical="center"/>
    </xf>
    <xf numFmtId="164" fontId="2" fillId="0" borderId="8" xfId="1" applyNumberFormat="1" applyFont="1" applyBorder="1" applyAlignment="1">
      <alignment horizontal="center" vertical="center"/>
    </xf>
    <xf numFmtId="0" fontId="2" fillId="0" borderId="0" xfId="1" applyAlignment="1">
      <alignment vertical="center"/>
    </xf>
    <xf numFmtId="0" fontId="6" fillId="0" borderId="65" xfId="1" applyFont="1" applyBorder="1" applyAlignment="1">
      <alignment vertical="center" wrapText="1"/>
    </xf>
    <xf numFmtId="0" fontId="30" fillId="0" borderId="5" xfId="1" applyFont="1" applyBorder="1" applyAlignment="1">
      <alignment vertical="center"/>
    </xf>
    <xf numFmtId="0" fontId="6" fillId="0" borderId="1" xfId="1" applyFont="1" applyBorder="1" applyAlignment="1">
      <alignment vertical="center" wrapText="1"/>
    </xf>
    <xf numFmtId="0" fontId="2" fillId="0" borderId="13" xfId="1" applyBorder="1"/>
    <xf numFmtId="0" fontId="6" fillId="0" borderId="3" xfId="1" applyFont="1" applyBorder="1" applyAlignment="1">
      <alignment vertical="center" textRotation="255"/>
    </xf>
    <xf numFmtId="0" fontId="6" fillId="0" borderId="64" xfId="1" applyFont="1" applyBorder="1" applyAlignment="1">
      <alignment vertical="center" textRotation="255"/>
    </xf>
    <xf numFmtId="0" fontId="2" fillId="0" borderId="26" xfId="1" applyBorder="1" applyAlignment="1">
      <alignment horizontal="left"/>
    </xf>
    <xf numFmtId="0" fontId="30" fillId="0" borderId="19" xfId="1" applyFont="1" applyBorder="1" applyAlignment="1">
      <alignment vertical="center"/>
    </xf>
    <xf numFmtId="2" fontId="2" fillId="0" borderId="0" xfId="1" applyNumberFormat="1" applyBorder="1" applyAlignment="1">
      <alignment horizontal="center" vertical="center"/>
    </xf>
    <xf numFmtId="0" fontId="6" fillId="0" borderId="81" xfId="1" applyFont="1" applyBorder="1" applyAlignment="1">
      <alignment horizontal="center" vertical="center" wrapText="1"/>
    </xf>
    <xf numFmtId="164" fontId="2" fillId="0" borderId="17" xfId="1" applyNumberFormat="1" applyFill="1" applyBorder="1" applyAlignment="1">
      <alignment horizontal="center" vertical="center"/>
    </xf>
    <xf numFmtId="164" fontId="6" fillId="0" borderId="32" xfId="1" applyNumberFormat="1" applyFont="1" applyBorder="1" applyAlignment="1">
      <alignment horizontal="center" vertical="center"/>
    </xf>
    <xf numFmtId="0" fontId="2" fillId="0" borderId="102" xfId="0" applyFont="1" applyFill="1" applyBorder="1" applyAlignment="1">
      <alignment horizontal="center"/>
    </xf>
    <xf numFmtId="0" fontId="2" fillId="0" borderId="102" xfId="0" applyFont="1" applyBorder="1" applyAlignment="1">
      <alignment horizontal="center"/>
    </xf>
    <xf numFmtId="164" fontId="2" fillId="0" borderId="87" xfId="1" applyNumberFormat="1" applyFont="1" applyBorder="1" applyAlignment="1">
      <alignment horizontal="center" vertical="center"/>
    </xf>
    <xf numFmtId="164" fontId="2" fillId="0" borderId="89" xfId="1" applyNumberFormat="1" applyFont="1" applyBorder="1" applyAlignment="1">
      <alignment horizontal="center" vertical="center"/>
    </xf>
    <xf numFmtId="164" fontId="2" fillId="0" borderId="94" xfId="1" applyNumberFormat="1" applyFont="1" applyBorder="1" applyAlignment="1">
      <alignment horizontal="center" vertical="center"/>
    </xf>
    <xf numFmtId="2" fontId="2" fillId="25" borderId="30" xfId="0" applyNumberFormat="1" applyFont="1" applyFill="1" applyBorder="1" applyAlignment="1">
      <alignment horizontal="center" vertical="center"/>
    </xf>
    <xf numFmtId="2" fontId="2" fillId="25" borderId="11" xfId="0" applyNumberFormat="1" applyFont="1" applyFill="1" applyBorder="1" applyAlignment="1">
      <alignment horizontal="center" vertical="center"/>
    </xf>
    <xf numFmtId="2" fontId="2" fillId="25" borderId="14" xfId="0" applyNumberFormat="1" applyFont="1" applyFill="1" applyBorder="1" applyAlignment="1">
      <alignment horizontal="center" vertical="center"/>
    </xf>
    <xf numFmtId="2" fontId="2" fillId="25" borderId="103" xfId="0" applyNumberFormat="1" applyFont="1" applyFill="1" applyBorder="1" applyAlignment="1">
      <alignment horizontal="center" vertical="center"/>
    </xf>
    <xf numFmtId="2" fontId="2" fillId="25" borderId="90" xfId="0" applyNumberFormat="1" applyFont="1" applyFill="1" applyBorder="1" applyAlignment="1">
      <alignment horizontal="center" vertical="center"/>
    </xf>
    <xf numFmtId="2" fontId="2" fillId="25" borderId="91" xfId="0" applyNumberFormat="1" applyFont="1" applyFill="1" applyBorder="1" applyAlignment="1">
      <alignment horizontal="center" vertical="center"/>
    </xf>
    <xf numFmtId="2" fontId="2" fillId="25" borderId="32" xfId="0" applyNumberFormat="1" applyFont="1" applyFill="1" applyBorder="1" applyAlignment="1">
      <alignment horizontal="center" vertical="center"/>
    </xf>
    <xf numFmtId="2" fontId="2" fillId="25" borderId="24" xfId="0" applyNumberFormat="1" applyFont="1" applyFill="1" applyBorder="1" applyAlignment="1">
      <alignment horizontal="center" vertical="center"/>
    </xf>
    <xf numFmtId="2" fontId="2" fillId="25" borderId="27" xfId="0" applyNumberFormat="1" applyFont="1" applyFill="1" applyBorder="1" applyAlignment="1">
      <alignment horizontal="center" vertical="center"/>
    </xf>
    <xf numFmtId="2" fontId="2" fillId="0" borderId="0" xfId="59" applyNumberFormat="1" applyFont="1" applyAlignment="1">
      <alignment vertical="center"/>
    </xf>
    <xf numFmtId="2" fontId="2" fillId="0" borderId="9" xfId="59" applyNumberFormat="1" applyFont="1" applyBorder="1" applyAlignment="1">
      <alignment vertical="center"/>
    </xf>
    <xf numFmtId="2" fontId="2" fillId="0" borderId="86" xfId="59" applyNumberFormat="1" applyFont="1" applyFill="1" applyBorder="1" applyAlignment="1">
      <alignment horizontal="center" vertical="center"/>
    </xf>
    <xf numFmtId="2" fontId="2" fillId="0" borderId="45" xfId="59" applyNumberFormat="1" applyFont="1" applyFill="1" applyBorder="1" applyAlignment="1">
      <alignment horizontal="center" vertical="center"/>
    </xf>
    <xf numFmtId="2" fontId="2" fillId="0" borderId="3" xfId="59" applyNumberFormat="1" applyFont="1" applyFill="1" applyBorder="1" applyAlignment="1">
      <alignment horizontal="center" vertical="center"/>
    </xf>
    <xf numFmtId="2" fontId="2" fillId="0" borderId="30" xfId="0" applyNumberFormat="1" applyFont="1" applyFill="1" applyBorder="1" applyAlignment="1">
      <alignment horizontal="center" vertical="center"/>
    </xf>
    <xf numFmtId="2" fontId="2" fillId="0" borderId="11" xfId="0" applyNumberFormat="1" applyFont="1" applyFill="1" applyBorder="1" applyAlignment="1">
      <alignment horizontal="center" vertical="center"/>
    </xf>
    <xf numFmtId="2" fontId="2" fillId="0" borderId="14" xfId="0" applyNumberFormat="1" applyFont="1" applyFill="1" applyBorder="1" applyAlignment="1">
      <alignment horizontal="center" vertical="center"/>
    </xf>
    <xf numFmtId="2" fontId="2" fillId="0" borderId="103" xfId="0" applyNumberFormat="1" applyFont="1" applyFill="1" applyBorder="1" applyAlignment="1">
      <alignment horizontal="center" vertical="center"/>
    </xf>
    <xf numFmtId="2" fontId="2" fillId="0" borderId="90" xfId="0" applyNumberFormat="1" applyFont="1" applyFill="1" applyBorder="1" applyAlignment="1">
      <alignment horizontal="center" vertical="center"/>
    </xf>
    <xf numFmtId="2" fontId="2" fillId="0" borderId="91" xfId="0" applyNumberFormat="1" applyFont="1" applyFill="1" applyBorder="1" applyAlignment="1">
      <alignment horizontal="center" vertical="center"/>
    </xf>
    <xf numFmtId="2" fontId="2" fillId="0" borderId="32" xfId="0" applyNumberFormat="1" applyFont="1" applyFill="1" applyBorder="1" applyAlignment="1">
      <alignment horizontal="center" vertical="center"/>
    </xf>
    <xf numFmtId="2" fontId="2" fillId="0" borderId="24" xfId="0" applyNumberFormat="1" applyFont="1" applyFill="1" applyBorder="1" applyAlignment="1">
      <alignment horizontal="center" vertical="center"/>
    </xf>
    <xf numFmtId="2" fontId="2" fillId="0" borderId="27" xfId="0" applyNumberFormat="1" applyFont="1" applyFill="1" applyBorder="1" applyAlignment="1">
      <alignment horizontal="center" vertical="center"/>
    </xf>
    <xf numFmtId="0" fontId="2" fillId="0" borderId="2" xfId="59" applyFont="1" applyFill="1" applyBorder="1" applyAlignment="1">
      <alignment horizontal="center" vertical="center"/>
    </xf>
    <xf numFmtId="0" fontId="2" fillId="0" borderId="28" xfId="59" applyFont="1" applyBorder="1" applyAlignment="1">
      <alignment horizontal="center" vertical="center"/>
    </xf>
    <xf numFmtId="0" fontId="2" fillId="0" borderId="31" xfId="59" applyFont="1" applyFill="1" applyBorder="1" applyAlignment="1">
      <alignment horizontal="center" vertical="center"/>
    </xf>
    <xf numFmtId="2" fontId="2" fillId="25" borderId="95" xfId="0" applyNumberFormat="1" applyFont="1" applyFill="1" applyBorder="1" applyAlignment="1">
      <alignment horizontal="center" vertical="center"/>
    </xf>
    <xf numFmtId="2" fontId="2" fillId="25" borderId="108" xfId="0" applyNumberFormat="1" applyFont="1" applyFill="1" applyBorder="1" applyAlignment="1">
      <alignment horizontal="center" vertical="center"/>
    </xf>
    <xf numFmtId="2" fontId="2" fillId="25" borderId="96" xfId="0" applyNumberFormat="1" applyFont="1" applyFill="1" applyBorder="1" applyAlignment="1">
      <alignment horizontal="center" vertical="center"/>
    </xf>
    <xf numFmtId="2" fontId="2" fillId="0" borderId="28" xfId="59" applyNumberFormat="1" applyFont="1" applyBorder="1" applyAlignment="1">
      <alignment horizontal="center" vertical="center"/>
    </xf>
    <xf numFmtId="2" fontId="2" fillId="0" borderId="31" xfId="59" applyNumberFormat="1" applyFont="1" applyFill="1" applyBorder="1" applyAlignment="1">
      <alignment horizontal="center" vertical="center"/>
    </xf>
    <xf numFmtId="2" fontId="2" fillId="0" borderId="95" xfId="0" applyNumberFormat="1" applyFont="1" applyFill="1" applyBorder="1" applyAlignment="1">
      <alignment horizontal="center" vertical="center"/>
    </xf>
    <xf numFmtId="2" fontId="2" fillId="0" borderId="108" xfId="0" applyNumberFormat="1" applyFont="1" applyFill="1" applyBorder="1" applyAlignment="1">
      <alignment horizontal="center" vertical="center"/>
    </xf>
    <xf numFmtId="2" fontId="2" fillId="0" borderId="96" xfId="0" applyNumberFormat="1" applyFont="1" applyFill="1" applyBorder="1" applyAlignment="1">
      <alignment horizontal="center" vertical="center"/>
    </xf>
    <xf numFmtId="0" fontId="2" fillId="0" borderId="0" xfId="1" applyFont="1" applyFill="1" applyAlignment="1">
      <alignment vertical="center" wrapText="1"/>
    </xf>
    <xf numFmtId="0" fontId="0" fillId="0" borderId="0" xfId="0" applyAlignment="1">
      <alignment wrapText="1"/>
    </xf>
    <xf numFmtId="0" fontId="2" fillId="0" borderId="3" xfId="1" applyBorder="1" applyAlignment="1">
      <alignment horizontal="center" vertical="center" wrapText="1"/>
    </xf>
    <xf numFmtId="0" fontId="2" fillId="0" borderId="28" xfId="1" applyBorder="1" applyAlignment="1">
      <alignment horizontal="center" vertical="center" wrapText="1"/>
    </xf>
    <xf numFmtId="164" fontId="2" fillId="0" borderId="95" xfId="1" applyNumberFormat="1" applyFont="1" applyBorder="1" applyAlignment="1">
      <alignment horizontal="center" vertical="center"/>
    </xf>
    <xf numFmtId="164" fontId="2" fillId="0" borderId="98" xfId="1" applyNumberFormat="1" applyFont="1" applyBorder="1" applyAlignment="1">
      <alignment horizontal="center" vertical="center"/>
    </xf>
    <xf numFmtId="164" fontId="2" fillId="0" borderId="96" xfId="1" applyNumberFormat="1" applyFont="1" applyBorder="1" applyAlignment="1">
      <alignment horizontal="center" vertical="center"/>
    </xf>
    <xf numFmtId="0" fontId="2" fillId="23" borderId="3" xfId="1" applyFont="1" applyFill="1" applyBorder="1" applyAlignment="1">
      <alignment vertical="center" wrapText="1"/>
    </xf>
    <xf numFmtId="0" fontId="2" fillId="23" borderId="8" xfId="1" applyFont="1" applyFill="1" applyBorder="1" applyAlignment="1">
      <alignment vertical="center" wrapText="1"/>
    </xf>
    <xf numFmtId="0" fontId="2" fillId="23" borderId="10" xfId="1" applyFont="1" applyFill="1" applyBorder="1" applyAlignment="1">
      <alignment vertical="center" wrapText="1"/>
    </xf>
    <xf numFmtId="0" fontId="2" fillId="23" borderId="5" xfId="1" applyFont="1" applyFill="1" applyBorder="1" applyAlignment="1">
      <alignment vertical="center" wrapText="1"/>
    </xf>
    <xf numFmtId="0" fontId="2" fillId="23" borderId="6" xfId="1" applyFont="1" applyFill="1" applyBorder="1" applyAlignment="1">
      <alignment vertical="center" wrapText="1"/>
    </xf>
    <xf numFmtId="0" fontId="2" fillId="0" borderId="44" xfId="1" applyBorder="1" applyAlignment="1">
      <alignment horizontal="center" vertical="center" wrapText="1"/>
    </xf>
    <xf numFmtId="0" fontId="2" fillId="0" borderId="49" xfId="1" applyBorder="1" applyAlignment="1">
      <alignment horizontal="center" vertical="center" wrapText="1"/>
    </xf>
    <xf numFmtId="164" fontId="2" fillId="0" borderId="97" xfId="1" applyNumberFormat="1" applyFill="1" applyBorder="1" applyAlignment="1">
      <alignment horizontal="center" vertical="center"/>
    </xf>
    <xf numFmtId="164" fontId="2" fillId="0" borderId="32" xfId="1" applyNumberFormat="1" applyFill="1" applyBorder="1" applyAlignment="1">
      <alignment horizontal="center" vertical="center"/>
    </xf>
    <xf numFmtId="0" fontId="2" fillId="0" borderId="62" xfId="1" applyFill="1" applyBorder="1"/>
    <xf numFmtId="0" fontId="2" fillId="3" borderId="7" xfId="1" applyFill="1" applyBorder="1" applyAlignment="1">
      <alignment horizontal="center" vertical="center"/>
    </xf>
    <xf numFmtId="0" fontId="2" fillId="21" borderId="7" xfId="1" applyFill="1" applyBorder="1" applyAlignment="1">
      <alignment horizontal="center" vertical="center"/>
    </xf>
    <xf numFmtId="0" fontId="10" fillId="0" borderId="0" xfId="1" applyFont="1" applyBorder="1" applyAlignment="1"/>
    <xf numFmtId="0" fontId="2" fillId="0" borderId="103" xfId="1" applyBorder="1" applyAlignment="1">
      <alignment horizontal="center" vertical="center"/>
    </xf>
    <xf numFmtId="0" fontId="2" fillId="0" borderId="90" xfId="1" applyFont="1" applyBorder="1" applyAlignment="1">
      <alignment horizontal="center" vertical="center"/>
    </xf>
    <xf numFmtId="165" fontId="2" fillId="0" borderId="90" xfId="1" applyNumberFormat="1" applyBorder="1" applyAlignment="1">
      <alignment horizontal="center" vertical="center"/>
    </xf>
    <xf numFmtId="0" fontId="2" fillId="0" borderId="107" xfId="1" applyBorder="1" applyAlignment="1">
      <alignment horizontal="center" vertical="center"/>
    </xf>
    <xf numFmtId="164" fontId="2" fillId="0" borderId="5" xfId="1" applyNumberFormat="1" applyFont="1" applyBorder="1" applyAlignment="1">
      <alignment horizontal="center" vertical="center"/>
    </xf>
    <xf numFmtId="164" fontId="2" fillId="0" borderId="108" xfId="1" applyNumberFormat="1" applyFont="1" applyBorder="1" applyAlignment="1">
      <alignment horizontal="center" vertical="center"/>
    </xf>
    <xf numFmtId="164" fontId="2" fillId="0" borderId="69" xfId="1" applyNumberFormat="1" applyFont="1" applyBorder="1" applyAlignment="1">
      <alignment horizontal="center" vertical="center"/>
    </xf>
    <xf numFmtId="0" fontId="2" fillId="0" borderId="0" xfId="1" applyAlignment="1">
      <alignment horizontal="left" vertical="center"/>
    </xf>
    <xf numFmtId="0" fontId="2" fillId="0" borderId="0" xfId="59" applyFont="1" applyAlignment="1">
      <alignment horizontal="right" vertical="center"/>
    </xf>
    <xf numFmtId="0" fontId="2" fillId="21" borderId="7" xfId="59" applyFont="1" applyFill="1" applyBorder="1" applyAlignment="1">
      <alignment horizontal="center" vertical="center"/>
    </xf>
    <xf numFmtId="0" fontId="2" fillId="0" borderId="106" xfId="1" applyBorder="1" applyAlignment="1">
      <alignment vertical="center"/>
    </xf>
    <xf numFmtId="0" fontId="2" fillId="0" borderId="106" xfId="1" applyFont="1" applyFill="1" applyBorder="1" applyAlignment="1">
      <alignment horizontal="right" vertical="center" wrapText="1"/>
    </xf>
    <xf numFmtId="0" fontId="2" fillId="0" borderId="106" xfId="1" applyFont="1" applyFill="1" applyBorder="1" applyAlignment="1">
      <alignment vertical="center"/>
    </xf>
    <xf numFmtId="0" fontId="2" fillId="0" borderId="106" xfId="1" applyFont="1" applyBorder="1" applyAlignment="1">
      <alignment vertical="center"/>
    </xf>
    <xf numFmtId="0" fontId="2" fillId="0" borderId="56" xfId="1" applyBorder="1"/>
    <xf numFmtId="0" fontId="2" fillId="0" borderId="0" xfId="1" applyFont="1" applyFill="1" applyBorder="1" applyAlignment="1">
      <alignment horizontal="right"/>
    </xf>
    <xf numFmtId="0" fontId="6" fillId="0" borderId="56" xfId="1" applyFont="1" applyBorder="1"/>
    <xf numFmtId="0" fontId="2" fillId="3" borderId="110" xfId="1" applyFill="1" applyBorder="1" applyAlignment="1">
      <alignment horizontal="center" vertical="center"/>
    </xf>
    <xf numFmtId="0" fontId="2" fillId="0" borderId="72" xfId="1" applyFill="1" applyBorder="1" applyAlignment="1">
      <alignment vertical="center"/>
    </xf>
    <xf numFmtId="0" fontId="2" fillId="0" borderId="72" xfId="1" applyBorder="1" applyAlignment="1">
      <alignment horizontal="right" vertical="center"/>
    </xf>
    <xf numFmtId="0" fontId="2" fillId="21" borderId="110" xfId="1" applyFill="1" applyBorder="1" applyAlignment="1">
      <alignment horizontal="center" vertical="center"/>
    </xf>
    <xf numFmtId="0" fontId="6" fillId="0" borderId="0" xfId="59" applyFont="1" applyFill="1" applyBorder="1" applyAlignment="1">
      <alignment horizontal="center" vertical="center" wrapText="1"/>
    </xf>
    <xf numFmtId="0" fontId="2" fillId="0" borderId="0" xfId="59" applyFont="1" applyFill="1" applyBorder="1" applyAlignment="1">
      <alignment horizontal="center" vertical="center" wrapText="1"/>
    </xf>
    <xf numFmtId="0" fontId="2" fillId="0" borderId="0" xfId="59" applyFont="1" applyFill="1" applyBorder="1" applyAlignment="1">
      <alignment vertical="center" wrapText="1"/>
    </xf>
    <xf numFmtId="0" fontId="2" fillId="0" borderId="0" xfId="59" applyFont="1" applyFill="1" applyBorder="1" applyAlignment="1">
      <alignment horizontal="right" vertical="center"/>
    </xf>
    <xf numFmtId="164" fontId="2" fillId="0" borderId="0" xfId="59" applyNumberFormat="1" applyFont="1" applyFill="1" applyBorder="1" applyAlignment="1">
      <alignment horizontal="center" vertical="center"/>
    </xf>
    <xf numFmtId="0" fontId="2" fillId="0" borderId="0" xfId="59" applyFont="1" applyFill="1" applyBorder="1" applyAlignment="1">
      <alignment vertical="center"/>
    </xf>
    <xf numFmtId="2" fontId="2" fillId="26" borderId="30" xfId="0" applyNumberFormat="1" applyFont="1" applyFill="1" applyBorder="1" applyAlignment="1">
      <alignment horizontal="center" vertical="center"/>
    </xf>
    <xf numFmtId="2" fontId="2" fillId="26" borderId="11" xfId="0" applyNumberFormat="1" applyFont="1" applyFill="1" applyBorder="1" applyAlignment="1">
      <alignment horizontal="center" vertical="center"/>
    </xf>
    <xf numFmtId="2" fontId="2" fillId="26" borderId="14" xfId="0" applyNumberFormat="1" applyFont="1" applyFill="1" applyBorder="1" applyAlignment="1">
      <alignment horizontal="center" vertical="center"/>
    </xf>
    <xf numFmtId="2" fontId="2" fillId="26" borderId="95" xfId="0" applyNumberFormat="1" applyFont="1" applyFill="1" applyBorder="1" applyAlignment="1">
      <alignment horizontal="center" vertical="center"/>
    </xf>
    <xf numFmtId="2" fontId="2" fillId="26" borderId="103" xfId="0" applyNumberFormat="1" applyFont="1" applyFill="1" applyBorder="1" applyAlignment="1">
      <alignment horizontal="center" vertical="center"/>
    </xf>
    <xf numFmtId="2" fontId="2" fillId="26" borderId="90" xfId="0" applyNumberFormat="1" applyFont="1" applyFill="1" applyBorder="1" applyAlignment="1">
      <alignment horizontal="center" vertical="center"/>
    </xf>
    <xf numFmtId="2" fontId="2" fillId="26" borderId="91" xfId="0" applyNumberFormat="1" applyFont="1" applyFill="1" applyBorder="1" applyAlignment="1">
      <alignment horizontal="center" vertical="center"/>
    </xf>
    <xf numFmtId="2" fontId="2" fillId="26" borderId="108" xfId="0" applyNumberFormat="1" applyFont="1" applyFill="1" applyBorder="1" applyAlignment="1">
      <alignment horizontal="center" vertical="center"/>
    </xf>
    <xf numFmtId="2" fontId="2" fillId="26" borderId="32" xfId="0" applyNumberFormat="1" applyFont="1" applyFill="1" applyBorder="1" applyAlignment="1">
      <alignment horizontal="center" vertical="center"/>
    </xf>
    <xf numFmtId="2" fontId="2" fillId="26" borderId="24" xfId="0" applyNumberFormat="1" applyFont="1" applyFill="1" applyBorder="1" applyAlignment="1">
      <alignment horizontal="center" vertical="center"/>
    </xf>
    <xf numFmtId="2" fontId="2" fillId="26" borderId="27" xfId="0" applyNumberFormat="1" applyFont="1" applyFill="1" applyBorder="1" applyAlignment="1">
      <alignment horizontal="center" vertical="center"/>
    </xf>
    <xf numFmtId="2" fontId="2" fillId="26" borderId="96" xfId="0" applyNumberFormat="1" applyFont="1" applyFill="1" applyBorder="1" applyAlignment="1">
      <alignment horizontal="center" vertical="center"/>
    </xf>
    <xf numFmtId="2" fontId="2" fillId="27" borderId="30" xfId="0" applyNumberFormat="1" applyFont="1" applyFill="1" applyBorder="1" applyAlignment="1">
      <alignment horizontal="center" vertical="center"/>
    </xf>
    <xf numFmtId="2" fontId="2" fillId="27" borderId="11" xfId="0" applyNumberFormat="1" applyFont="1" applyFill="1" applyBorder="1" applyAlignment="1">
      <alignment horizontal="center" vertical="center"/>
    </xf>
    <xf numFmtId="2" fontId="2" fillId="27" borderId="43" xfId="0" applyNumberFormat="1" applyFont="1" applyFill="1" applyBorder="1" applyAlignment="1">
      <alignment horizontal="center" vertical="center"/>
    </xf>
    <xf numFmtId="2" fontId="2" fillId="27" borderId="95" xfId="0" applyNumberFormat="1" applyFont="1" applyFill="1" applyBorder="1" applyAlignment="1">
      <alignment horizontal="center" vertical="center"/>
    </xf>
    <xf numFmtId="2" fontId="2" fillId="27" borderId="103" xfId="0" applyNumberFormat="1" applyFont="1" applyFill="1" applyBorder="1" applyAlignment="1">
      <alignment horizontal="center" vertical="center"/>
    </xf>
    <xf numFmtId="2" fontId="2" fillId="27" borderId="90" xfId="0" applyNumberFormat="1" applyFont="1" applyFill="1" applyBorder="1" applyAlignment="1">
      <alignment horizontal="center" vertical="center"/>
    </xf>
    <xf numFmtId="2" fontId="2" fillId="27" borderId="107" xfId="0" applyNumberFormat="1" applyFont="1" applyFill="1" applyBorder="1" applyAlignment="1">
      <alignment horizontal="center" vertical="center"/>
    </xf>
    <xf numFmtId="2" fontId="2" fillId="27" borderId="108" xfId="0" applyNumberFormat="1" applyFont="1" applyFill="1" applyBorder="1" applyAlignment="1">
      <alignment horizontal="center" vertical="center"/>
    </xf>
    <xf numFmtId="2" fontId="2" fillId="27" borderId="32" xfId="0" applyNumberFormat="1" applyFont="1" applyFill="1" applyBorder="1" applyAlignment="1">
      <alignment horizontal="center" vertical="center"/>
    </xf>
    <xf numFmtId="2" fontId="2" fillId="27" borderId="24" xfId="0" applyNumberFormat="1" applyFont="1" applyFill="1" applyBorder="1" applyAlignment="1">
      <alignment horizontal="center" vertical="center"/>
    </xf>
    <xf numFmtId="2" fontId="2" fillId="27" borderId="48" xfId="0" applyNumberFormat="1" applyFont="1" applyFill="1" applyBorder="1" applyAlignment="1">
      <alignment horizontal="center" vertical="center"/>
    </xf>
    <xf numFmtId="2" fontId="2" fillId="27" borderId="96" xfId="0" applyNumberFormat="1" applyFont="1" applyFill="1" applyBorder="1" applyAlignment="1">
      <alignment horizontal="center" vertical="center"/>
    </xf>
    <xf numFmtId="2" fontId="2" fillId="28" borderId="30" xfId="0" applyNumberFormat="1" applyFont="1" applyFill="1" applyBorder="1" applyAlignment="1">
      <alignment horizontal="center" vertical="center"/>
    </xf>
    <xf numFmtId="2" fontId="2" fillId="28" borderId="11" xfId="0" applyNumberFormat="1" applyFont="1" applyFill="1" applyBorder="1" applyAlignment="1">
      <alignment horizontal="center" vertical="center"/>
    </xf>
    <xf numFmtId="2" fontId="2" fillId="28" borderId="95" xfId="0" applyNumberFormat="1" applyFont="1" applyFill="1" applyBorder="1" applyAlignment="1">
      <alignment horizontal="center" vertical="center"/>
    </xf>
    <xf numFmtId="2" fontId="2" fillId="28" borderId="103" xfId="0" applyNumberFormat="1" applyFont="1" applyFill="1" applyBorder="1" applyAlignment="1">
      <alignment horizontal="center" vertical="center"/>
    </xf>
    <xf numFmtId="2" fontId="2" fillId="28" borderId="90" xfId="0" applyNumberFormat="1" applyFont="1" applyFill="1" applyBorder="1" applyAlignment="1">
      <alignment horizontal="center" vertical="center"/>
    </xf>
    <xf numFmtId="2" fontId="2" fillId="28" borderId="108" xfId="0" applyNumberFormat="1" applyFont="1" applyFill="1" applyBorder="1" applyAlignment="1">
      <alignment horizontal="center" vertical="center"/>
    </xf>
    <xf numFmtId="2" fontId="2" fillId="28" borderId="32" xfId="0" applyNumberFormat="1" applyFont="1" applyFill="1" applyBorder="1" applyAlignment="1">
      <alignment horizontal="center" vertical="center"/>
    </xf>
    <xf numFmtId="2" fontId="2" fillId="28" borderId="24" xfId="0" applyNumberFormat="1" applyFont="1" applyFill="1" applyBorder="1" applyAlignment="1">
      <alignment horizontal="center" vertical="center"/>
    </xf>
    <xf numFmtId="2" fontId="2" fillId="28" borderId="96" xfId="0" applyNumberFormat="1" applyFont="1" applyFill="1" applyBorder="1" applyAlignment="1">
      <alignment horizontal="center" vertical="center"/>
    </xf>
    <xf numFmtId="2" fontId="2" fillId="28" borderId="14" xfId="0" applyNumberFormat="1" applyFont="1" applyFill="1" applyBorder="1" applyAlignment="1">
      <alignment horizontal="center" vertical="center"/>
    </xf>
    <xf numFmtId="2" fontId="2" fillId="28" borderId="91" xfId="0" applyNumberFormat="1" applyFont="1" applyFill="1" applyBorder="1" applyAlignment="1">
      <alignment horizontal="center" vertical="center"/>
    </xf>
    <xf numFmtId="2" fontId="2" fillId="28" borderId="27" xfId="0" applyNumberFormat="1" applyFont="1" applyFill="1" applyBorder="1" applyAlignment="1">
      <alignment horizontal="center" vertical="center"/>
    </xf>
    <xf numFmtId="164" fontId="2" fillId="0" borderId="0" xfId="59" applyNumberFormat="1" applyFont="1" applyAlignment="1">
      <alignment horizontal="center" vertical="center"/>
    </xf>
    <xf numFmtId="0" fontId="45" fillId="0" borderId="0" xfId="1" applyFont="1" applyFill="1" applyBorder="1" applyAlignment="1">
      <alignment horizontal="left" vertical="center"/>
    </xf>
    <xf numFmtId="0" fontId="2" fillId="0" borderId="0" xfId="1" applyFont="1" applyFill="1" applyBorder="1" applyAlignment="1">
      <alignment horizontal="left"/>
    </xf>
    <xf numFmtId="0" fontId="3" fillId="2" borderId="1" xfId="1" applyFont="1" applyFill="1" applyBorder="1" applyAlignment="1">
      <alignment vertical="center"/>
    </xf>
    <xf numFmtId="0" fontId="4" fillId="2" borderId="2" xfId="1" applyFont="1" applyFill="1" applyBorder="1" applyAlignment="1">
      <alignment vertical="center"/>
    </xf>
    <xf numFmtId="0" fontId="2" fillId="2" borderId="2" xfId="1" applyFill="1" applyBorder="1" applyAlignment="1">
      <alignment vertical="center"/>
    </xf>
    <xf numFmtId="0" fontId="2" fillId="3" borderId="2" xfId="1" applyFill="1" applyBorder="1" applyAlignment="1">
      <alignment vertical="center"/>
    </xf>
    <xf numFmtId="0" fontId="2" fillId="2" borderId="3" xfId="1" applyFill="1" applyBorder="1" applyAlignment="1">
      <alignment vertical="center"/>
    </xf>
    <xf numFmtId="0" fontId="2" fillId="0" borderId="4" xfId="1" applyFill="1" applyBorder="1" applyAlignment="1">
      <alignment horizontal="left" vertical="center"/>
    </xf>
    <xf numFmtId="0" fontId="3" fillId="2" borderId="5" xfId="1" applyFont="1" applyFill="1" applyBorder="1" applyAlignment="1">
      <alignment vertical="center"/>
    </xf>
    <xf numFmtId="0" fontId="4" fillId="2" borderId="0" xfId="1" applyFont="1" applyFill="1" applyBorder="1" applyAlignment="1">
      <alignment horizontal="left" vertical="center"/>
    </xf>
    <xf numFmtId="0" fontId="2" fillId="2" borderId="0" xfId="1" applyFill="1" applyBorder="1" applyAlignment="1">
      <alignment vertical="center"/>
    </xf>
    <xf numFmtId="0" fontId="2" fillId="4" borderId="0" xfId="1" applyFill="1" applyBorder="1" applyAlignment="1">
      <alignment vertical="center"/>
    </xf>
    <xf numFmtId="0" fontId="4" fillId="2" borderId="0" xfId="1" applyFont="1" applyFill="1" applyBorder="1" applyAlignment="1">
      <alignment vertical="center"/>
    </xf>
    <xf numFmtId="0" fontId="2" fillId="2" borderId="6" xfId="1" applyFill="1" applyBorder="1" applyAlignment="1">
      <alignment vertical="center"/>
    </xf>
    <xf numFmtId="0" fontId="27" fillId="0" borderId="0" xfId="1" applyFont="1" applyFill="1" applyBorder="1" applyAlignment="1">
      <alignment horizontal="left" vertical="center"/>
    </xf>
    <xf numFmtId="0" fontId="6" fillId="0" borderId="0" xfId="58" applyFont="1" applyFill="1" applyBorder="1" applyAlignment="1">
      <alignment horizontal="right" vertical="center"/>
    </xf>
    <xf numFmtId="0" fontId="2" fillId="0" borderId="30" xfId="58" applyFill="1" applyBorder="1" applyAlignment="1">
      <alignment horizontal="right" vertical="center"/>
    </xf>
    <xf numFmtId="0" fontId="2" fillId="0" borderId="11" xfId="58" applyFill="1" applyBorder="1" applyAlignment="1">
      <alignment horizontal="right" vertical="center"/>
    </xf>
    <xf numFmtId="0" fontId="2" fillId="5" borderId="14" xfId="1" applyFill="1" applyBorder="1" applyAlignment="1">
      <alignment horizontal="left" vertical="center"/>
    </xf>
    <xf numFmtId="0" fontId="2" fillId="0" borderId="0" xfId="1" applyFill="1" applyBorder="1" applyAlignment="1">
      <alignment horizontal="left" vertical="center"/>
    </xf>
    <xf numFmtId="0" fontId="2" fillId="0" borderId="22" xfId="58" applyFill="1" applyBorder="1" applyAlignment="1">
      <alignment horizontal="right" vertical="center"/>
    </xf>
    <xf numFmtId="0" fontId="2" fillId="0" borderId="7" xfId="58" applyFill="1" applyBorder="1" applyAlignment="1">
      <alignment horizontal="right" vertical="center"/>
    </xf>
    <xf numFmtId="0" fontId="2" fillId="4" borderId="20" xfId="1" applyFill="1" applyBorder="1" applyAlignment="1">
      <alignment vertical="center"/>
    </xf>
    <xf numFmtId="0" fontId="2" fillId="0" borderId="23" xfId="58" applyFill="1" applyBorder="1" applyAlignment="1">
      <alignment horizontal="right" vertical="center"/>
    </xf>
    <xf numFmtId="0" fontId="2" fillId="0" borderId="24" xfId="58" applyFill="1" applyBorder="1" applyAlignment="1">
      <alignment horizontal="right" vertical="center"/>
    </xf>
    <xf numFmtId="0" fontId="2" fillId="4" borderId="27" xfId="1" applyFill="1" applyBorder="1" applyAlignment="1">
      <alignment vertical="center"/>
    </xf>
    <xf numFmtId="0" fontId="6" fillId="0" borderId="0" xfId="1" applyFont="1" applyFill="1" applyBorder="1" applyAlignment="1">
      <alignment horizontal="left" vertical="center"/>
    </xf>
    <xf numFmtId="0" fontId="2" fillId="0" borderId="82" xfId="1" applyBorder="1" applyAlignment="1">
      <alignment horizontal="right" vertical="center"/>
    </xf>
    <xf numFmtId="165" fontId="6" fillId="4" borderId="61" xfId="1" applyNumberFormat="1" applyFont="1" applyFill="1" applyBorder="1" applyAlignment="1">
      <alignment vertical="center"/>
    </xf>
    <xf numFmtId="0" fontId="2" fillId="0" borderId="61" xfId="1" applyFont="1" applyBorder="1" applyAlignment="1">
      <alignment vertical="center"/>
    </xf>
    <xf numFmtId="164" fontId="2" fillId="4" borderId="61" xfId="1" applyNumberFormat="1" applyFont="1" applyFill="1" applyBorder="1" applyAlignment="1">
      <alignment vertical="center"/>
    </xf>
    <xf numFmtId="0" fontId="2" fillId="0" borderId="61" xfId="1" applyFill="1" applyBorder="1" applyAlignment="1">
      <alignment vertical="center"/>
    </xf>
    <xf numFmtId="0" fontId="2" fillId="0" borderId="92" xfId="1" applyFont="1" applyBorder="1" applyAlignment="1">
      <alignment vertical="center"/>
    </xf>
    <xf numFmtId="0" fontId="5" fillId="0" borderId="0" xfId="1" applyFont="1" applyFill="1" applyBorder="1" applyAlignment="1">
      <alignment horizontal="right" vertical="center"/>
    </xf>
    <xf numFmtId="0" fontId="5" fillId="0" borderId="0" xfId="1" applyFont="1" applyAlignment="1">
      <alignment horizontal="left" vertical="center"/>
    </xf>
    <xf numFmtId="0" fontId="2" fillId="0" borderId="1" xfId="1" applyFont="1" applyFill="1" applyBorder="1" applyAlignment="1">
      <alignment horizontal="right"/>
    </xf>
    <xf numFmtId="0" fontId="2" fillId="0" borderId="15" xfId="1" applyFont="1" applyBorder="1" applyAlignment="1">
      <alignment horizontal="center"/>
    </xf>
    <xf numFmtId="0" fontId="2" fillId="0" borderId="16" xfId="1" applyFont="1" applyBorder="1" applyAlignment="1">
      <alignment horizontal="center"/>
    </xf>
    <xf numFmtId="0" fontId="2" fillId="0" borderId="17" xfId="1" applyFont="1" applyFill="1" applyBorder="1" applyAlignment="1">
      <alignment horizontal="right"/>
    </xf>
    <xf numFmtId="0" fontId="2" fillId="0" borderId="23" xfId="1" applyFont="1" applyFill="1" applyBorder="1" applyAlignment="1">
      <alignment horizontal="right"/>
    </xf>
    <xf numFmtId="0" fontId="2" fillId="0" borderId="0" xfId="1" applyFont="1" applyFill="1"/>
    <xf numFmtId="0" fontId="2" fillId="0" borderId="2" xfId="1" applyFont="1" applyFill="1" applyBorder="1" applyAlignment="1">
      <alignment horizontal="left"/>
    </xf>
    <xf numFmtId="0" fontId="2" fillId="0" borderId="2" xfId="1" applyFont="1" applyBorder="1"/>
    <xf numFmtId="0" fontId="2" fillId="0" borderId="3" xfId="1" applyFont="1" applyBorder="1"/>
    <xf numFmtId="0" fontId="2" fillId="0" borderId="5" xfId="1" applyFont="1" applyFill="1" applyBorder="1" applyAlignment="1">
      <alignment horizontal="right"/>
    </xf>
    <xf numFmtId="2" fontId="2" fillId="0" borderId="0" xfId="1" applyNumberFormat="1" applyFont="1" applyFill="1" applyBorder="1"/>
    <xf numFmtId="0" fontId="4" fillId="0" borderId="0" xfId="1" applyFont="1" applyFill="1" applyBorder="1" applyAlignment="1">
      <alignment horizontal="left"/>
    </xf>
    <xf numFmtId="0" fontId="2" fillId="0" borderId="6" xfId="1" applyFont="1" applyBorder="1"/>
    <xf numFmtId="0" fontId="2" fillId="0" borderId="32" xfId="1" applyFont="1" applyFill="1" applyBorder="1" applyAlignment="1">
      <alignment horizontal="center"/>
    </xf>
    <xf numFmtId="0" fontId="2" fillId="0" borderId="27" xfId="1" applyFont="1" applyFill="1" applyBorder="1" applyAlignment="1">
      <alignment horizontal="center"/>
    </xf>
    <xf numFmtId="2" fontId="2" fillId="4" borderId="7" xfId="1" applyNumberFormat="1" applyFont="1" applyFill="1" applyBorder="1"/>
    <xf numFmtId="0" fontId="2" fillId="0" borderId="0" xfId="1" applyFont="1" applyBorder="1" applyAlignment="1">
      <alignment wrapText="1"/>
    </xf>
    <xf numFmtId="0" fontId="2" fillId="0" borderId="6" xfId="1" applyFont="1" applyBorder="1" applyAlignment="1">
      <alignment wrapText="1"/>
    </xf>
    <xf numFmtId="0" fontId="2" fillId="0" borderId="6" xfId="1" applyFont="1" applyBorder="1" applyAlignment="1">
      <alignment horizontal="right"/>
    </xf>
    <xf numFmtId="0" fontId="2" fillId="0" borderId="8" xfId="1" applyFont="1" applyFill="1" applyBorder="1" applyAlignment="1">
      <alignment horizontal="right"/>
    </xf>
    <xf numFmtId="0" fontId="2" fillId="0" borderId="9" xfId="1" applyFont="1" applyFill="1" applyBorder="1"/>
    <xf numFmtId="0" fontId="2" fillId="0" borderId="9" xfId="1" applyFont="1" applyBorder="1"/>
    <xf numFmtId="0" fontId="2" fillId="0" borderId="10" xfId="1" applyFont="1" applyBorder="1" applyAlignment="1">
      <alignment horizontal="right"/>
    </xf>
    <xf numFmtId="165" fontId="2" fillId="0" borderId="0" xfId="1" applyNumberFormat="1" applyFont="1"/>
    <xf numFmtId="0" fontId="2" fillId="0" borderId="0" xfId="1" applyFont="1" applyFill="1" applyBorder="1" applyAlignment="1"/>
    <xf numFmtId="0" fontId="2" fillId="0" borderId="0" xfId="1" applyFont="1" applyAlignment="1">
      <alignment horizontal="right"/>
    </xf>
    <xf numFmtId="0" fontId="2" fillId="0" borderId="106" xfId="1" applyFont="1" applyBorder="1"/>
    <xf numFmtId="0" fontId="2" fillId="0" borderId="5" xfId="1" applyFont="1" applyBorder="1"/>
    <xf numFmtId="0" fontId="2" fillId="0" borderId="5" xfId="1" applyFont="1" applyFill="1" applyBorder="1" applyAlignment="1">
      <alignment horizontal="left"/>
    </xf>
    <xf numFmtId="2" fontId="2" fillId="0" borderId="29" xfId="1" applyNumberFormat="1" applyFont="1" applyBorder="1"/>
    <xf numFmtId="0" fontId="2" fillId="23" borderId="1" xfId="1" applyFont="1" applyFill="1" applyBorder="1" applyAlignment="1">
      <alignment vertical="center" wrapText="1"/>
    </xf>
    <xf numFmtId="2" fontId="2" fillId="0" borderId="67" xfId="1" applyNumberFormat="1" applyFont="1" applyBorder="1"/>
    <xf numFmtId="2" fontId="2" fillId="0" borderId="0" xfId="1" applyNumberFormat="1" applyFont="1" applyBorder="1"/>
    <xf numFmtId="2" fontId="2" fillId="0" borderId="0" xfId="1" applyNumberFormat="1" applyFont="1"/>
    <xf numFmtId="0" fontId="46" fillId="0" borderId="5" xfId="1" applyFont="1" applyFill="1" applyBorder="1"/>
    <xf numFmtId="0" fontId="2" fillId="0" borderId="8" xfId="1" applyFont="1" applyBorder="1"/>
    <xf numFmtId="0" fontId="2" fillId="0" borderId="10" xfId="1" applyFont="1" applyBorder="1"/>
    <xf numFmtId="0" fontId="2" fillId="0" borderId="111" xfId="1" applyBorder="1" applyAlignment="1">
      <alignment horizontal="right" vertical="center"/>
    </xf>
    <xf numFmtId="0" fontId="2" fillId="0" borderId="112" xfId="1" applyBorder="1" applyAlignment="1">
      <alignment horizontal="right" vertical="center"/>
    </xf>
    <xf numFmtId="2" fontId="2" fillId="24" borderId="30" xfId="0" applyNumberFormat="1" applyFont="1" applyFill="1" applyBorder="1" applyAlignment="1">
      <alignment horizontal="center" vertical="center"/>
    </xf>
    <xf numFmtId="2" fontId="2" fillId="24" borderId="11" xfId="0" applyNumberFormat="1" applyFont="1" applyFill="1" applyBorder="1" applyAlignment="1">
      <alignment horizontal="center" vertical="center"/>
    </xf>
    <xf numFmtId="2" fontId="2" fillId="24" borderId="14" xfId="0" applyNumberFormat="1" applyFont="1" applyFill="1" applyBorder="1" applyAlignment="1">
      <alignment horizontal="center" vertical="center"/>
    </xf>
    <xf numFmtId="2" fontId="2" fillId="24" borderId="32" xfId="0" applyNumberFormat="1" applyFont="1" applyFill="1" applyBorder="1" applyAlignment="1">
      <alignment horizontal="center" vertical="center"/>
    </xf>
    <xf numFmtId="2" fontId="2" fillId="24" borderId="24" xfId="0" applyNumberFormat="1" applyFont="1" applyFill="1" applyBorder="1" applyAlignment="1">
      <alignment horizontal="center" vertical="center"/>
    </xf>
    <xf numFmtId="2" fontId="2" fillId="24" borderId="27" xfId="0" applyNumberFormat="1" applyFont="1" applyFill="1" applyBorder="1" applyAlignment="1">
      <alignment horizontal="center" vertical="center"/>
    </xf>
    <xf numFmtId="2" fontId="2" fillId="29" borderId="30" xfId="0" applyNumberFormat="1" applyFont="1" applyFill="1" applyBorder="1" applyAlignment="1">
      <alignment horizontal="center" vertical="center"/>
    </xf>
    <xf numFmtId="2" fontId="2" fillId="29" borderId="11" xfId="0" applyNumberFormat="1" applyFont="1" applyFill="1" applyBorder="1" applyAlignment="1">
      <alignment horizontal="center" vertical="center"/>
    </xf>
    <xf numFmtId="2" fontId="2" fillId="29" borderId="14" xfId="0" applyNumberFormat="1" applyFont="1" applyFill="1" applyBorder="1" applyAlignment="1">
      <alignment horizontal="center" vertical="center"/>
    </xf>
    <xf numFmtId="2" fontId="2" fillId="29" borderId="103" xfId="0" applyNumberFormat="1" applyFont="1" applyFill="1" applyBorder="1" applyAlignment="1">
      <alignment horizontal="center" vertical="center"/>
    </xf>
    <xf numFmtId="2" fontId="2" fillId="29" borderId="90" xfId="0" applyNumberFormat="1" applyFont="1" applyFill="1" applyBorder="1" applyAlignment="1">
      <alignment horizontal="center" vertical="center"/>
    </xf>
    <xf numFmtId="2" fontId="2" fillId="29" borderId="91" xfId="0" applyNumberFormat="1" applyFont="1" applyFill="1" applyBorder="1" applyAlignment="1">
      <alignment horizontal="center" vertical="center"/>
    </xf>
    <xf numFmtId="2" fontId="2" fillId="29" borderId="32" xfId="0" applyNumberFormat="1" applyFont="1" applyFill="1" applyBorder="1" applyAlignment="1">
      <alignment horizontal="center" vertical="center"/>
    </xf>
    <xf numFmtId="2" fontId="2" fillId="29" borderId="24" xfId="0" applyNumberFormat="1" applyFont="1" applyFill="1" applyBorder="1" applyAlignment="1">
      <alignment horizontal="center" vertical="center"/>
    </xf>
    <xf numFmtId="2" fontId="2" fillId="29" borderId="27" xfId="0" applyNumberFormat="1" applyFont="1" applyFill="1" applyBorder="1" applyAlignment="1">
      <alignment horizontal="center" vertical="center"/>
    </xf>
    <xf numFmtId="2" fontId="2" fillId="24" borderId="95" xfId="0" applyNumberFormat="1" applyFont="1" applyFill="1" applyBorder="1" applyAlignment="1">
      <alignment horizontal="center" vertical="center"/>
    </xf>
    <xf numFmtId="2" fontId="2" fillId="24" borderId="96" xfId="0" applyNumberFormat="1" applyFont="1" applyFill="1" applyBorder="1" applyAlignment="1">
      <alignment horizontal="center" vertical="center"/>
    </xf>
    <xf numFmtId="0" fontId="2" fillId="0" borderId="0" xfId="59" applyFont="1" applyAlignment="1">
      <alignment horizontal="center" vertical="center"/>
    </xf>
    <xf numFmtId="1" fontId="2" fillId="0" borderId="11" xfId="1" applyNumberFormat="1" applyBorder="1" applyAlignment="1">
      <alignment horizontal="center" vertical="center"/>
    </xf>
    <xf numFmtId="164" fontId="2" fillId="0" borderId="30" xfId="1" applyNumberFormat="1" applyFont="1" applyFill="1" applyBorder="1" applyAlignment="1">
      <alignment horizontal="center" vertical="center" wrapText="1"/>
    </xf>
    <xf numFmtId="0" fontId="2" fillId="0" borderId="32" xfId="1" applyBorder="1"/>
    <xf numFmtId="170" fontId="2" fillId="0" borderId="43" xfId="1" applyNumberFormat="1" applyBorder="1" applyAlignment="1">
      <alignment horizontal="center" vertical="center"/>
    </xf>
    <xf numFmtId="2" fontId="2" fillId="0" borderId="46" xfId="1" applyNumberFormat="1" applyBorder="1" applyAlignment="1">
      <alignment horizontal="center" vertical="center"/>
    </xf>
    <xf numFmtId="2" fontId="2" fillId="4" borderId="46" xfId="1" applyNumberFormat="1" applyFill="1" applyBorder="1" applyAlignment="1">
      <alignment horizontal="center" vertical="center"/>
    </xf>
    <xf numFmtId="165" fontId="2" fillId="0" borderId="48" xfId="1" applyNumberFormat="1" applyBorder="1" applyAlignment="1">
      <alignment horizontal="center" vertical="center"/>
    </xf>
    <xf numFmtId="0" fontId="2" fillId="0" borderId="30" xfId="1" applyBorder="1" applyAlignment="1">
      <alignment horizontal="center" vertical="center"/>
    </xf>
    <xf numFmtId="0" fontId="2" fillId="0" borderId="14" xfId="1" applyBorder="1" applyAlignment="1">
      <alignment horizontal="center" vertical="center"/>
    </xf>
    <xf numFmtId="2" fontId="2" fillId="0" borderId="22" xfId="1" applyNumberFormat="1" applyBorder="1" applyAlignment="1">
      <alignment horizontal="center" vertical="center"/>
    </xf>
    <xf numFmtId="2" fontId="2" fillId="0" borderId="20" xfId="1" applyNumberFormat="1" applyBorder="1" applyAlignment="1">
      <alignment horizontal="center" vertical="center"/>
    </xf>
    <xf numFmtId="2" fontId="2" fillId="4" borderId="22" xfId="1" applyNumberFormat="1" applyFill="1" applyBorder="1" applyAlignment="1">
      <alignment horizontal="center" vertical="center"/>
    </xf>
    <xf numFmtId="2" fontId="2" fillId="4" borderId="20" xfId="1" applyNumberFormat="1" applyFill="1" applyBorder="1" applyAlignment="1">
      <alignment horizontal="center" vertical="center"/>
    </xf>
    <xf numFmtId="165" fontId="2" fillId="0" borderId="32" xfId="1" applyNumberFormat="1" applyBorder="1" applyAlignment="1">
      <alignment horizontal="center" vertical="center"/>
    </xf>
    <xf numFmtId="165" fontId="2" fillId="0" borderId="27" xfId="1" applyNumberFormat="1" applyBorder="1" applyAlignment="1">
      <alignment horizontal="center" vertical="center"/>
    </xf>
    <xf numFmtId="164" fontId="6" fillId="0" borderId="81" xfId="1" applyNumberFormat="1" applyFont="1" applyFill="1" applyBorder="1" applyAlignment="1">
      <alignment horizontal="center" vertical="center" wrapText="1"/>
    </xf>
    <xf numFmtId="0" fontId="2" fillId="0" borderId="0" xfId="59" applyFont="1" applyFill="1" applyBorder="1" applyAlignment="1">
      <alignment horizontal="left"/>
    </xf>
    <xf numFmtId="0" fontId="6" fillId="0" borderId="0" xfId="59" applyFont="1" applyFill="1" applyBorder="1" applyAlignment="1">
      <alignment vertical="center"/>
    </xf>
    <xf numFmtId="0" fontId="28" fillId="0" borderId="0" xfId="1" applyFont="1" applyBorder="1" applyAlignment="1"/>
    <xf numFmtId="0" fontId="6" fillId="0" borderId="16" xfId="1" applyFont="1" applyFill="1" applyBorder="1" applyAlignment="1">
      <alignment vertical="center" wrapText="1"/>
    </xf>
    <xf numFmtId="0" fontId="2" fillId="0" borderId="5" xfId="1" applyFont="1" applyBorder="1" applyAlignment="1">
      <alignment horizontal="right" vertical="center"/>
    </xf>
    <xf numFmtId="2" fontId="2" fillId="3" borderId="0" xfId="1" applyNumberFormat="1" applyFont="1" applyFill="1" applyBorder="1" applyAlignment="1">
      <alignment horizontal="center" vertical="center"/>
    </xf>
    <xf numFmtId="2" fontId="2" fillId="0" borderId="0" xfId="1" applyNumberFormat="1" applyFill="1" applyBorder="1" applyAlignment="1">
      <alignment horizontal="center" vertical="center"/>
    </xf>
    <xf numFmtId="2" fontId="2" fillId="0" borderId="7" xfId="1" applyNumberFormat="1" applyFont="1" applyFill="1" applyBorder="1" applyAlignment="1">
      <alignment horizontal="center" vertical="center"/>
    </xf>
    <xf numFmtId="2" fontId="2" fillId="0" borderId="0" xfId="1" applyNumberFormat="1" applyFill="1" applyAlignment="1">
      <alignment horizontal="center" vertical="center"/>
    </xf>
    <xf numFmtId="0" fontId="6" fillId="0" borderId="0" xfId="1" applyFont="1" applyFill="1" applyAlignment="1">
      <alignment horizontal="center" vertical="center"/>
    </xf>
    <xf numFmtId="2" fontId="2" fillId="29" borderId="95" xfId="0" applyNumberFormat="1" applyFont="1" applyFill="1" applyBorder="1" applyAlignment="1">
      <alignment horizontal="center" vertical="center"/>
    </xf>
    <xf numFmtId="2" fontId="2" fillId="29" borderId="108" xfId="0" applyNumberFormat="1" applyFont="1" applyFill="1" applyBorder="1" applyAlignment="1">
      <alignment horizontal="center" vertical="center"/>
    </xf>
    <xf numFmtId="2" fontId="2" fillId="29" borderId="96" xfId="0" applyNumberFormat="1" applyFont="1" applyFill="1" applyBorder="1" applyAlignment="1">
      <alignment horizontal="center" vertical="center"/>
    </xf>
    <xf numFmtId="2" fontId="2" fillId="0" borderId="28" xfId="59" applyNumberFormat="1" applyFont="1" applyFill="1" applyBorder="1" applyAlignment="1">
      <alignment horizontal="center" vertical="center"/>
    </xf>
    <xf numFmtId="0" fontId="2" fillId="22" borderId="5" xfId="1" applyFont="1" applyFill="1" applyBorder="1" applyAlignment="1">
      <alignment horizontal="center" vertical="center" wrapText="1"/>
    </xf>
    <xf numFmtId="0" fontId="2" fillId="22" borderId="6" xfId="1" applyFont="1" applyFill="1" applyBorder="1" applyAlignment="1">
      <alignment horizontal="center" vertical="center" wrapText="1"/>
    </xf>
    <xf numFmtId="164" fontId="2" fillId="0" borderId="14" xfId="1" applyNumberFormat="1" applyFont="1" applyFill="1" applyBorder="1" applyAlignment="1">
      <alignment horizontal="center" vertical="center" wrapText="1"/>
    </xf>
    <xf numFmtId="0" fontId="2" fillId="0" borderId="106" xfId="1" applyBorder="1" applyAlignment="1">
      <alignment horizontal="left" vertical="center" wrapText="1"/>
    </xf>
    <xf numFmtId="0" fontId="2" fillId="0" borderId="10" xfId="1" applyBorder="1" applyAlignment="1">
      <alignment horizontal="left" vertical="center" wrapText="1"/>
    </xf>
    <xf numFmtId="164" fontId="35" fillId="0" borderId="67" xfId="1" applyNumberFormat="1" applyFont="1" applyFill="1" applyBorder="1" applyAlignment="1">
      <alignment vertical="center" wrapText="1"/>
    </xf>
    <xf numFmtId="164" fontId="35" fillId="0" borderId="0" xfId="1" applyNumberFormat="1" applyFont="1" applyFill="1" applyBorder="1" applyAlignment="1">
      <alignment vertical="center" wrapText="1"/>
    </xf>
    <xf numFmtId="0" fontId="40" fillId="0" borderId="0" xfId="0" applyFont="1" applyFill="1" applyBorder="1" applyAlignment="1">
      <alignment vertical="center" wrapText="1"/>
    </xf>
    <xf numFmtId="0" fontId="40" fillId="0" borderId="4" xfId="0" applyFont="1" applyFill="1" applyBorder="1" applyAlignment="1">
      <alignment vertical="center" wrapText="1"/>
    </xf>
    <xf numFmtId="164" fontId="40" fillId="0" borderId="0" xfId="0" applyNumberFormat="1" applyFont="1" applyFill="1" applyBorder="1" applyAlignment="1">
      <alignment vertical="center" wrapText="1"/>
    </xf>
    <xf numFmtId="0" fontId="2" fillId="0" borderId="0" xfId="1" applyFont="1" applyBorder="1" applyAlignment="1">
      <alignment horizontal="right"/>
    </xf>
    <xf numFmtId="0" fontId="2" fillId="0" borderId="1" xfId="1" applyFont="1" applyBorder="1"/>
    <xf numFmtId="0" fontId="2" fillId="0" borderId="2" xfId="1" applyFont="1" applyFill="1" applyBorder="1"/>
    <xf numFmtId="0" fontId="2" fillId="0" borderId="2" xfId="1" applyFont="1" applyFill="1" applyBorder="1" applyAlignment="1">
      <alignment horizontal="center" vertical="center"/>
    </xf>
    <xf numFmtId="0" fontId="2" fillId="0" borderId="5" xfId="1" applyBorder="1"/>
    <xf numFmtId="0" fontId="2" fillId="0" borderId="106" xfId="1" applyFont="1" applyBorder="1" applyAlignment="1">
      <alignment horizontal="center"/>
    </xf>
    <xf numFmtId="0" fontId="2" fillId="24" borderId="5" xfId="1" applyFont="1" applyFill="1" applyBorder="1" applyAlignment="1">
      <alignment vertical="center" wrapText="1"/>
    </xf>
    <xf numFmtId="0" fontId="2" fillId="24" borderId="0" xfId="1" applyFont="1" applyFill="1" applyBorder="1" applyAlignment="1">
      <alignment vertical="center" wrapText="1"/>
    </xf>
    <xf numFmtId="0" fontId="2" fillId="24" borderId="6" xfId="1" applyFont="1" applyFill="1" applyBorder="1" applyAlignment="1">
      <alignment vertical="center" wrapText="1"/>
    </xf>
    <xf numFmtId="0" fontId="2" fillId="24" borderId="8" xfId="1" applyFont="1" applyFill="1" applyBorder="1" applyAlignment="1">
      <alignment vertical="center" wrapText="1"/>
    </xf>
    <xf numFmtId="0" fontId="2" fillId="24" borderId="106" xfId="1" applyFont="1" applyFill="1" applyBorder="1" applyAlignment="1">
      <alignment vertical="center" wrapText="1"/>
    </xf>
    <xf numFmtId="0" fontId="2" fillId="24" borderId="10" xfId="1" applyFont="1" applyFill="1" applyBorder="1" applyAlignment="1">
      <alignment vertical="center" wrapText="1"/>
    </xf>
    <xf numFmtId="0" fontId="2" fillId="23" borderId="2" xfId="1" applyFont="1" applyFill="1" applyBorder="1" applyAlignment="1">
      <alignment vertical="center" wrapText="1"/>
    </xf>
    <xf numFmtId="0" fontId="2" fillId="23" borderId="106" xfId="1" applyFont="1" applyFill="1" applyBorder="1" applyAlignment="1">
      <alignment vertical="center" wrapText="1"/>
    </xf>
    <xf numFmtId="0" fontId="2" fillId="23" borderId="0" xfId="1" applyFont="1" applyFill="1" applyBorder="1" applyAlignment="1">
      <alignment vertical="center" wrapText="1"/>
    </xf>
    <xf numFmtId="0" fontId="2" fillId="0" borderId="27" xfId="1" applyBorder="1"/>
    <xf numFmtId="0" fontId="28" fillId="0" borderId="56" xfId="1" applyFont="1" applyBorder="1" applyAlignment="1">
      <alignment vertical="center"/>
    </xf>
    <xf numFmtId="0" fontId="28" fillId="0" borderId="0" xfId="1" applyFont="1" applyBorder="1" applyAlignment="1">
      <alignment vertical="center"/>
    </xf>
    <xf numFmtId="0" fontId="2" fillId="0" borderId="57" xfId="1" applyFill="1" applyBorder="1" applyAlignment="1">
      <alignment horizontal="center" vertical="center" wrapText="1"/>
    </xf>
    <xf numFmtId="164" fontId="28" fillId="0" borderId="0" xfId="1" applyNumberFormat="1" applyFont="1" applyFill="1" applyBorder="1" applyAlignment="1">
      <alignment horizontal="right" vertical="center"/>
    </xf>
    <xf numFmtId="164" fontId="2" fillId="0" borderId="114" xfId="1" applyNumberFormat="1" applyFill="1" applyBorder="1" applyAlignment="1">
      <alignment horizontal="center" vertical="center"/>
    </xf>
    <xf numFmtId="164" fontId="2" fillId="0" borderId="113" xfId="1" applyNumberFormat="1" applyFill="1" applyBorder="1" applyAlignment="1">
      <alignment horizontal="center" vertical="center"/>
    </xf>
    <xf numFmtId="164" fontId="6" fillId="0" borderId="114" xfId="1" applyNumberFormat="1" applyFont="1" applyBorder="1" applyAlignment="1">
      <alignment horizontal="center" vertical="center"/>
    </xf>
    <xf numFmtId="164" fontId="2" fillId="0" borderId="105" xfId="1" applyNumberFormat="1" applyBorder="1" applyAlignment="1">
      <alignment horizontal="center" vertical="center"/>
    </xf>
    <xf numFmtId="0" fontId="2" fillId="0" borderId="2" xfId="1" applyFont="1" applyFill="1" applyBorder="1" applyAlignment="1"/>
    <xf numFmtId="0" fontId="2" fillId="0" borderId="0" xfId="1" applyFont="1" applyBorder="1" applyAlignment="1"/>
    <xf numFmtId="0" fontId="6" fillId="0" borderId="0" xfId="1" applyFont="1" applyFill="1" applyBorder="1" applyAlignment="1"/>
    <xf numFmtId="2" fontId="2" fillId="0" borderId="2" xfId="1" applyNumberFormat="1" applyFont="1" applyBorder="1" applyAlignment="1">
      <alignment vertical="center"/>
    </xf>
    <xf numFmtId="2" fontId="2" fillId="0" borderId="2" xfId="1" applyNumberFormat="1" applyFont="1" applyFill="1" applyBorder="1" applyAlignment="1"/>
    <xf numFmtId="0" fontId="2" fillId="0" borderId="57" xfId="1" applyFill="1" applyBorder="1" applyAlignment="1">
      <alignment wrapText="1"/>
    </xf>
    <xf numFmtId="0" fontId="2" fillId="0" borderId="71" xfId="1" applyFill="1" applyBorder="1" applyAlignment="1">
      <alignment horizontal="center" vertical="center"/>
    </xf>
    <xf numFmtId="0" fontId="2" fillId="0" borderId="71" xfId="1" applyFill="1" applyBorder="1" applyAlignment="1">
      <alignment horizontal="center" vertical="center" wrapText="1"/>
    </xf>
    <xf numFmtId="0" fontId="2" fillId="0" borderId="115" xfId="1" applyFill="1" applyBorder="1" applyAlignment="1">
      <alignment horizontal="center" vertical="center"/>
    </xf>
    <xf numFmtId="0" fontId="2" fillId="0" borderId="18" xfId="59" applyFont="1" applyFill="1" applyBorder="1" applyAlignment="1">
      <alignment horizontal="center" vertical="center"/>
    </xf>
    <xf numFmtId="2" fontId="2" fillId="0" borderId="15" xfId="0" applyNumberFormat="1" applyFont="1" applyFill="1" applyBorder="1" applyAlignment="1">
      <alignment horizontal="center" vertical="center"/>
    </xf>
    <xf numFmtId="2" fontId="2" fillId="0" borderId="80" xfId="0" applyNumberFormat="1" applyFont="1" applyFill="1" applyBorder="1" applyAlignment="1">
      <alignment horizontal="center" vertical="center"/>
    </xf>
    <xf numFmtId="2" fontId="2" fillId="0" borderId="16" xfId="0" applyNumberFormat="1" applyFont="1" applyFill="1" applyBorder="1" applyAlignment="1">
      <alignment horizontal="center" vertical="center"/>
    </xf>
    <xf numFmtId="2" fontId="2" fillId="0" borderId="28" xfId="0" applyNumberFormat="1" applyFont="1" applyFill="1" applyBorder="1" applyAlignment="1">
      <alignment horizontal="center" vertical="center"/>
    </xf>
    <xf numFmtId="0" fontId="6" fillId="0" borderId="0" xfId="1" applyFont="1" applyBorder="1" applyAlignment="1">
      <alignment horizontal="center" vertical="center"/>
    </xf>
    <xf numFmtId="0" fontId="36" fillId="0" borderId="0" xfId="1" applyFont="1" applyFill="1" applyBorder="1" applyAlignment="1">
      <alignment horizontal="left" vertical="center" wrapText="1"/>
    </xf>
    <xf numFmtId="0" fontId="2" fillId="0" borderId="29" xfId="1" applyBorder="1" applyAlignment="1">
      <alignment vertical="center"/>
    </xf>
    <xf numFmtId="0" fontId="2" fillId="0" borderId="47" xfId="1" applyBorder="1" applyAlignment="1">
      <alignment vertical="center"/>
    </xf>
    <xf numFmtId="0" fontId="2" fillId="0" borderId="61" xfId="1" applyBorder="1" applyAlignment="1">
      <alignment vertical="center"/>
    </xf>
    <xf numFmtId="0" fontId="2" fillId="0" borderId="0" xfId="58"/>
    <xf numFmtId="0" fontId="4" fillId="2" borderId="3" xfId="1" applyFont="1" applyFill="1" applyBorder="1"/>
    <xf numFmtId="0" fontId="4" fillId="2" borderId="6" xfId="1" applyFont="1" applyFill="1" applyBorder="1"/>
    <xf numFmtId="0" fontId="27" fillId="0" borderId="0" xfId="58" applyFont="1" applyFill="1" applyBorder="1" applyAlignment="1">
      <alignment horizontal="left"/>
    </xf>
    <xf numFmtId="0" fontId="27" fillId="0" borderId="0" xfId="58" applyFont="1"/>
    <xf numFmtId="0" fontId="2" fillId="0" borderId="4" xfId="58" applyFill="1" applyBorder="1" applyAlignment="1">
      <alignment horizontal="left"/>
    </xf>
    <xf numFmtId="0" fontId="6" fillId="0" borderId="0" xfId="58" applyFont="1" applyFill="1" applyBorder="1" applyAlignment="1">
      <alignment horizontal="left"/>
    </xf>
    <xf numFmtId="0" fontId="2" fillId="0" borderId="30" xfId="58" applyFill="1" applyBorder="1" applyAlignment="1">
      <alignment horizontal="left"/>
    </xf>
    <xf numFmtId="0" fontId="2" fillId="0" borderId="11" xfId="58" applyFill="1" applyBorder="1" applyAlignment="1">
      <alignment horizontal="left"/>
    </xf>
    <xf numFmtId="0" fontId="2" fillId="5" borderId="14" xfId="58" applyFill="1" applyBorder="1" applyAlignment="1">
      <alignment horizontal="left"/>
    </xf>
    <xf numFmtId="0" fontId="2" fillId="0" borderId="0" xfId="58" applyFill="1" applyBorder="1" applyAlignment="1">
      <alignment horizontal="left"/>
    </xf>
    <xf numFmtId="0" fontId="2" fillId="0" borderId="7" xfId="58" applyFill="1" applyBorder="1"/>
    <xf numFmtId="0" fontId="2" fillId="0" borderId="22" xfId="58" applyFill="1" applyBorder="1" applyAlignment="1">
      <alignment horizontal="left"/>
    </xf>
    <xf numFmtId="0" fontId="2" fillId="0" borderId="7" xfId="58" applyFill="1" applyBorder="1" applyAlignment="1">
      <alignment horizontal="left"/>
    </xf>
    <xf numFmtId="0" fontId="2" fillId="0" borderId="32" xfId="58" applyFill="1" applyBorder="1" applyAlignment="1">
      <alignment horizontal="left"/>
    </xf>
    <xf numFmtId="0" fontId="2" fillId="0" borderId="24" xfId="58" applyFill="1" applyBorder="1" applyAlignment="1">
      <alignment horizontal="left"/>
    </xf>
    <xf numFmtId="0" fontId="2" fillId="0" borderId="0" xfId="58" applyBorder="1"/>
    <xf numFmtId="0" fontId="2" fillId="0" borderId="0" xfId="58" applyFill="1"/>
    <xf numFmtId="0" fontId="6" fillId="0" borderId="0" xfId="1" applyFont="1" applyFill="1" applyAlignment="1"/>
    <xf numFmtId="0" fontId="10" fillId="0" borderId="0" xfId="58" applyFont="1"/>
    <xf numFmtId="0" fontId="2" fillId="0" borderId="0" xfId="58" applyFont="1" applyFill="1" applyBorder="1" applyAlignment="1">
      <alignment horizontal="left" vertical="center"/>
    </xf>
    <xf numFmtId="0" fontId="2" fillId="0" borderId="1" xfId="58" applyBorder="1"/>
    <xf numFmtId="165" fontId="6" fillId="21" borderId="2" xfId="58" applyNumberFormat="1" applyFont="1" applyFill="1" applyBorder="1"/>
    <xf numFmtId="0" fontId="2" fillId="0" borderId="2" xfId="58" applyFont="1" applyBorder="1"/>
    <xf numFmtId="0" fontId="2" fillId="0" borderId="2" xfId="58" applyBorder="1"/>
    <xf numFmtId="164" fontId="2" fillId="4" borderId="2" xfId="58" applyNumberFormat="1" applyFont="1" applyFill="1" applyBorder="1"/>
    <xf numFmtId="0" fontId="2" fillId="0" borderId="2" xfId="58" applyFill="1" applyBorder="1"/>
    <xf numFmtId="164" fontId="2" fillId="30" borderId="2" xfId="58" applyNumberFormat="1" applyFill="1" applyBorder="1" applyAlignment="1">
      <alignment vertical="center"/>
    </xf>
    <xf numFmtId="0" fontId="2" fillId="0" borderId="3" xfId="58" applyFont="1" applyBorder="1" applyAlignment="1">
      <alignment vertical="center"/>
    </xf>
    <xf numFmtId="0" fontId="2" fillId="0" borderId="8" xfId="58" applyBorder="1"/>
    <xf numFmtId="165" fontId="2" fillId="21" borderId="106" xfId="58" applyNumberFormat="1" applyFont="1" applyFill="1" applyBorder="1"/>
    <xf numFmtId="0" fontId="2" fillId="0" borderId="106" xfId="58" applyFont="1" applyBorder="1"/>
    <xf numFmtId="0" fontId="2" fillId="0" borderId="106" xfId="58" applyBorder="1"/>
    <xf numFmtId="164" fontId="2" fillId="4" borderId="106" xfId="58" applyNumberFormat="1" applyFont="1" applyFill="1" applyBorder="1"/>
    <xf numFmtId="0" fontId="2" fillId="0" borderId="106" xfId="58" applyFill="1" applyBorder="1"/>
    <xf numFmtId="164" fontId="2" fillId="30" borderId="106" xfId="58" applyNumberFormat="1" applyFill="1" applyBorder="1" applyAlignment="1">
      <alignment vertical="center"/>
    </xf>
    <xf numFmtId="0" fontId="5" fillId="0" borderId="0" xfId="58" applyFont="1" applyFill="1" applyBorder="1" applyAlignment="1">
      <alignment horizontal="right"/>
    </xf>
    <xf numFmtId="0" fontId="2" fillId="0" borderId="1" xfId="58" applyBorder="1" applyAlignment="1">
      <alignment horizontal="right" vertical="top" wrapText="1"/>
    </xf>
    <xf numFmtId="0" fontId="2" fillId="5" borderId="102" xfId="58" applyFill="1" applyBorder="1" applyAlignment="1">
      <alignment horizontal="center" vertical="top"/>
    </xf>
    <xf numFmtId="0" fontId="2" fillId="0" borderId="102" xfId="58" applyBorder="1" applyAlignment="1">
      <alignment vertical="top"/>
    </xf>
    <xf numFmtId="0" fontId="2" fillId="0" borderId="102" xfId="58" applyBorder="1"/>
    <xf numFmtId="0" fontId="2" fillId="0" borderId="87" xfId="58" applyBorder="1"/>
    <xf numFmtId="0" fontId="2" fillId="0" borderId="99" xfId="58" applyFont="1" applyFill="1" applyBorder="1" applyAlignment="1">
      <alignment horizontal="right"/>
    </xf>
    <xf numFmtId="0" fontId="2" fillId="21" borderId="4" xfId="58" applyFill="1" applyBorder="1" applyAlignment="1"/>
    <xf numFmtId="0" fontId="2" fillId="21" borderId="64" xfId="58" applyFill="1" applyBorder="1" applyAlignment="1"/>
    <xf numFmtId="0" fontId="2" fillId="0" borderId="65" xfId="58" applyBorder="1" applyAlignment="1">
      <alignment horizontal="right" vertical="top" wrapText="1"/>
    </xf>
    <xf numFmtId="0" fontId="2" fillId="0" borderId="4" xfId="58" applyBorder="1" applyAlignment="1">
      <alignment vertical="top"/>
    </xf>
    <xf numFmtId="0" fontId="2" fillId="0" borderId="29" xfId="58" applyBorder="1"/>
    <xf numFmtId="0" fontId="2" fillId="0" borderId="89" xfId="58" applyBorder="1"/>
    <xf numFmtId="0" fontId="2" fillId="0" borderId="99" xfId="58" applyBorder="1" applyAlignment="1">
      <alignment horizontal="right" vertical="top" wrapText="1"/>
    </xf>
    <xf numFmtId="2" fontId="2" fillId="30" borderId="29" xfId="58" applyNumberFormat="1" applyFill="1" applyBorder="1" applyAlignment="1">
      <alignment horizontal="center" vertical="center" wrapText="1"/>
    </xf>
    <xf numFmtId="0" fontId="2" fillId="0" borderId="29" xfId="58" applyFont="1" applyBorder="1" applyAlignment="1">
      <alignment vertical="center" wrapText="1"/>
    </xf>
    <xf numFmtId="0" fontId="2" fillId="0" borderId="0" xfId="58" applyAlignment="1">
      <alignment vertical="top"/>
    </xf>
    <xf numFmtId="0" fontId="2" fillId="0" borderId="101" xfId="58" applyBorder="1" applyAlignment="1">
      <alignment horizontal="right" vertical="center"/>
    </xf>
    <xf numFmtId="0" fontId="2" fillId="0" borderId="100" xfId="58" applyBorder="1" applyAlignment="1">
      <alignment vertical="center" wrapText="1"/>
    </xf>
    <xf numFmtId="0" fontId="2" fillId="0" borderId="0" xfId="58" applyFont="1"/>
    <xf numFmtId="2" fontId="2" fillId="0" borderId="0" xfId="58" applyNumberFormat="1" applyFill="1"/>
    <xf numFmtId="164" fontId="2" fillId="0" borderId="0" xfId="58" applyNumberFormat="1" applyFill="1"/>
    <xf numFmtId="0" fontId="5" fillId="0" borderId="0" xfId="58" applyFont="1" applyFill="1" applyAlignment="1">
      <alignment horizontal="right"/>
    </xf>
    <xf numFmtId="0" fontId="2" fillId="0" borderId="0" xfId="58" applyFont="1" applyFill="1" applyBorder="1" applyAlignment="1">
      <alignment horizontal="left" vertical="top"/>
    </xf>
    <xf numFmtId="0" fontId="9" fillId="0" borderId="0" xfId="58" applyFont="1" applyAlignment="1">
      <alignment horizontal="right"/>
    </xf>
    <xf numFmtId="0" fontId="2" fillId="21" borderId="0" xfId="58" applyFill="1"/>
    <xf numFmtId="2" fontId="2" fillId="30" borderId="0" xfId="58" applyNumberFormat="1" applyFill="1"/>
    <xf numFmtId="0" fontId="2" fillId="0" borderId="0" xfId="58" applyAlignment="1">
      <alignment horizontal="right"/>
    </xf>
    <xf numFmtId="2" fontId="2" fillId="21" borderId="0" xfId="58" applyNumberFormat="1" applyFill="1"/>
    <xf numFmtId="0" fontId="2" fillId="0" borderId="0" xfId="58" applyAlignment="1">
      <alignment horizontal="right" wrapText="1"/>
    </xf>
    <xf numFmtId="0" fontId="2" fillId="0" borderId="0" xfId="58" applyFont="1" applyFill="1"/>
    <xf numFmtId="0" fontId="2" fillId="0" borderId="3" xfId="58" applyBorder="1"/>
    <xf numFmtId="0" fontId="2" fillId="0" borderId="1" xfId="58" applyBorder="1" applyAlignment="1">
      <alignment horizontal="right"/>
    </xf>
    <xf numFmtId="2" fontId="2" fillId="21" borderId="2" xfId="58" applyNumberFormat="1" applyFill="1" applyBorder="1"/>
    <xf numFmtId="0" fontId="2" fillId="0" borderId="5" xfId="58" applyBorder="1" applyAlignment="1">
      <alignment horizontal="left"/>
    </xf>
    <xf numFmtId="0" fontId="2" fillId="0" borderId="5" xfId="58" applyBorder="1" applyAlignment="1">
      <alignment horizontal="right"/>
    </xf>
    <xf numFmtId="2" fontId="2" fillId="21" borderId="0" xfId="58" applyNumberFormat="1" applyFill="1" applyBorder="1"/>
    <xf numFmtId="2" fontId="2" fillId="30" borderId="0" xfId="58" applyNumberFormat="1" applyFill="1" applyBorder="1"/>
    <xf numFmtId="0" fontId="2" fillId="0" borderId="6" xfId="58" applyFont="1" applyBorder="1"/>
    <xf numFmtId="165" fontId="2" fillId="21" borderId="0" xfId="58" applyNumberFormat="1" applyFill="1" applyBorder="1"/>
    <xf numFmtId="0" fontId="2" fillId="0" borderId="6" xfId="58" applyBorder="1"/>
    <xf numFmtId="0" fontId="2" fillId="0" borderId="8" xfId="58" applyBorder="1" applyAlignment="1">
      <alignment horizontal="right"/>
    </xf>
    <xf numFmtId="165" fontId="2" fillId="21" borderId="106" xfId="58" applyNumberFormat="1" applyFill="1" applyBorder="1"/>
    <xf numFmtId="2" fontId="2" fillId="30" borderId="106" xfId="58" applyNumberFormat="1" applyFill="1" applyBorder="1"/>
    <xf numFmtId="0" fontId="37" fillId="0" borderId="0" xfId="58" applyFont="1"/>
    <xf numFmtId="165" fontId="2" fillId="0" borderId="0" xfId="58" applyNumberFormat="1" applyFill="1" applyBorder="1"/>
    <xf numFmtId="0" fontId="5" fillId="0" borderId="0" xfId="58" applyFont="1" applyAlignment="1">
      <alignment horizontal="left"/>
    </xf>
    <xf numFmtId="165" fontId="2" fillId="0" borderId="0" xfId="58" applyNumberFormat="1" applyFill="1"/>
    <xf numFmtId="0" fontId="6" fillId="0" borderId="7" xfId="58" applyFont="1" applyBorder="1" applyAlignment="1">
      <alignment horizontal="center" vertical="top" wrapText="1"/>
    </xf>
    <xf numFmtId="0" fontId="6" fillId="0" borderId="7" xfId="58" applyFont="1" applyBorder="1" applyAlignment="1">
      <alignment horizontal="center" vertical="top"/>
    </xf>
    <xf numFmtId="0" fontId="2" fillId="0" borderId="7" xfId="58" applyBorder="1" applyAlignment="1">
      <alignment horizontal="center" vertical="top"/>
    </xf>
    <xf numFmtId="169" fontId="2" fillId="0" borderId="7" xfId="58" applyNumberFormat="1" applyBorder="1" applyAlignment="1">
      <alignment horizontal="center" vertical="top"/>
    </xf>
    <xf numFmtId="2" fontId="2" fillId="0" borderId="7" xfId="58" applyNumberFormat="1" applyBorder="1" applyAlignment="1">
      <alignment horizontal="center" vertical="top"/>
    </xf>
    <xf numFmtId="165" fontId="2" fillId="0" borderId="7" xfId="58" applyNumberFormat="1" applyBorder="1" applyAlignment="1">
      <alignment horizontal="center" vertical="top"/>
    </xf>
    <xf numFmtId="0" fontId="6" fillId="0" borderId="7" xfId="58" applyFont="1" applyBorder="1" applyAlignment="1">
      <alignment horizontal="center"/>
    </xf>
    <xf numFmtId="2" fontId="2" fillId="0" borderId="7" xfId="58" applyNumberFormat="1" applyBorder="1" applyAlignment="1">
      <alignment horizontal="center"/>
    </xf>
    <xf numFmtId="0" fontId="2" fillId="0" borderId="7" xfId="58" applyBorder="1" applyAlignment="1">
      <alignment horizontal="center"/>
    </xf>
    <xf numFmtId="169" fontId="2" fillId="0" borderId="7" xfId="58" applyNumberFormat="1" applyBorder="1" applyAlignment="1">
      <alignment horizontal="center"/>
    </xf>
    <xf numFmtId="165" fontId="2" fillId="0" borderId="7" xfId="58" applyNumberFormat="1" applyBorder="1" applyAlignment="1">
      <alignment horizontal="center"/>
    </xf>
    <xf numFmtId="0" fontId="6" fillId="0" borderId="0" xfId="58" applyFont="1" applyAlignment="1">
      <alignment horizontal="right"/>
    </xf>
    <xf numFmtId="2" fontId="2" fillId="0" borderId="0" xfId="58" applyNumberFormat="1"/>
    <xf numFmtId="0" fontId="6" fillId="0" borderId="0" xfId="58" applyFont="1" applyAlignment="1">
      <alignment horizontal="center"/>
    </xf>
    <xf numFmtId="0" fontId="2" fillId="0" borderId="0" xfId="58" applyAlignment="1"/>
    <xf numFmtId="0" fontId="6" fillId="0" borderId="7" xfId="58" applyFont="1" applyFill="1" applyBorder="1" applyAlignment="1">
      <alignment horizontal="center"/>
    </xf>
    <xf numFmtId="0" fontId="2" fillId="0" borderId="7" xfId="58" applyFill="1" applyBorder="1" applyAlignment="1">
      <alignment horizontal="center"/>
    </xf>
    <xf numFmtId="2" fontId="2" fillId="0" borderId="7" xfId="58" applyNumberFormat="1" applyFill="1" applyBorder="1" applyAlignment="1">
      <alignment horizontal="center"/>
    </xf>
    <xf numFmtId="0" fontId="2" fillId="0" borderId="0" xfId="58" applyFont="1" applyAlignment="1">
      <alignment horizontal="right"/>
    </xf>
    <xf numFmtId="0" fontId="6" fillId="0" borderId="0" xfId="58" applyFont="1" applyFill="1" applyAlignment="1">
      <alignment horizontal="center"/>
    </xf>
    <xf numFmtId="2" fontId="2" fillId="0" borderId="0" xfId="58" applyNumberFormat="1" applyFill="1" applyAlignment="1">
      <alignment horizontal="center"/>
    </xf>
    <xf numFmtId="0" fontId="2" fillId="0" borderId="0" xfId="58" applyAlignment="1">
      <alignment horizontal="left"/>
    </xf>
    <xf numFmtId="2" fontId="2" fillId="0" borderId="0" xfId="58" applyNumberFormat="1" applyFont="1" applyFill="1" applyAlignment="1">
      <alignment horizontal="center"/>
    </xf>
    <xf numFmtId="0" fontId="2" fillId="0" borderId="0" xfId="58" applyFont="1" applyFill="1" applyAlignment="1">
      <alignment horizontal="left"/>
    </xf>
    <xf numFmtId="0" fontId="2" fillId="0" borderId="0" xfId="58" applyFont="1" applyFill="1" applyBorder="1"/>
    <xf numFmtId="2" fontId="2" fillId="0" borderId="17" xfId="0" applyNumberFormat="1" applyFont="1" applyFill="1" applyBorder="1" applyAlignment="1">
      <alignment horizontal="center" vertical="center"/>
    </xf>
    <xf numFmtId="2" fontId="2" fillId="0" borderId="33" xfId="0" applyNumberFormat="1" applyFont="1" applyFill="1" applyBorder="1" applyAlignment="1">
      <alignment horizontal="center" vertical="center"/>
    </xf>
    <xf numFmtId="2" fontId="2" fillId="0" borderId="97" xfId="0" applyNumberFormat="1" applyFont="1" applyFill="1" applyBorder="1" applyAlignment="1">
      <alignment horizontal="center" vertical="center"/>
    </xf>
    <xf numFmtId="2" fontId="2" fillId="0" borderId="116" xfId="0" applyNumberFormat="1" applyFont="1" applyFill="1" applyBorder="1" applyAlignment="1">
      <alignment horizontal="center" vertical="center"/>
    </xf>
    <xf numFmtId="0" fontId="2" fillId="0" borderId="20" xfId="0" applyFont="1" applyBorder="1" applyAlignment="1">
      <alignment horizontal="center"/>
    </xf>
    <xf numFmtId="2" fontId="2" fillId="27" borderId="17" xfId="0" applyNumberFormat="1" applyFont="1" applyFill="1" applyBorder="1" applyAlignment="1">
      <alignment horizontal="center" vertical="center"/>
    </xf>
    <xf numFmtId="2" fontId="2" fillId="27" borderId="33" xfId="0" applyNumberFormat="1" applyFont="1" applyFill="1" applyBorder="1" applyAlignment="1">
      <alignment horizontal="center" vertical="center"/>
    </xf>
    <xf numFmtId="2" fontId="2" fillId="27" borderId="18" xfId="0" applyNumberFormat="1" applyFont="1" applyFill="1" applyBorder="1" applyAlignment="1">
      <alignment horizontal="center" vertical="center"/>
    </xf>
    <xf numFmtId="2" fontId="2" fillId="27" borderId="116" xfId="0" applyNumberFormat="1" applyFont="1" applyFill="1" applyBorder="1" applyAlignment="1">
      <alignment horizontal="center" vertical="center"/>
    </xf>
    <xf numFmtId="2" fontId="2" fillId="28" borderId="17" xfId="0" applyNumberFormat="1" applyFont="1" applyFill="1" applyBorder="1" applyAlignment="1">
      <alignment horizontal="center" vertical="center"/>
    </xf>
    <xf numFmtId="2" fontId="2" fillId="28" borderId="33" xfId="0" applyNumberFormat="1" applyFont="1" applyFill="1" applyBorder="1" applyAlignment="1">
      <alignment horizontal="center" vertical="center"/>
    </xf>
    <xf numFmtId="2" fontId="2" fillId="28" borderId="97" xfId="0" applyNumberFormat="1" applyFont="1" applyFill="1" applyBorder="1" applyAlignment="1">
      <alignment horizontal="center" vertical="center"/>
    </xf>
    <xf numFmtId="2" fontId="2" fillId="28" borderId="116" xfId="0" applyNumberFormat="1" applyFont="1" applyFill="1" applyBorder="1" applyAlignment="1">
      <alignment horizontal="center" vertical="center"/>
    </xf>
    <xf numFmtId="2" fontId="2" fillId="29" borderId="17" xfId="0" applyNumberFormat="1" applyFont="1" applyFill="1" applyBorder="1" applyAlignment="1">
      <alignment horizontal="center" vertical="center"/>
    </xf>
    <xf numFmtId="2" fontId="2" fillId="29" borderId="33" xfId="0" applyNumberFormat="1" applyFont="1" applyFill="1" applyBorder="1" applyAlignment="1">
      <alignment horizontal="center" vertical="center"/>
    </xf>
    <xf numFmtId="2" fontId="2" fillId="29" borderId="97" xfId="0" applyNumberFormat="1" applyFont="1" applyFill="1" applyBorder="1" applyAlignment="1">
      <alignment horizontal="center" vertical="center"/>
    </xf>
    <xf numFmtId="2" fontId="2" fillId="29" borderId="116" xfId="0" applyNumberFormat="1" applyFont="1" applyFill="1" applyBorder="1" applyAlignment="1">
      <alignment horizontal="center" vertical="center"/>
    </xf>
    <xf numFmtId="2" fontId="2" fillId="24" borderId="17" xfId="0" applyNumberFormat="1" applyFont="1" applyFill="1" applyBorder="1" applyAlignment="1">
      <alignment horizontal="center" vertical="center"/>
    </xf>
    <xf numFmtId="2" fontId="2" fillId="24" borderId="33" xfId="0" applyNumberFormat="1" applyFont="1" applyFill="1" applyBorder="1" applyAlignment="1">
      <alignment horizontal="center" vertical="center"/>
    </xf>
    <xf numFmtId="2" fontId="2" fillId="24" borderId="97" xfId="0" applyNumberFormat="1" applyFont="1" applyFill="1" applyBorder="1" applyAlignment="1">
      <alignment horizontal="center" vertical="center"/>
    </xf>
    <xf numFmtId="2" fontId="2" fillId="24" borderId="116" xfId="0" applyNumberFormat="1" applyFont="1" applyFill="1" applyBorder="1" applyAlignment="1">
      <alignment horizontal="center" vertical="center"/>
    </xf>
    <xf numFmtId="2" fontId="2" fillId="25" borderId="17" xfId="0" applyNumberFormat="1" applyFont="1" applyFill="1" applyBorder="1" applyAlignment="1">
      <alignment horizontal="center" vertical="center"/>
    </xf>
    <xf numFmtId="2" fontId="2" fillId="25" borderId="33" xfId="0" applyNumberFormat="1" applyFont="1" applyFill="1" applyBorder="1" applyAlignment="1">
      <alignment horizontal="center" vertical="center"/>
    </xf>
    <xf numFmtId="2" fontId="2" fillId="25" borderId="97" xfId="0" applyNumberFormat="1" applyFont="1" applyFill="1" applyBorder="1" applyAlignment="1">
      <alignment horizontal="center" vertical="center"/>
    </xf>
    <xf numFmtId="2" fontId="2" fillId="25" borderId="116" xfId="0" applyNumberFormat="1" applyFont="1" applyFill="1" applyBorder="1" applyAlignment="1">
      <alignment horizontal="center" vertical="center"/>
    </xf>
    <xf numFmtId="2" fontId="2" fillId="26" borderId="17" xfId="0" applyNumberFormat="1" applyFont="1" applyFill="1" applyBorder="1" applyAlignment="1">
      <alignment horizontal="center" vertical="center"/>
    </xf>
    <xf numFmtId="2" fontId="2" fillId="26" borderId="33" xfId="0" applyNumberFormat="1" applyFont="1" applyFill="1" applyBorder="1" applyAlignment="1">
      <alignment horizontal="center" vertical="center"/>
    </xf>
    <xf numFmtId="2" fontId="2" fillId="26" borderId="97" xfId="0" applyNumberFormat="1" applyFont="1" applyFill="1" applyBorder="1" applyAlignment="1">
      <alignment horizontal="center" vertical="center"/>
    </xf>
    <xf numFmtId="2" fontId="2" fillId="26" borderId="116" xfId="0" applyNumberFormat="1" applyFont="1" applyFill="1" applyBorder="1" applyAlignment="1">
      <alignment horizontal="center" vertical="center"/>
    </xf>
    <xf numFmtId="0" fontId="2" fillId="0" borderId="87" xfId="0" applyFont="1" applyBorder="1" applyAlignment="1">
      <alignment horizontal="center"/>
    </xf>
    <xf numFmtId="164" fontId="6" fillId="0" borderId="17" xfId="1" applyNumberFormat="1" applyFont="1" applyBorder="1" applyAlignment="1">
      <alignment horizontal="center" vertical="center"/>
    </xf>
    <xf numFmtId="164" fontId="2" fillId="0" borderId="71" xfId="1" applyNumberFormat="1" applyBorder="1" applyAlignment="1">
      <alignment horizontal="center" vertical="center"/>
    </xf>
    <xf numFmtId="0" fontId="6" fillId="0" borderId="0" xfId="1" applyFont="1" applyBorder="1" applyAlignment="1">
      <alignment horizontal="center" vertical="center"/>
    </xf>
    <xf numFmtId="0" fontId="36" fillId="0" borderId="0" xfId="1" applyFont="1" applyFill="1" applyBorder="1" applyAlignment="1">
      <alignment horizontal="left" vertical="center" wrapText="1"/>
    </xf>
    <xf numFmtId="0" fontId="2" fillId="0" borderId="29" xfId="1" applyBorder="1" applyAlignment="1">
      <alignment vertical="center"/>
    </xf>
    <xf numFmtId="165" fontId="2" fillId="0" borderId="0" xfId="59" applyNumberFormat="1" applyFont="1" applyAlignment="1">
      <alignment horizontal="center" vertical="center"/>
    </xf>
    <xf numFmtId="1" fontId="2" fillId="24" borderId="97" xfId="1" applyNumberFormat="1" applyFill="1" applyBorder="1" applyAlignment="1">
      <alignment horizontal="center" vertical="center"/>
    </xf>
    <xf numFmtId="1" fontId="2" fillId="24" borderId="27" xfId="1" applyNumberFormat="1" applyFill="1" applyBorder="1" applyAlignment="1">
      <alignment horizontal="left" vertical="center"/>
    </xf>
    <xf numFmtId="1" fontId="2" fillId="24" borderId="113" xfId="1" applyNumberFormat="1" applyFill="1" applyBorder="1" applyAlignment="1">
      <alignment horizontal="left" vertical="center"/>
    </xf>
    <xf numFmtId="1" fontId="2" fillId="23" borderId="14" xfId="1" applyNumberFormat="1" applyFill="1" applyBorder="1" applyAlignment="1">
      <alignment horizontal="center" vertical="center"/>
    </xf>
    <xf numFmtId="0" fontId="27" fillId="0" borderId="0" xfId="1" applyFont="1" applyFill="1" applyBorder="1" applyAlignment="1">
      <alignment horizontal="left"/>
    </xf>
    <xf numFmtId="0" fontId="6" fillId="0" borderId="0" xfId="58" applyFont="1" applyFill="1" applyBorder="1" applyAlignment="1">
      <alignment horizontal="right"/>
    </xf>
    <xf numFmtId="0" fontId="2" fillId="0" borderId="30" xfId="58" applyFill="1" applyBorder="1" applyAlignment="1">
      <alignment horizontal="right"/>
    </xf>
    <xf numFmtId="0" fontId="2" fillId="0" borderId="11" xfId="58" applyFill="1" applyBorder="1" applyAlignment="1">
      <alignment horizontal="right"/>
    </xf>
    <xf numFmtId="0" fontId="2" fillId="5" borderId="14" xfId="1" applyFill="1" applyBorder="1" applyAlignment="1">
      <alignment horizontal="left"/>
    </xf>
    <xf numFmtId="0" fontId="2" fillId="0" borderId="0" xfId="1" applyFill="1" applyBorder="1" applyAlignment="1">
      <alignment horizontal="left"/>
    </xf>
    <xf numFmtId="0" fontId="2" fillId="0" borderId="22" xfId="58" applyFill="1" applyBorder="1" applyAlignment="1">
      <alignment horizontal="right"/>
    </xf>
    <xf numFmtId="0" fontId="2" fillId="0" borderId="7" xfId="58" applyFill="1" applyBorder="1" applyAlignment="1">
      <alignment horizontal="right"/>
    </xf>
    <xf numFmtId="0" fontId="2" fillId="0" borderId="23" xfId="58" applyFill="1" applyBorder="1" applyAlignment="1">
      <alignment horizontal="right"/>
    </xf>
    <xf numFmtId="0" fontId="2" fillId="0" borderId="24" xfId="58" applyFill="1" applyBorder="1" applyAlignment="1">
      <alignment horizontal="right"/>
    </xf>
    <xf numFmtId="0" fontId="2" fillId="0" borderId="82" xfId="1" applyBorder="1" applyAlignment="1">
      <alignment horizontal="right"/>
    </xf>
    <xf numFmtId="165" fontId="6" fillId="4" borderId="61" xfId="1" applyNumberFormat="1" applyFont="1" applyFill="1" applyBorder="1"/>
    <xf numFmtId="0" fontId="2" fillId="0" borderId="61" xfId="1" applyFont="1" applyBorder="1"/>
    <xf numFmtId="0" fontId="2" fillId="0" borderId="61" xfId="1" applyBorder="1"/>
    <xf numFmtId="164" fontId="2" fillId="4" borderId="61" xfId="1" applyNumberFormat="1" applyFont="1" applyFill="1" applyBorder="1"/>
    <xf numFmtId="0" fontId="2" fillId="0" borderId="61" xfId="1" applyFill="1" applyBorder="1"/>
    <xf numFmtId="0" fontId="2" fillId="0" borderId="92" xfId="1" applyFont="1" applyBorder="1"/>
    <xf numFmtId="0" fontId="5" fillId="0" borderId="0" xfId="1" applyFont="1" applyFill="1" applyBorder="1" applyAlignment="1">
      <alignment horizontal="right"/>
    </xf>
    <xf numFmtId="0" fontId="2" fillId="0" borderId="67" xfId="1" applyFont="1" applyBorder="1" applyAlignment="1">
      <alignment vertical="center"/>
    </xf>
    <xf numFmtId="0" fontId="5" fillId="0" borderId="0" xfId="1" applyFont="1" applyAlignment="1">
      <alignment horizontal="left"/>
    </xf>
    <xf numFmtId="0" fontId="6" fillId="0" borderId="80" xfId="1" applyFont="1" applyBorder="1" applyAlignment="1">
      <alignment horizontal="center" vertical="center" wrapText="1"/>
    </xf>
    <xf numFmtId="0" fontId="6" fillId="0" borderId="16" xfId="1" applyFont="1" applyBorder="1" applyAlignment="1">
      <alignment horizontal="center" vertical="center" wrapText="1"/>
    </xf>
    <xf numFmtId="0" fontId="6" fillId="0" borderId="30" xfId="1" applyFont="1" applyFill="1" applyBorder="1" applyAlignment="1">
      <alignment horizontal="center" vertical="center"/>
    </xf>
    <xf numFmtId="2" fontId="2" fillId="0" borderId="11" xfId="1" applyNumberFormat="1" applyFont="1" applyFill="1" applyBorder="1" applyAlignment="1">
      <alignment horizontal="center" vertical="center"/>
    </xf>
    <xf numFmtId="2" fontId="2" fillId="0" borderId="14" xfId="1" applyNumberFormat="1" applyFill="1" applyBorder="1" applyAlignment="1">
      <alignment horizontal="center" vertical="center"/>
    </xf>
    <xf numFmtId="0" fontId="6" fillId="0" borderId="22" xfId="1" applyFont="1" applyFill="1" applyBorder="1" applyAlignment="1">
      <alignment horizontal="center" vertical="center"/>
    </xf>
    <xf numFmtId="2" fontId="2" fillId="0" borderId="20" xfId="1" applyNumberFormat="1" applyFill="1" applyBorder="1" applyAlignment="1">
      <alignment horizontal="center" vertical="center"/>
    </xf>
    <xf numFmtId="0" fontId="6" fillId="0" borderId="32" xfId="1" applyFont="1" applyFill="1" applyBorder="1" applyAlignment="1">
      <alignment horizontal="center" vertical="center"/>
    </xf>
    <xf numFmtId="2" fontId="2" fillId="0" borderId="24" xfId="1" applyNumberFormat="1" applyFont="1" applyFill="1" applyBorder="1" applyAlignment="1">
      <alignment horizontal="center" vertical="center"/>
    </xf>
    <xf numFmtId="2" fontId="2" fillId="0" borderId="27" xfId="1" applyNumberFormat="1" applyFill="1" applyBorder="1" applyAlignment="1">
      <alignment horizontal="center" vertical="center"/>
    </xf>
    <xf numFmtId="0" fontId="2" fillId="0" borderId="0" xfId="1" applyBorder="1" applyAlignment="1">
      <alignment horizontal="left" vertical="center" wrapText="1"/>
    </xf>
    <xf numFmtId="0" fontId="2" fillId="0" borderId="106" xfId="1" applyBorder="1" applyAlignment="1">
      <alignment horizontal="left" vertical="center" wrapText="1"/>
    </xf>
    <xf numFmtId="0" fontId="2" fillId="0" borderId="56" xfId="1" applyFill="1" applyBorder="1" applyAlignment="1">
      <alignment horizontal="right" vertical="center"/>
    </xf>
    <xf numFmtId="164" fontId="2" fillId="3" borderId="50" xfId="1" applyNumberFormat="1" applyFill="1" applyBorder="1" applyAlignment="1">
      <alignment horizontal="center" vertical="center"/>
    </xf>
    <xf numFmtId="0" fontId="2" fillId="0" borderId="11" xfId="1" applyBorder="1" applyAlignment="1">
      <alignment horizontal="center" vertical="center"/>
    </xf>
    <xf numFmtId="164" fontId="2" fillId="0" borderId="14" xfId="1" applyNumberFormat="1" applyBorder="1" applyAlignment="1">
      <alignment horizontal="center" vertical="center"/>
    </xf>
    <xf numFmtId="0" fontId="2" fillId="0" borderId="0" xfId="1" applyBorder="1" applyAlignment="1">
      <alignment horizontal="center" vertical="center" wrapText="1"/>
    </xf>
    <xf numFmtId="0" fontId="2" fillId="0" borderId="1" xfId="1" applyBorder="1"/>
    <xf numFmtId="0" fontId="2" fillId="0" borderId="3" xfId="1" applyBorder="1"/>
    <xf numFmtId="0" fontId="2" fillId="0" borderId="5" xfId="1" applyBorder="1" applyAlignment="1">
      <alignment horizontal="right" vertical="center"/>
    </xf>
    <xf numFmtId="0" fontId="2" fillId="0" borderId="8" xfId="1" applyBorder="1" applyAlignment="1">
      <alignment horizontal="left" vertical="center" wrapText="1"/>
    </xf>
    <xf numFmtId="164" fontId="2" fillId="4" borderId="28" xfId="1" applyNumberFormat="1" applyFill="1" applyBorder="1" applyAlignment="1">
      <alignment vertical="center"/>
    </xf>
    <xf numFmtId="0" fontId="2" fillId="0" borderId="43" xfId="1" applyNumberFormat="1" applyBorder="1" applyAlignment="1">
      <alignment horizontal="center" vertical="center"/>
    </xf>
    <xf numFmtId="164" fontId="2" fillId="0" borderId="11" xfId="1" applyNumberFormat="1" applyBorder="1" applyAlignment="1">
      <alignment horizontal="center" vertical="center"/>
    </xf>
    <xf numFmtId="164" fontId="2" fillId="0" borderId="27" xfId="1" applyNumberFormat="1" applyFont="1" applyBorder="1" applyAlignment="1">
      <alignment horizontal="center" vertical="center"/>
    </xf>
    <xf numFmtId="165" fontId="2" fillId="0" borderId="94" xfId="1" applyNumberFormat="1" applyBorder="1" applyAlignment="1">
      <alignment horizontal="center" vertical="center"/>
    </xf>
    <xf numFmtId="165" fontId="2" fillId="0" borderId="100" xfId="1" applyNumberFormat="1" applyBorder="1" applyAlignment="1">
      <alignment horizontal="center" vertical="center" wrapText="1"/>
    </xf>
    <xf numFmtId="2" fontId="2" fillId="0" borderId="46" xfId="1" applyNumberFormat="1" applyFont="1" applyBorder="1" applyAlignment="1">
      <alignment horizontal="center" vertical="center"/>
    </xf>
    <xf numFmtId="2" fontId="2" fillId="0" borderId="90" xfId="1" applyNumberFormat="1" applyBorder="1" applyAlignment="1">
      <alignment horizontal="center" vertical="center"/>
    </xf>
    <xf numFmtId="165" fontId="51" fillId="0" borderId="28" xfId="1" applyNumberFormat="1" applyFont="1" applyBorder="1" applyAlignment="1">
      <alignment horizontal="center" vertical="center"/>
    </xf>
    <xf numFmtId="0" fontId="2" fillId="0" borderId="67" xfId="0" applyFont="1" applyFill="1" applyBorder="1" applyAlignment="1">
      <alignment horizontal="center"/>
    </xf>
    <xf numFmtId="0" fontId="2" fillId="0" borderId="10" xfId="0" applyFont="1" applyBorder="1" applyAlignment="1">
      <alignment horizontal="center"/>
    </xf>
    <xf numFmtId="0" fontId="2" fillId="0" borderId="9" xfId="0" applyFont="1" applyBorder="1" applyAlignment="1">
      <alignment horizontal="center"/>
    </xf>
    <xf numFmtId="0" fontId="2" fillId="0" borderId="106" xfId="0" applyFont="1" applyBorder="1" applyAlignment="1">
      <alignment horizontal="center"/>
    </xf>
    <xf numFmtId="0" fontId="2" fillId="0" borderId="29" xfId="58" applyBorder="1" applyAlignment="1">
      <alignment vertical="top"/>
    </xf>
    <xf numFmtId="0" fontId="6" fillId="0" borderId="0" xfId="1" applyFont="1" applyBorder="1" applyAlignment="1">
      <alignment horizontal="center" vertical="center"/>
    </xf>
    <xf numFmtId="0" fontId="2" fillId="0" borderId="92" xfId="1" applyBorder="1" applyAlignment="1">
      <alignment vertical="center"/>
    </xf>
    <xf numFmtId="0" fontId="6" fillId="0" borderId="0" xfId="1" applyFont="1" applyFill="1" applyBorder="1" applyAlignment="1">
      <alignment horizontal="center" vertical="center"/>
    </xf>
    <xf numFmtId="0" fontId="2" fillId="0" borderId="47" xfId="58" applyBorder="1"/>
    <xf numFmtId="0" fontId="5" fillId="2" borderId="0" xfId="1" applyFont="1" applyFill="1" applyBorder="1" applyAlignment="1"/>
    <xf numFmtId="0" fontId="2" fillId="0" borderId="120" xfId="58" applyFont="1" applyBorder="1" applyAlignment="1">
      <alignment vertical="center"/>
    </xf>
    <xf numFmtId="0" fontId="2" fillId="5" borderId="4" xfId="58" applyFill="1" applyBorder="1" applyAlignment="1">
      <alignment horizontal="center" vertical="center"/>
    </xf>
    <xf numFmtId="0" fontId="2" fillId="5" borderId="29" xfId="58" applyFill="1" applyBorder="1" applyAlignment="1">
      <alignment horizontal="center" vertical="center"/>
    </xf>
    <xf numFmtId="0" fontId="2" fillId="0" borderId="29" xfId="58" applyBorder="1" applyAlignment="1">
      <alignment vertical="center" wrapText="1"/>
    </xf>
    <xf numFmtId="0" fontId="2" fillId="0" borderId="99" xfId="58" applyFont="1" applyFill="1" applyBorder="1" applyAlignment="1">
      <alignment horizontal="right" vertical="center"/>
    </xf>
    <xf numFmtId="0" fontId="2" fillId="0" borderId="29" xfId="58" applyBorder="1" applyAlignment="1">
      <alignment vertical="center"/>
    </xf>
    <xf numFmtId="0" fontId="10" fillId="0" borderId="29" xfId="58" applyFont="1" applyBorder="1" applyAlignment="1">
      <alignment vertical="center" wrapText="1"/>
    </xf>
    <xf numFmtId="2" fontId="2" fillId="21" borderId="100" xfId="58" applyNumberFormat="1" applyFont="1" applyFill="1" applyBorder="1" applyAlignment="1">
      <alignment vertical="center"/>
    </xf>
    <xf numFmtId="0" fontId="2" fillId="0" borderId="100" xfId="58" applyFont="1" applyBorder="1" applyAlignment="1">
      <alignment vertical="center" wrapText="1"/>
    </xf>
    <xf numFmtId="2" fontId="2" fillId="4" borderId="0" xfId="1" applyNumberFormat="1" applyFill="1" applyBorder="1" applyAlignment="1">
      <alignment horizontal="right"/>
    </xf>
    <xf numFmtId="0" fontId="2" fillId="0" borderId="120" xfId="58" applyBorder="1"/>
    <xf numFmtId="0" fontId="2" fillId="0" borderId="7" xfId="1" applyBorder="1" applyAlignment="1">
      <alignment vertical="center"/>
    </xf>
    <xf numFmtId="0" fontId="2" fillId="0" borderId="7" xfId="1" applyFill="1" applyBorder="1" applyAlignment="1">
      <alignment vertical="center"/>
    </xf>
    <xf numFmtId="0" fontId="2" fillId="0" borderId="0" xfId="60" applyAlignment="1">
      <alignment vertical="center"/>
    </xf>
    <xf numFmtId="0" fontId="2" fillId="0" borderId="5" xfId="1" applyFill="1" applyBorder="1" applyAlignment="1">
      <alignment vertical="center" wrapText="1"/>
    </xf>
    <xf numFmtId="0" fontId="2" fillId="0" borderId="0" xfId="60" applyBorder="1" applyAlignment="1">
      <alignment vertical="center"/>
    </xf>
    <xf numFmtId="0" fontId="2" fillId="0" borderId="0" xfId="1" applyBorder="1" applyAlignment="1">
      <alignment horizontal="right" vertical="center" wrapText="1"/>
    </xf>
    <xf numFmtId="0" fontId="2" fillId="0" borderId="0" xfId="1" applyFont="1" applyAlignment="1">
      <alignment vertical="center" wrapText="1"/>
    </xf>
    <xf numFmtId="0" fontId="6" fillId="0" borderId="0" xfId="1" applyFont="1" applyAlignment="1">
      <alignment vertical="center"/>
    </xf>
    <xf numFmtId="0" fontId="2" fillId="0" borderId="0" xfId="1" applyFont="1" applyBorder="1" applyAlignment="1">
      <alignment vertical="center" wrapText="1"/>
    </xf>
    <xf numFmtId="164" fontId="2" fillId="0" borderId="0" xfId="1" applyNumberFormat="1" applyFill="1" applyBorder="1" applyAlignment="1">
      <alignment vertical="center"/>
    </xf>
    <xf numFmtId="0" fontId="53" fillId="0" borderId="0" xfId="1" applyFont="1" applyAlignment="1">
      <alignment vertical="center"/>
    </xf>
    <xf numFmtId="164" fontId="2" fillId="21" borderId="102" xfId="1" applyNumberFormat="1" applyFont="1" applyFill="1" applyBorder="1" applyAlignment="1">
      <alignment horizontal="center" vertical="center"/>
    </xf>
    <xf numFmtId="0" fontId="2" fillId="0" borderId="102" xfId="1" applyFont="1" applyFill="1" applyBorder="1" applyAlignment="1">
      <alignment vertical="center" wrapText="1"/>
    </xf>
    <xf numFmtId="0" fontId="2" fillId="0" borderId="87" xfId="1" applyFont="1" applyFill="1" applyBorder="1" applyAlignment="1">
      <alignment vertical="center" wrapText="1"/>
    </xf>
    <xf numFmtId="164" fontId="2" fillId="5" borderId="29" xfId="1" applyNumberFormat="1" applyFill="1" applyBorder="1" applyAlignment="1">
      <alignment horizontal="center" vertical="center" wrapText="1"/>
    </xf>
    <xf numFmtId="0" fontId="2" fillId="0" borderId="107" xfId="1" applyFont="1" applyFill="1" applyBorder="1" applyAlignment="1">
      <alignment vertical="center" wrapText="1"/>
    </xf>
    <xf numFmtId="0" fontId="2" fillId="0" borderId="122" xfId="1" applyFont="1" applyFill="1" applyBorder="1" applyAlignment="1">
      <alignment vertical="center" wrapText="1"/>
    </xf>
    <xf numFmtId="0" fontId="2" fillId="0" borderId="69" xfId="1" applyFont="1" applyFill="1" applyBorder="1" applyAlignment="1">
      <alignment vertical="center" wrapText="1"/>
    </xf>
    <xf numFmtId="2" fontId="2" fillId="5" borderId="29" xfId="68" applyNumberFormat="1" applyFont="1" applyFill="1" applyBorder="1" applyAlignment="1">
      <alignment horizontal="center" vertical="center" wrapText="1"/>
    </xf>
    <xf numFmtId="0" fontId="2" fillId="0" borderId="29" xfId="1" applyFont="1" applyBorder="1" applyAlignment="1">
      <alignment horizontal="center" vertical="center"/>
    </xf>
    <xf numFmtId="9" fontId="2" fillId="21" borderId="29" xfId="68" applyFont="1" applyFill="1" applyBorder="1" applyAlignment="1">
      <alignment horizontal="center" vertical="center"/>
    </xf>
    <xf numFmtId="2" fontId="2" fillId="21" borderId="29" xfId="1" applyNumberFormat="1" applyFont="1" applyFill="1" applyBorder="1" applyAlignment="1">
      <alignment vertical="center" wrapText="1"/>
    </xf>
    <xf numFmtId="0" fontId="2" fillId="0" borderId="29" xfId="1" applyFont="1" applyFill="1" applyBorder="1" applyAlignment="1">
      <alignment vertical="center" wrapText="1"/>
    </xf>
    <xf numFmtId="0" fontId="2" fillId="0" borderId="18" xfId="1" applyFont="1" applyFill="1" applyBorder="1" applyAlignment="1">
      <alignment vertical="center" wrapText="1"/>
    </xf>
    <xf numFmtId="0" fontId="2" fillId="0" borderId="6" xfId="1" applyFont="1" applyFill="1" applyBorder="1" applyAlignment="1">
      <alignment vertical="center" wrapText="1"/>
    </xf>
    <xf numFmtId="0" fontId="2" fillId="0" borderId="4" xfId="1" applyFont="1" applyBorder="1" applyAlignment="1">
      <alignment horizontal="center" vertical="center"/>
    </xf>
    <xf numFmtId="9" fontId="2" fillId="21" borderId="0" xfId="68" applyFont="1" applyFill="1" applyBorder="1" applyAlignment="1">
      <alignment horizontal="center" vertical="center"/>
    </xf>
    <xf numFmtId="0" fontId="2" fillId="0" borderId="0" xfId="1" applyBorder="1" applyAlignment="1">
      <alignment vertical="center" wrapText="1"/>
    </xf>
    <xf numFmtId="0" fontId="2" fillId="21" borderId="29" xfId="1" applyFill="1" applyBorder="1" applyAlignment="1">
      <alignment horizontal="center" vertical="center"/>
    </xf>
    <xf numFmtId="0" fontId="2" fillId="0" borderId="29" xfId="1" applyFill="1" applyBorder="1" applyAlignment="1">
      <alignment vertical="center"/>
    </xf>
    <xf numFmtId="0" fontId="2" fillId="0" borderId="29" xfId="1" applyFont="1" applyFill="1" applyBorder="1" applyAlignment="1">
      <alignment vertical="center"/>
    </xf>
    <xf numFmtId="0" fontId="2" fillId="0" borderId="84" xfId="1" applyFont="1" applyFill="1" applyBorder="1" applyAlignment="1">
      <alignment vertical="center"/>
    </xf>
    <xf numFmtId="0" fontId="2" fillId="0" borderId="4" xfId="1" applyFont="1" applyFill="1" applyBorder="1" applyAlignment="1">
      <alignment vertical="center"/>
    </xf>
    <xf numFmtId="0" fontId="2" fillId="0" borderId="64" xfId="1" applyFont="1" applyFill="1" applyBorder="1" applyAlignment="1">
      <alignment vertical="center"/>
    </xf>
    <xf numFmtId="0" fontId="2" fillId="0" borderId="99" xfId="1" applyFont="1" applyFill="1" applyBorder="1" applyAlignment="1">
      <alignment horizontal="right" vertical="center" wrapText="1"/>
    </xf>
    <xf numFmtId="2" fontId="2" fillId="5" borderId="29" xfId="1" applyNumberFormat="1" applyFill="1" applyBorder="1" applyAlignment="1">
      <alignment horizontal="center" vertical="center" wrapText="1"/>
    </xf>
    <xf numFmtId="0" fontId="54" fillId="0" borderId="0" xfId="1" applyFont="1" applyBorder="1" applyAlignment="1">
      <alignment vertical="center"/>
    </xf>
    <xf numFmtId="0" fontId="36" fillId="0" borderId="122" xfId="1" applyFont="1" applyFill="1" applyBorder="1" applyAlignment="1">
      <alignment vertical="center" wrapText="1"/>
    </xf>
    <xf numFmtId="0" fontId="36" fillId="0" borderId="69" xfId="1" applyFont="1" applyFill="1" applyBorder="1" applyAlignment="1">
      <alignment vertical="center" wrapText="1"/>
    </xf>
    <xf numFmtId="0" fontId="2" fillId="0" borderId="0" xfId="1" applyAlignment="1">
      <alignment vertical="center" wrapText="1"/>
    </xf>
    <xf numFmtId="0" fontId="2" fillId="0" borderId="101" xfId="1" applyFont="1" applyFill="1" applyBorder="1" applyAlignment="1">
      <alignment horizontal="right" vertical="center" wrapText="1"/>
    </xf>
    <xf numFmtId="2" fontId="2" fillId="21" borderId="100" xfId="1" applyNumberFormat="1" applyFill="1" applyBorder="1" applyAlignment="1">
      <alignment horizontal="center" vertical="center"/>
    </xf>
    <xf numFmtId="0" fontId="2" fillId="0" borderId="100" xfId="1" applyBorder="1" applyAlignment="1">
      <alignment vertical="center"/>
    </xf>
    <xf numFmtId="0" fontId="5" fillId="0" borderId="0" xfId="1" applyFont="1" applyFill="1" applyAlignment="1">
      <alignment horizontal="right" vertical="center"/>
    </xf>
    <xf numFmtId="0" fontId="9" fillId="0" borderId="1" xfId="1" applyFont="1" applyFill="1" applyBorder="1" applyAlignment="1">
      <alignment horizontal="right" vertical="center"/>
    </xf>
    <xf numFmtId="164" fontId="2" fillId="4" borderId="2" xfId="1" applyNumberFormat="1" applyFill="1" applyBorder="1" applyAlignment="1">
      <alignment horizontal="right" vertical="center"/>
    </xf>
    <xf numFmtId="165" fontId="2" fillId="0" borderId="13" xfId="1" applyNumberFormat="1" applyBorder="1" applyAlignment="1">
      <alignment vertical="center"/>
    </xf>
    <xf numFmtId="165" fontId="2" fillId="0" borderId="2" xfId="1" applyNumberFormat="1" applyBorder="1" applyAlignment="1">
      <alignment horizontal="right" vertical="center"/>
    </xf>
    <xf numFmtId="164" fontId="2" fillId="0" borderId="2" xfId="1" applyNumberFormat="1" applyFill="1" applyBorder="1" applyAlignment="1">
      <alignment vertical="center"/>
    </xf>
    <xf numFmtId="0" fontId="9" fillId="0" borderId="5" xfId="1" applyFont="1" applyFill="1" applyBorder="1" applyAlignment="1">
      <alignment horizontal="right" vertical="center"/>
    </xf>
    <xf numFmtId="164" fontId="2" fillId="4" borderId="0" xfId="1" applyNumberFormat="1" applyFill="1" applyBorder="1" applyAlignment="1">
      <alignment horizontal="right" vertical="center"/>
    </xf>
    <xf numFmtId="165" fontId="2" fillId="0" borderId="19" xfId="1" applyNumberFormat="1" applyBorder="1" applyAlignment="1">
      <alignment vertical="center"/>
    </xf>
    <xf numFmtId="165" fontId="2" fillId="4" borderId="0" xfId="1" applyNumberFormat="1" applyFill="1" applyBorder="1" applyAlignment="1">
      <alignment vertical="center"/>
    </xf>
    <xf numFmtId="0" fontId="9" fillId="0" borderId="65" xfId="1" applyFont="1" applyFill="1" applyBorder="1" applyAlignment="1">
      <alignment horizontal="right" vertical="center"/>
    </xf>
    <xf numFmtId="164" fontId="2" fillId="4" borderId="4" xfId="1" applyNumberFormat="1" applyFill="1" applyBorder="1" applyAlignment="1">
      <alignment horizontal="right" vertical="center"/>
    </xf>
    <xf numFmtId="0" fontId="2" fillId="0" borderId="4" xfId="1" applyBorder="1" applyAlignment="1">
      <alignment vertical="center"/>
    </xf>
    <xf numFmtId="165" fontId="2" fillId="0" borderId="63" xfId="1" applyNumberFormat="1" applyBorder="1" applyAlignment="1">
      <alignment vertical="center"/>
    </xf>
    <xf numFmtId="0" fontId="2" fillId="0" borderId="5" xfId="1" applyFill="1" applyBorder="1" applyAlignment="1">
      <alignment horizontal="right" vertical="center"/>
    </xf>
    <xf numFmtId="2" fontId="2" fillId="4" borderId="0" xfId="1" applyNumberFormat="1" applyFill="1" applyBorder="1" applyAlignment="1">
      <alignment horizontal="right" vertical="center"/>
    </xf>
    <xf numFmtId="2" fontId="2" fillId="4" borderId="124" xfId="1" applyNumberFormat="1" applyFill="1" applyBorder="1" applyAlignment="1">
      <alignment horizontal="right" vertical="center"/>
    </xf>
    <xf numFmtId="168" fontId="2" fillId="4" borderId="0" xfId="1" applyNumberFormat="1" applyFill="1" applyBorder="1" applyAlignment="1">
      <alignment vertical="center"/>
    </xf>
    <xf numFmtId="0" fontId="2" fillId="0" borderId="19" xfId="1" applyBorder="1" applyAlignment="1">
      <alignment vertical="center"/>
    </xf>
    <xf numFmtId="0" fontId="2" fillId="0" borderId="65" xfId="1" applyFill="1" applyBorder="1" applyAlignment="1">
      <alignment horizontal="right" vertical="center"/>
    </xf>
    <xf numFmtId="165" fontId="2" fillId="4" borderId="4" xfId="1" applyNumberFormat="1" applyFill="1" applyBorder="1" applyAlignment="1">
      <alignment horizontal="right" vertical="center"/>
    </xf>
    <xf numFmtId="0" fontId="2" fillId="0" borderId="63" xfId="1" applyBorder="1" applyAlignment="1">
      <alignment vertical="center"/>
    </xf>
    <xf numFmtId="2" fontId="2" fillId="4" borderId="19" xfId="1" applyNumberFormat="1" applyFill="1" applyBorder="1" applyAlignment="1">
      <alignment horizontal="right" vertical="center"/>
    </xf>
    <xf numFmtId="165" fontId="2" fillId="0" borderId="0" xfId="1" applyNumberFormat="1" applyFill="1" applyBorder="1" applyAlignment="1">
      <alignment vertical="center" wrapText="1"/>
    </xf>
    <xf numFmtId="0" fontId="2" fillId="0" borderId="65" xfId="1" applyFill="1" applyBorder="1" applyAlignment="1">
      <alignment horizontal="right" vertical="center" wrapText="1"/>
    </xf>
    <xf numFmtId="0" fontId="2" fillId="0" borderId="4" xfId="1" applyFill="1" applyBorder="1" applyAlignment="1">
      <alignment horizontal="right" vertical="center"/>
    </xf>
    <xf numFmtId="2" fontId="2" fillId="0" borderId="63" xfId="1" applyNumberFormat="1" applyFill="1" applyBorder="1" applyAlignment="1">
      <alignment horizontal="right" vertical="center"/>
    </xf>
    <xf numFmtId="0" fontId="6" fillId="0" borderId="0" xfId="1" applyFont="1" applyFill="1" applyBorder="1" applyAlignment="1">
      <alignment vertical="center"/>
    </xf>
    <xf numFmtId="0" fontId="2" fillId="0" borderId="8" xfId="1" applyFill="1" applyBorder="1" applyAlignment="1">
      <alignment horizontal="right" vertical="center" wrapText="1"/>
    </xf>
    <xf numFmtId="165" fontId="2" fillId="4" borderId="106" xfId="1" applyNumberFormat="1" applyFill="1" applyBorder="1" applyAlignment="1">
      <alignment horizontal="right" vertical="center"/>
    </xf>
    <xf numFmtId="0" fontId="2" fillId="0" borderId="123" xfId="1" applyBorder="1" applyAlignment="1">
      <alignment vertical="center"/>
    </xf>
    <xf numFmtId="0" fontId="2" fillId="0" borderId="120" xfId="1" applyBorder="1" applyAlignment="1">
      <alignment vertical="center"/>
    </xf>
    <xf numFmtId="0" fontId="2" fillId="0" borderId="0" xfId="1" applyFont="1" applyFill="1" applyAlignment="1">
      <alignment horizontal="center" vertical="center"/>
    </xf>
    <xf numFmtId="2" fontId="6" fillId="0" borderId="0" xfId="1" applyNumberFormat="1" applyFont="1" applyFill="1" applyBorder="1" applyAlignment="1">
      <alignment horizontal="center" vertical="center"/>
    </xf>
    <xf numFmtId="0" fontId="2" fillId="0" borderId="0" xfId="1" applyFont="1" applyFill="1" applyBorder="1" applyAlignment="1">
      <alignment vertical="center"/>
    </xf>
    <xf numFmtId="164" fontId="2" fillId="0" borderId="0" xfId="1" applyNumberFormat="1" applyFont="1" applyFill="1" applyBorder="1" applyAlignment="1">
      <alignment horizontal="center" vertical="center"/>
    </xf>
    <xf numFmtId="0" fontId="6" fillId="0" borderId="0" xfId="1" applyFont="1" applyBorder="1" applyAlignment="1">
      <alignment horizontal="right" vertical="center"/>
    </xf>
    <xf numFmtId="0" fontId="2" fillId="0" borderId="125" xfId="59" applyFont="1" applyBorder="1" applyAlignment="1">
      <alignment vertical="center"/>
    </xf>
    <xf numFmtId="0" fontId="6" fillId="0" borderId="125" xfId="59" applyFont="1" applyBorder="1" applyAlignment="1">
      <alignment vertical="center"/>
    </xf>
    <xf numFmtId="164" fontId="2" fillId="3" borderId="15" xfId="1" applyNumberFormat="1" applyFont="1" applyFill="1" applyBorder="1" applyAlignment="1">
      <alignment horizontal="center" vertical="center"/>
    </xf>
    <xf numFmtId="164" fontId="2" fillId="3" borderId="16" xfId="1" applyNumberFormat="1" applyFont="1" applyFill="1" applyBorder="1" applyAlignment="1">
      <alignment horizontal="center" vertical="center"/>
    </xf>
    <xf numFmtId="0" fontId="0" fillId="0" borderId="19" xfId="0" applyBorder="1" applyAlignment="1"/>
    <xf numFmtId="0" fontId="0" fillId="31" borderId="0" xfId="0" applyFill="1"/>
    <xf numFmtId="0" fontId="0" fillId="0" borderId="126" xfId="0" applyBorder="1"/>
    <xf numFmtId="0" fontId="0" fillId="0" borderId="127" xfId="0" applyBorder="1"/>
    <xf numFmtId="0" fontId="49" fillId="0" borderId="127" xfId="0" applyFont="1" applyBorder="1"/>
    <xf numFmtId="0" fontId="0" fillId="0" borderId="128" xfId="0" applyBorder="1"/>
    <xf numFmtId="0" fontId="0" fillId="0" borderId="129" xfId="0" applyBorder="1"/>
    <xf numFmtId="0" fontId="0" fillId="0" borderId="0" xfId="0" applyBorder="1"/>
    <xf numFmtId="0" fontId="55" fillId="0" borderId="0" xfId="0" applyFont="1" applyBorder="1"/>
    <xf numFmtId="0" fontId="40" fillId="0" borderId="0" xfId="0" applyFont="1" applyBorder="1"/>
    <xf numFmtId="0" fontId="0" fillId="0" borderId="130" xfId="0" applyBorder="1"/>
    <xf numFmtId="0" fontId="0" fillId="0" borderId="131" xfId="0" applyBorder="1"/>
    <xf numFmtId="0" fontId="0" fillId="0" borderId="132" xfId="0" applyBorder="1"/>
    <xf numFmtId="0" fontId="0" fillId="0" borderId="133" xfId="0" applyBorder="1"/>
    <xf numFmtId="0" fontId="0" fillId="0" borderId="134" xfId="0" applyBorder="1"/>
    <xf numFmtId="0" fontId="0" fillId="0" borderId="0" xfId="0" applyBorder="1" applyProtection="1">
      <protection locked="0"/>
    </xf>
    <xf numFmtId="0" fontId="0" fillId="0" borderId="0" xfId="0" applyBorder="1" applyAlignment="1">
      <alignment horizontal="right"/>
    </xf>
    <xf numFmtId="0" fontId="0" fillId="0" borderId="135" xfId="0" applyBorder="1"/>
    <xf numFmtId="0" fontId="0" fillId="0" borderId="136" xfId="0" applyBorder="1"/>
    <xf numFmtId="0" fontId="0" fillId="0" borderId="137" xfId="0" applyBorder="1"/>
    <xf numFmtId="0" fontId="0" fillId="0" borderId="138" xfId="0" applyBorder="1"/>
    <xf numFmtId="0" fontId="0" fillId="0" borderId="134" xfId="0" applyBorder="1" applyAlignment="1">
      <alignment horizontal="right"/>
    </xf>
    <xf numFmtId="0" fontId="0" fillId="0" borderId="0" xfId="0" applyBorder="1" applyAlignment="1">
      <alignment horizontal="left"/>
    </xf>
    <xf numFmtId="0" fontId="0" fillId="0" borderId="136" xfId="0" applyBorder="1" applyAlignment="1">
      <alignment horizontal="right"/>
    </xf>
    <xf numFmtId="0" fontId="0" fillId="0" borderId="0" xfId="0" applyBorder="1" applyAlignment="1" applyProtection="1">
      <alignment horizontal="right"/>
      <protection locked="0"/>
    </xf>
    <xf numFmtId="0" fontId="0" fillId="0" borderId="131" xfId="0" applyBorder="1" applyAlignment="1">
      <alignment horizontal="right"/>
    </xf>
    <xf numFmtId="0" fontId="0" fillId="0" borderId="0" xfId="0" applyBorder="1"/>
    <xf numFmtId="0" fontId="0" fillId="0" borderId="4" xfId="0" applyBorder="1"/>
    <xf numFmtId="0" fontId="0" fillId="0" borderId="0" xfId="0" applyBorder="1" applyAlignment="1" applyProtection="1">
      <alignment horizontal="center"/>
      <protection locked="0"/>
    </xf>
    <xf numFmtId="0" fontId="0" fillId="0" borderId="0" xfId="0" applyBorder="1" applyAlignment="1" applyProtection="1">
      <alignment horizontal="left"/>
      <protection locked="0"/>
    </xf>
    <xf numFmtId="0" fontId="0" fillId="0" borderId="139" xfId="0" applyBorder="1" applyAlignment="1" applyProtection="1">
      <protection locked="0"/>
    </xf>
    <xf numFmtId="0" fontId="0" fillId="0" borderId="141" xfId="0" applyBorder="1"/>
    <xf numFmtId="0" fontId="0" fillId="0" borderId="139" xfId="0" applyBorder="1" applyProtection="1">
      <protection locked="0"/>
    </xf>
    <xf numFmtId="0" fontId="0" fillId="0" borderId="142" xfId="0" applyBorder="1"/>
    <xf numFmtId="164" fontId="0" fillId="0" borderId="0" xfId="0" applyNumberFormat="1" applyBorder="1"/>
    <xf numFmtId="0" fontId="0" fillId="0" borderId="143" xfId="0" applyBorder="1"/>
    <xf numFmtId="0" fontId="0" fillId="0" borderId="144" xfId="0" applyBorder="1"/>
    <xf numFmtId="0" fontId="0" fillId="0" borderId="145" xfId="0" applyBorder="1"/>
    <xf numFmtId="0" fontId="0" fillId="31" borderId="0" xfId="0" applyFill="1" applyProtection="1">
      <protection locked="0"/>
    </xf>
    <xf numFmtId="0" fontId="2" fillId="0" borderId="18" xfId="1" applyFill="1" applyBorder="1" applyAlignment="1">
      <alignment horizontal="left"/>
    </xf>
    <xf numFmtId="0" fontId="0" fillId="0" borderId="0" xfId="0" applyFill="1" applyBorder="1"/>
    <xf numFmtId="0" fontId="40" fillId="0" borderId="0" xfId="0" applyFont="1" applyBorder="1" applyProtection="1">
      <protection locked="0"/>
    </xf>
    <xf numFmtId="2" fontId="2" fillId="21" borderId="11" xfId="1" applyNumberFormat="1" applyFont="1" applyFill="1" applyBorder="1"/>
    <xf numFmtId="2" fontId="2" fillId="21" borderId="7" xfId="1" applyNumberFormat="1" applyFont="1" applyFill="1" applyBorder="1"/>
    <xf numFmtId="164" fontId="2" fillId="21" borderId="24" xfId="1" applyNumberFormat="1" applyFont="1" applyFill="1" applyBorder="1"/>
    <xf numFmtId="0" fontId="40" fillId="0" borderId="0" xfId="0" applyFont="1" applyBorder="1" applyAlignment="1" applyProtection="1">
      <alignment horizontal="left"/>
      <protection locked="0"/>
    </xf>
    <xf numFmtId="2" fontId="2" fillId="21" borderId="7" xfId="1" applyNumberFormat="1" applyFill="1" applyBorder="1"/>
    <xf numFmtId="164" fontId="2" fillId="21" borderId="7" xfId="1" applyNumberFormat="1" applyFill="1" applyBorder="1"/>
    <xf numFmtId="164" fontId="2" fillId="21" borderId="7" xfId="1" applyNumberFormat="1" applyFill="1" applyBorder="1" applyAlignment="1">
      <alignment vertical="center"/>
    </xf>
    <xf numFmtId="0" fontId="2" fillId="21" borderId="11" xfId="1" applyFont="1" applyFill="1" applyBorder="1" applyAlignment="1">
      <alignment vertical="center"/>
    </xf>
    <xf numFmtId="0" fontId="0" fillId="0" borderId="139" xfId="0" applyBorder="1"/>
    <xf numFmtId="0" fontId="0" fillId="0" borderId="7" xfId="0" applyBorder="1" applyAlignment="1">
      <alignment horizontal="center"/>
    </xf>
    <xf numFmtId="0" fontId="0" fillId="0" borderId="142" xfId="0" applyBorder="1" applyProtection="1">
      <protection locked="0"/>
    </xf>
    <xf numFmtId="2" fontId="0" fillId="0" borderId="142" xfId="0" applyNumberFormat="1" applyBorder="1" applyProtection="1">
      <protection locked="0"/>
    </xf>
    <xf numFmtId="0" fontId="0" fillId="0" borderId="0" xfId="0" applyBorder="1" applyAlignment="1">
      <alignment horizontal="center"/>
    </xf>
    <xf numFmtId="0" fontId="0" fillId="0" borderId="139" xfId="0" applyBorder="1" applyProtection="1">
      <protection locked="0"/>
    </xf>
    <xf numFmtId="0" fontId="0" fillId="0" borderId="141" xfId="0" applyBorder="1" applyProtection="1">
      <protection locked="0"/>
    </xf>
    <xf numFmtId="0" fontId="0" fillId="0" borderId="0" xfId="0" applyBorder="1"/>
    <xf numFmtId="0" fontId="0" fillId="0" borderId="4" xfId="0" applyBorder="1"/>
    <xf numFmtId="0" fontId="0" fillId="0" borderId="140" xfId="0" applyBorder="1" applyProtection="1">
      <protection locked="0"/>
    </xf>
    <xf numFmtId="173" fontId="0" fillId="0" borderId="139" xfId="0" applyNumberFormat="1" applyBorder="1" applyAlignment="1" applyProtection="1">
      <alignment horizontal="left"/>
      <protection locked="0"/>
    </xf>
    <xf numFmtId="173" fontId="0" fillId="0" borderId="140" xfId="0" applyNumberFormat="1" applyBorder="1" applyAlignment="1" applyProtection="1">
      <alignment horizontal="left"/>
      <protection locked="0"/>
    </xf>
    <xf numFmtId="173" fontId="0" fillId="0" borderId="141" xfId="0" applyNumberFormat="1" applyBorder="1" applyAlignment="1" applyProtection="1">
      <alignment horizontal="left"/>
      <protection locked="0"/>
    </xf>
    <xf numFmtId="0" fontId="2" fillId="21" borderId="7" xfId="1" applyFont="1" applyFill="1" applyBorder="1" applyAlignment="1">
      <alignment horizontal="left"/>
    </xf>
    <xf numFmtId="0" fontId="2" fillId="0" borderId="18" xfId="1" applyFont="1" applyFill="1" applyBorder="1" applyAlignment="1">
      <alignment horizontal="right"/>
    </xf>
    <xf numFmtId="0" fontId="2" fillId="0" borderId="19" xfId="1" applyFont="1" applyFill="1" applyBorder="1" applyAlignment="1">
      <alignment horizontal="right"/>
    </xf>
    <xf numFmtId="0" fontId="2" fillId="21" borderId="7" xfId="1" applyFont="1" applyFill="1" applyBorder="1" applyAlignment="1"/>
    <xf numFmtId="0" fontId="2" fillId="21" borderId="20" xfId="1" applyFont="1" applyFill="1" applyBorder="1" applyAlignment="1"/>
    <xf numFmtId="14" fontId="2" fillId="5" borderId="24" xfId="1" applyNumberFormat="1" applyFont="1" applyFill="1" applyBorder="1" applyAlignment="1">
      <alignment horizontal="left"/>
    </xf>
    <xf numFmtId="0" fontId="2" fillId="0" borderId="25" xfId="1" applyFont="1" applyFill="1" applyBorder="1" applyAlignment="1">
      <alignment horizontal="right"/>
    </xf>
    <xf numFmtId="0" fontId="2" fillId="0" borderId="26" xfId="1" applyFont="1" applyFill="1" applyBorder="1" applyAlignment="1">
      <alignment horizontal="right"/>
    </xf>
    <xf numFmtId="0" fontId="2" fillId="4" borderId="24" xfId="1" applyFont="1" applyFill="1" applyBorder="1" applyAlignment="1"/>
    <xf numFmtId="0" fontId="2" fillId="4" borderId="27" xfId="1" applyFont="1" applyFill="1" applyBorder="1" applyAlignment="1"/>
    <xf numFmtId="0" fontId="5" fillId="2" borderId="8" xfId="1" applyFont="1" applyFill="1" applyBorder="1" applyAlignment="1">
      <alignment horizontal="center"/>
    </xf>
    <xf numFmtId="0" fontId="5" fillId="2" borderId="9" xfId="1" applyFont="1" applyFill="1" applyBorder="1" applyAlignment="1">
      <alignment horizontal="center"/>
    </xf>
    <xf numFmtId="0" fontId="5" fillId="2" borderId="10" xfId="1" applyFont="1" applyFill="1" applyBorder="1" applyAlignment="1">
      <alignment horizontal="center"/>
    </xf>
    <xf numFmtId="0" fontId="2" fillId="21" borderId="11" xfId="1" applyFont="1" applyFill="1" applyBorder="1" applyAlignment="1">
      <alignment horizontal="left"/>
    </xf>
    <xf numFmtId="0" fontId="2" fillId="0" borderId="12" xfId="1" applyFont="1" applyFill="1" applyBorder="1" applyAlignment="1">
      <alignment horizontal="right"/>
    </xf>
    <xf numFmtId="0" fontId="2" fillId="0" borderId="13" xfId="1" applyFont="1" applyFill="1" applyBorder="1" applyAlignment="1">
      <alignment horizontal="right"/>
    </xf>
    <xf numFmtId="0" fontId="2" fillId="21" borderId="14" xfId="1" applyFont="1" applyFill="1" applyBorder="1" applyAlignment="1">
      <alignment horizontal="left"/>
    </xf>
    <xf numFmtId="0" fontId="2" fillId="24" borderId="101" xfId="1" applyFont="1" applyFill="1" applyBorder="1" applyAlignment="1">
      <alignment horizontal="center" vertical="center"/>
    </xf>
    <xf numFmtId="0" fontId="2" fillId="24" borderId="94" xfId="1" applyFont="1" applyFill="1" applyBorder="1" applyAlignment="1">
      <alignment horizontal="center" vertical="center"/>
    </xf>
    <xf numFmtId="0" fontId="2" fillId="22" borderId="8" xfId="1" applyFont="1" applyFill="1" applyBorder="1" applyAlignment="1">
      <alignment horizontal="center" vertical="center" wrapText="1"/>
    </xf>
    <xf numFmtId="0" fontId="2" fillId="22" borderId="106" xfId="1" applyFont="1" applyFill="1" applyBorder="1" applyAlignment="1">
      <alignment horizontal="center" vertical="center" wrapText="1"/>
    </xf>
    <xf numFmtId="0" fontId="2" fillId="22" borderId="10" xfId="1" applyFont="1" applyFill="1" applyBorder="1" applyAlignment="1">
      <alignment horizontal="center" vertical="center" wrapText="1"/>
    </xf>
    <xf numFmtId="0" fontId="2" fillId="23" borderId="99" xfId="1" applyFont="1" applyFill="1" applyBorder="1" applyAlignment="1">
      <alignment horizontal="center" vertical="center"/>
    </xf>
    <xf numFmtId="0" fontId="2" fillId="23" borderId="89" xfId="1" applyFont="1" applyFill="1" applyBorder="1" applyAlignment="1">
      <alignment horizontal="center" vertical="center"/>
    </xf>
    <xf numFmtId="0" fontId="2" fillId="22" borderId="1" xfId="1" applyFont="1" applyFill="1" applyBorder="1" applyAlignment="1">
      <alignment horizontal="center" vertical="center" wrapText="1"/>
    </xf>
    <xf numFmtId="0" fontId="2" fillId="22" borderId="2" xfId="1" applyFont="1" applyFill="1" applyBorder="1" applyAlignment="1">
      <alignment horizontal="center" vertical="center" wrapText="1"/>
    </xf>
    <xf numFmtId="0" fontId="2" fillId="22" borderId="3" xfId="1" applyFont="1" applyFill="1" applyBorder="1" applyAlignment="1">
      <alignment horizontal="center" vertical="center" wrapText="1"/>
    </xf>
    <xf numFmtId="0" fontId="2" fillId="22" borderId="5" xfId="1" applyFont="1" applyFill="1" applyBorder="1" applyAlignment="1">
      <alignment horizontal="center" vertical="center" wrapText="1"/>
    </xf>
    <xf numFmtId="0" fontId="2" fillId="22" borderId="6" xfId="1" applyFont="1" applyFill="1" applyBorder="1" applyAlignment="1">
      <alignment horizontal="center" vertical="center" wrapText="1"/>
    </xf>
    <xf numFmtId="0" fontId="2" fillId="22" borderId="65" xfId="1" applyFont="1" applyFill="1" applyBorder="1" applyAlignment="1">
      <alignment horizontal="center" vertical="center" wrapText="1"/>
    </xf>
    <xf numFmtId="0" fontId="2" fillId="22" borderId="64" xfId="1" applyFont="1" applyFill="1" applyBorder="1" applyAlignment="1">
      <alignment horizontal="center" vertical="center" wrapText="1"/>
    </xf>
    <xf numFmtId="0" fontId="49" fillId="0" borderId="67" xfId="0" applyFont="1" applyBorder="1" applyAlignment="1">
      <alignment horizontal="center" vertical="center"/>
    </xf>
    <xf numFmtId="0" fontId="49" fillId="0" borderId="0" xfId="0" applyFont="1" applyBorder="1" applyAlignment="1">
      <alignment horizontal="center" vertical="center"/>
    </xf>
    <xf numFmtId="0" fontId="49" fillId="0" borderId="4" xfId="0" applyFont="1" applyBorder="1" applyAlignment="1">
      <alignment horizontal="center" vertical="center"/>
    </xf>
    <xf numFmtId="0" fontId="31" fillId="0" borderId="0" xfId="1" applyFont="1" applyFill="1" applyBorder="1" applyAlignment="1">
      <alignment horizontal="center" vertical="center"/>
    </xf>
    <xf numFmtId="0" fontId="31" fillId="0" borderId="4" xfId="1" applyFont="1" applyFill="1" applyBorder="1" applyAlignment="1">
      <alignment horizontal="center" vertical="center"/>
    </xf>
    <xf numFmtId="2" fontId="2" fillId="0" borderId="0" xfId="1" applyNumberFormat="1" applyFont="1" applyBorder="1" applyAlignment="1">
      <alignment horizontal="center" vertical="center"/>
    </xf>
    <xf numFmtId="2" fontId="2" fillId="0" borderId="4" xfId="1" applyNumberFormat="1" applyFont="1" applyBorder="1" applyAlignment="1">
      <alignment horizontal="center" vertical="center"/>
    </xf>
    <xf numFmtId="1" fontId="44" fillId="23" borderId="28" xfId="0" applyNumberFormat="1" applyFont="1" applyFill="1" applyBorder="1" applyAlignment="1">
      <alignment horizontal="center" vertical="center" wrapText="1"/>
    </xf>
    <xf numFmtId="0" fontId="44" fillId="23" borderId="28" xfId="0" applyFont="1" applyFill="1" applyBorder="1" applyAlignment="1">
      <alignment horizontal="center" vertical="center" wrapText="1"/>
    </xf>
    <xf numFmtId="0" fontId="0" fillId="0" borderId="67" xfId="0" applyBorder="1" applyAlignment="1">
      <alignment horizontal="center" vertical="center"/>
    </xf>
    <xf numFmtId="0" fontId="0" fillId="0" borderId="0" xfId="0" applyBorder="1" applyAlignment="1">
      <alignment horizontal="center" vertical="center"/>
    </xf>
    <xf numFmtId="0" fontId="0" fillId="0" borderId="4" xfId="0" applyBorder="1" applyAlignment="1">
      <alignment horizontal="center" vertical="center"/>
    </xf>
    <xf numFmtId="0" fontId="31" fillId="0" borderId="67" xfId="1" applyFont="1" applyFill="1" applyBorder="1" applyAlignment="1">
      <alignment horizontal="center" vertical="center"/>
    </xf>
    <xf numFmtId="2" fontId="2" fillId="0" borderId="68" xfId="1" applyNumberFormat="1" applyBorder="1" applyAlignment="1">
      <alignment horizontal="center" vertical="center"/>
    </xf>
    <xf numFmtId="2" fontId="2" fillId="0" borderId="5" xfId="1" applyNumberFormat="1" applyBorder="1" applyAlignment="1">
      <alignment horizontal="center" vertical="center"/>
    </xf>
    <xf numFmtId="2" fontId="2" fillId="0" borderId="65" xfId="1" applyNumberFormat="1" applyBorder="1" applyAlignment="1">
      <alignment horizontal="center" vertical="center"/>
    </xf>
    <xf numFmtId="0" fontId="6" fillId="0" borderId="2" xfId="1" applyFont="1" applyFill="1" applyBorder="1" applyAlignment="1">
      <alignment horizontal="center" vertical="center"/>
    </xf>
    <xf numFmtId="0" fontId="0" fillId="0" borderId="2" xfId="0" applyBorder="1" applyAlignment="1">
      <alignment horizontal="center" vertical="center"/>
    </xf>
    <xf numFmtId="0" fontId="0" fillId="0" borderId="2" xfId="0" applyBorder="1" applyAlignment="1"/>
    <xf numFmtId="0" fontId="0" fillId="0" borderId="13" xfId="0" applyBorder="1" applyAlignment="1"/>
    <xf numFmtId="0" fontId="0" fillId="0" borderId="0" xfId="0" applyBorder="1" applyAlignment="1"/>
    <xf numFmtId="0" fontId="0" fillId="0" borderId="19" xfId="0" applyBorder="1" applyAlignment="1"/>
    <xf numFmtId="1" fontId="27" fillId="23" borderId="28" xfId="1" applyNumberFormat="1" applyFont="1" applyFill="1" applyBorder="1" applyAlignment="1">
      <alignment horizontal="center" vertical="center" wrapText="1"/>
    </xf>
    <xf numFmtId="2" fontId="2" fillId="0" borderId="5" xfId="1" applyNumberFormat="1" applyFont="1" applyBorder="1" applyAlignment="1">
      <alignment horizontal="center" vertical="center"/>
    </xf>
    <xf numFmtId="2" fontId="2" fillId="0" borderId="65" xfId="1" applyNumberFormat="1" applyFont="1" applyBorder="1" applyAlignment="1">
      <alignment horizontal="center" vertical="center"/>
    </xf>
    <xf numFmtId="1" fontId="27" fillId="23" borderId="1" xfId="1" applyNumberFormat="1" applyFont="1" applyFill="1" applyBorder="1" applyAlignment="1">
      <alignment horizontal="center" vertical="center" wrapText="1"/>
    </xf>
    <xf numFmtId="1" fontId="27" fillId="23" borderId="2" xfId="1" applyNumberFormat="1" applyFont="1" applyFill="1" applyBorder="1" applyAlignment="1">
      <alignment horizontal="center" vertical="center" wrapText="1"/>
    </xf>
    <xf numFmtId="1" fontId="27" fillId="23" borderId="3" xfId="1" applyNumberFormat="1" applyFont="1" applyFill="1" applyBorder="1" applyAlignment="1">
      <alignment horizontal="center" vertical="center" wrapText="1"/>
    </xf>
    <xf numFmtId="1" fontId="27" fillId="23" borderId="5" xfId="1" applyNumberFormat="1" applyFont="1" applyFill="1" applyBorder="1" applyAlignment="1">
      <alignment horizontal="center" vertical="center" wrapText="1"/>
    </xf>
    <xf numFmtId="1" fontId="27" fillId="23" borderId="0" xfId="1" applyNumberFormat="1" applyFont="1" applyFill="1" applyBorder="1" applyAlignment="1">
      <alignment horizontal="center" vertical="center" wrapText="1"/>
    </xf>
    <xf numFmtId="1" fontId="27" fillId="23" borderId="6" xfId="1" applyNumberFormat="1" applyFont="1" applyFill="1" applyBorder="1" applyAlignment="1">
      <alignment horizontal="center" vertical="center" wrapText="1"/>
    </xf>
    <xf numFmtId="1" fontId="27" fillId="23" borderId="8" xfId="1" applyNumberFormat="1" applyFont="1" applyFill="1" applyBorder="1" applyAlignment="1">
      <alignment horizontal="center" vertical="center" wrapText="1"/>
    </xf>
    <xf numFmtId="1" fontId="27" fillId="23" borderId="106" xfId="1" applyNumberFormat="1" applyFont="1" applyFill="1" applyBorder="1" applyAlignment="1">
      <alignment horizontal="center" vertical="center" wrapText="1"/>
    </xf>
    <xf numFmtId="1" fontId="27" fillId="23" borderId="10" xfId="1" applyNumberFormat="1" applyFont="1" applyFill="1" applyBorder="1" applyAlignment="1">
      <alignment horizontal="center" vertical="center" wrapText="1"/>
    </xf>
    <xf numFmtId="1" fontId="44" fillId="23" borderId="1" xfId="0" applyNumberFormat="1" applyFont="1" applyFill="1" applyBorder="1" applyAlignment="1">
      <alignment horizontal="center" vertical="center" wrapText="1"/>
    </xf>
    <xf numFmtId="1" fontId="44" fillId="23" borderId="2" xfId="0" applyNumberFormat="1" applyFont="1" applyFill="1" applyBorder="1" applyAlignment="1">
      <alignment horizontal="center" vertical="center" wrapText="1"/>
    </xf>
    <xf numFmtId="1" fontId="44" fillId="23" borderId="3" xfId="0" applyNumberFormat="1" applyFont="1" applyFill="1" applyBorder="1" applyAlignment="1">
      <alignment horizontal="center" vertical="center" wrapText="1"/>
    </xf>
    <xf numFmtId="1" fontId="44" fillId="23" borderId="5" xfId="0" applyNumberFormat="1" applyFont="1" applyFill="1" applyBorder="1" applyAlignment="1">
      <alignment horizontal="center" vertical="center" wrapText="1"/>
    </xf>
    <xf numFmtId="1" fontId="44" fillId="23" borderId="0" xfId="0" applyNumberFormat="1" applyFont="1" applyFill="1" applyBorder="1" applyAlignment="1">
      <alignment horizontal="center" vertical="center" wrapText="1"/>
    </xf>
    <xf numFmtId="1" fontId="44" fillId="23" borderId="6" xfId="0" applyNumberFormat="1" applyFont="1" applyFill="1" applyBorder="1" applyAlignment="1">
      <alignment horizontal="center" vertical="center" wrapText="1"/>
    </xf>
    <xf numFmtId="1" fontId="44" fillId="23" borderId="8" xfId="0" applyNumberFormat="1" applyFont="1" applyFill="1" applyBorder="1" applyAlignment="1">
      <alignment horizontal="center" vertical="center" wrapText="1"/>
    </xf>
    <xf numFmtId="1" fontId="44" fillId="23" borderId="106" xfId="0" applyNumberFormat="1" applyFont="1" applyFill="1" applyBorder="1" applyAlignment="1">
      <alignment horizontal="center" vertical="center" wrapText="1"/>
    </xf>
    <xf numFmtId="1" fontId="44" fillId="23" borderId="10" xfId="0" applyNumberFormat="1" applyFont="1" applyFill="1" applyBorder="1" applyAlignment="1">
      <alignment horizontal="center" vertical="center" wrapText="1"/>
    </xf>
    <xf numFmtId="0" fontId="6" fillId="0" borderId="67" xfId="1" applyFont="1" applyFill="1" applyBorder="1" applyAlignment="1">
      <alignment horizontal="center" vertical="center" textRotation="255"/>
    </xf>
    <xf numFmtId="0" fontId="6" fillId="0" borderId="69" xfId="1" applyFont="1" applyFill="1" applyBorder="1" applyAlignment="1">
      <alignment horizontal="center" vertical="center" textRotation="255"/>
    </xf>
    <xf numFmtId="0" fontId="6" fillId="0" borderId="0" xfId="1" applyFont="1" applyFill="1" applyBorder="1" applyAlignment="1">
      <alignment horizontal="center" vertical="center" textRotation="255"/>
    </xf>
    <xf numFmtId="0" fontId="6" fillId="0" borderId="6" xfId="1" applyFont="1" applyFill="1" applyBorder="1" applyAlignment="1">
      <alignment horizontal="center" vertical="center" textRotation="255"/>
    </xf>
    <xf numFmtId="0" fontId="6" fillId="0" borderId="4" xfId="1" applyFont="1" applyFill="1" applyBorder="1" applyAlignment="1">
      <alignment horizontal="center" vertical="center" textRotation="255"/>
    </xf>
    <xf numFmtId="0" fontId="6" fillId="0" borderId="64" xfId="1" applyFont="1" applyFill="1" applyBorder="1" applyAlignment="1">
      <alignment horizontal="center" vertical="center" textRotation="255"/>
    </xf>
    <xf numFmtId="0" fontId="6" fillId="0" borderId="0" xfId="1" applyFont="1" applyFill="1" applyBorder="1" applyAlignment="1">
      <alignment horizontal="center" vertical="center"/>
    </xf>
    <xf numFmtId="0" fontId="0" fillId="0" borderId="9" xfId="0" applyBorder="1" applyAlignment="1"/>
    <xf numFmtId="0" fontId="0" fillId="0" borderId="26" xfId="0" applyBorder="1" applyAlignment="1"/>
    <xf numFmtId="1" fontId="27" fillId="24" borderId="68" xfId="1" applyNumberFormat="1" applyFont="1" applyFill="1" applyBorder="1" applyAlignment="1">
      <alignment horizontal="center" vertical="center" wrapText="1"/>
    </xf>
    <xf numFmtId="1" fontId="27" fillId="24" borderId="67" xfId="1" applyNumberFormat="1" applyFont="1" applyFill="1" applyBorder="1" applyAlignment="1">
      <alignment horizontal="center" vertical="center" wrapText="1"/>
    </xf>
    <xf numFmtId="1" fontId="27" fillId="24" borderId="69" xfId="1" applyNumberFormat="1" applyFont="1" applyFill="1" applyBorder="1" applyAlignment="1">
      <alignment horizontal="center" vertical="center" wrapText="1"/>
    </xf>
    <xf numFmtId="1" fontId="27" fillId="24" borderId="5" xfId="1" applyNumberFormat="1" applyFont="1" applyFill="1" applyBorder="1" applyAlignment="1">
      <alignment horizontal="center" vertical="center" wrapText="1"/>
    </xf>
    <xf numFmtId="1" fontId="27" fillId="24" borderId="0" xfId="1" applyNumberFormat="1" applyFont="1" applyFill="1" applyBorder="1" applyAlignment="1">
      <alignment horizontal="center" vertical="center" wrapText="1"/>
    </xf>
    <xf numFmtId="1" fontId="27" fillId="24" borderId="6" xfId="1" applyNumberFormat="1" applyFont="1" applyFill="1" applyBorder="1" applyAlignment="1">
      <alignment horizontal="center" vertical="center" wrapText="1"/>
    </xf>
    <xf numFmtId="1" fontId="27" fillId="24" borderId="65" xfId="1" applyNumberFormat="1" applyFont="1" applyFill="1" applyBorder="1" applyAlignment="1">
      <alignment horizontal="center" vertical="center" wrapText="1"/>
    </xf>
    <xf numFmtId="1" fontId="27" fillId="24" borderId="4" xfId="1" applyNumberFormat="1" applyFont="1" applyFill="1" applyBorder="1" applyAlignment="1">
      <alignment horizontal="center" vertical="center" wrapText="1"/>
    </xf>
    <xf numFmtId="1" fontId="27" fillId="24" borderId="64" xfId="1" applyNumberFormat="1" applyFont="1" applyFill="1" applyBorder="1" applyAlignment="1">
      <alignment horizontal="center" vertical="center" wrapText="1"/>
    </xf>
    <xf numFmtId="1" fontId="2" fillId="24" borderId="68" xfId="1" applyNumberFormat="1" applyFont="1" applyFill="1" applyBorder="1" applyAlignment="1">
      <alignment horizontal="center" vertical="center" wrapText="1"/>
    </xf>
    <xf numFmtId="1" fontId="2" fillId="24" borderId="67" xfId="1" applyNumberFormat="1" applyFont="1" applyFill="1" applyBorder="1" applyAlignment="1">
      <alignment horizontal="center" vertical="center" wrapText="1"/>
    </xf>
    <xf numFmtId="1" fontId="2" fillId="24" borderId="69" xfId="1" applyNumberFormat="1" applyFont="1" applyFill="1" applyBorder="1" applyAlignment="1">
      <alignment horizontal="center" vertical="center" wrapText="1"/>
    </xf>
    <xf numFmtId="1" fontId="2" fillId="24" borderId="8" xfId="1" applyNumberFormat="1" applyFont="1" applyFill="1" applyBorder="1" applyAlignment="1">
      <alignment horizontal="center" vertical="center" wrapText="1"/>
    </xf>
    <xf numFmtId="1" fontId="2" fillId="24" borderId="106" xfId="1" applyNumberFormat="1" applyFont="1" applyFill="1" applyBorder="1" applyAlignment="1">
      <alignment horizontal="center" vertical="center" wrapText="1"/>
    </xf>
    <xf numFmtId="1" fontId="2" fillId="24" borderId="10" xfId="1" applyNumberFormat="1" applyFont="1" applyFill="1" applyBorder="1" applyAlignment="1">
      <alignment horizontal="center" vertical="center" wrapText="1"/>
    </xf>
    <xf numFmtId="0" fontId="2" fillId="0" borderId="1" xfId="1" applyBorder="1" applyAlignment="1">
      <alignment horizontal="center" vertical="center"/>
    </xf>
    <xf numFmtId="0" fontId="2" fillId="0" borderId="5" xfId="1" applyBorder="1" applyAlignment="1">
      <alignment horizontal="center" vertical="center"/>
    </xf>
    <xf numFmtId="0" fontId="2" fillId="0" borderId="8" xfId="1" applyBorder="1" applyAlignment="1">
      <alignment horizontal="center" vertical="center"/>
    </xf>
    <xf numFmtId="0" fontId="2" fillId="0" borderId="43" xfId="1" applyBorder="1" applyAlignment="1">
      <alignment horizontal="center" vertical="top" wrapText="1"/>
    </xf>
    <xf numFmtId="0" fontId="2" fillId="0" borderId="87" xfId="1" applyBorder="1" applyAlignment="1">
      <alignment horizontal="center" vertical="top" wrapText="1"/>
    </xf>
    <xf numFmtId="0" fontId="6" fillId="0" borderId="76" xfId="1" applyFont="1" applyBorder="1" applyAlignment="1">
      <alignment horizontal="center"/>
    </xf>
    <xf numFmtId="0" fontId="6" fillId="0" borderId="52" xfId="1" applyFont="1" applyBorder="1" applyAlignment="1">
      <alignment horizontal="center"/>
    </xf>
    <xf numFmtId="0" fontId="6" fillId="0" borderId="53" xfId="1" applyFont="1" applyBorder="1" applyAlignment="1">
      <alignment horizontal="center"/>
    </xf>
    <xf numFmtId="0" fontId="2" fillId="0" borderId="17" xfId="1" applyFont="1" applyFill="1" applyBorder="1" applyAlignment="1">
      <alignment horizontal="center" vertical="center" wrapText="1"/>
    </xf>
    <xf numFmtId="0" fontId="2" fillId="0" borderId="23" xfId="1" applyFont="1" applyFill="1" applyBorder="1" applyAlignment="1">
      <alignment horizontal="center" vertical="center" wrapText="1"/>
    </xf>
    <xf numFmtId="0" fontId="2" fillId="0" borderId="6" xfId="1" applyFont="1" applyFill="1" applyBorder="1" applyAlignment="1">
      <alignment horizontal="center" vertical="center" wrapText="1"/>
    </xf>
    <xf numFmtId="0" fontId="2" fillId="0" borderId="10" xfId="1" applyFont="1" applyFill="1" applyBorder="1" applyAlignment="1">
      <alignment horizontal="center" vertical="center" wrapText="1"/>
    </xf>
    <xf numFmtId="164" fontId="6" fillId="0" borderId="77" xfId="1" applyNumberFormat="1" applyFont="1" applyFill="1" applyBorder="1" applyAlignment="1">
      <alignment horizontal="center" vertical="center" wrapText="1"/>
    </xf>
    <xf numFmtId="164" fontId="6" fillId="0" borderId="78" xfId="1" applyNumberFormat="1" applyFont="1" applyFill="1" applyBorder="1" applyAlignment="1">
      <alignment horizontal="center" vertical="center" wrapText="1"/>
    </xf>
    <xf numFmtId="164" fontId="6" fillId="0" borderId="79" xfId="1" applyNumberFormat="1" applyFont="1" applyFill="1" applyBorder="1" applyAlignment="1">
      <alignment horizontal="center" vertical="center" wrapText="1"/>
    </xf>
    <xf numFmtId="1" fontId="6" fillId="0" borderId="82" xfId="1" applyNumberFormat="1" applyFont="1" applyFill="1" applyBorder="1" applyAlignment="1">
      <alignment horizontal="center" vertical="center" wrapText="1"/>
    </xf>
    <xf numFmtId="1" fontId="6" fillId="0" borderId="62" xfId="1" applyNumberFormat="1" applyFont="1" applyFill="1" applyBorder="1" applyAlignment="1">
      <alignment horizontal="center" vertical="center" wrapText="1"/>
    </xf>
    <xf numFmtId="0" fontId="2" fillId="0" borderId="43" xfId="1" applyFont="1" applyBorder="1" applyAlignment="1">
      <alignment horizontal="center" vertical="top" wrapText="1"/>
    </xf>
    <xf numFmtId="0" fontId="0" fillId="0" borderId="44" xfId="0" applyBorder="1" applyAlignment="1">
      <alignment horizontal="center" vertical="top" wrapText="1"/>
    </xf>
    <xf numFmtId="0" fontId="6" fillId="0" borderId="60" xfId="1" applyFont="1" applyFill="1" applyBorder="1" applyAlignment="1">
      <alignment horizontal="right" vertical="center"/>
    </xf>
    <xf numFmtId="0" fontId="6" fillId="0" borderId="61" xfId="1" applyFont="1" applyFill="1" applyBorder="1" applyAlignment="1">
      <alignment horizontal="right" vertical="center"/>
    </xf>
    <xf numFmtId="0" fontId="6" fillId="0" borderId="104" xfId="1" applyFont="1" applyFill="1" applyBorder="1" applyAlignment="1">
      <alignment horizontal="right" vertical="center"/>
    </xf>
    <xf numFmtId="0" fontId="5" fillId="2" borderId="74" xfId="1" applyFont="1" applyFill="1" applyBorder="1" applyAlignment="1">
      <alignment horizontal="center" vertical="center"/>
    </xf>
    <xf numFmtId="0" fontId="5" fillId="2" borderId="73" xfId="1" applyFont="1" applyFill="1" applyBorder="1" applyAlignment="1">
      <alignment horizontal="center" vertical="center"/>
    </xf>
    <xf numFmtId="0" fontId="5" fillId="2" borderId="75" xfId="1" applyFont="1" applyFill="1" applyBorder="1" applyAlignment="1">
      <alignment horizontal="center" vertical="center"/>
    </xf>
    <xf numFmtId="0" fontId="5" fillId="2" borderId="56" xfId="1" applyFont="1" applyFill="1" applyBorder="1" applyAlignment="1">
      <alignment horizontal="center" vertical="center"/>
    </xf>
    <xf numFmtId="0" fontId="5" fillId="2" borderId="0" xfId="1" applyFont="1" applyFill="1" applyBorder="1" applyAlignment="1">
      <alignment horizontal="center" vertical="center"/>
    </xf>
    <xf numFmtId="0" fontId="5" fillId="2" borderId="6" xfId="1" applyFont="1" applyFill="1" applyBorder="1" applyAlignment="1">
      <alignment horizontal="center" vertical="center"/>
    </xf>
    <xf numFmtId="0" fontId="5" fillId="2" borderId="58" xfId="1" applyFont="1" applyFill="1" applyBorder="1" applyAlignment="1">
      <alignment horizontal="center" vertical="center"/>
    </xf>
    <xf numFmtId="0" fontId="5" fillId="2" borderId="106" xfId="1" applyFont="1" applyFill="1" applyBorder="1" applyAlignment="1">
      <alignment horizontal="center" vertical="center"/>
    </xf>
    <xf numFmtId="0" fontId="5" fillId="2" borderId="10" xfId="1" applyFont="1" applyFill="1" applyBorder="1" applyAlignment="1">
      <alignment horizontal="center" vertical="center"/>
    </xf>
    <xf numFmtId="0" fontId="2" fillId="0" borderId="86" xfId="1" applyBorder="1" applyAlignment="1">
      <alignment horizontal="center" vertical="center"/>
    </xf>
    <xf numFmtId="0" fontId="2" fillId="0" borderId="17" xfId="1" applyBorder="1" applyAlignment="1">
      <alignment horizontal="center" vertical="center"/>
    </xf>
    <xf numFmtId="0" fontId="2" fillId="0" borderId="23" xfId="1" applyBorder="1" applyAlignment="1">
      <alignment horizontal="center" vertical="center"/>
    </xf>
    <xf numFmtId="0" fontId="6" fillId="0" borderId="60" xfId="1" applyFont="1" applyFill="1" applyBorder="1" applyAlignment="1">
      <alignment horizontal="center" vertical="center" wrapText="1"/>
    </xf>
    <xf numFmtId="0" fontId="6" fillId="0" borderId="61" xfId="1" applyFont="1" applyFill="1" applyBorder="1" applyAlignment="1">
      <alignment horizontal="center" vertical="center" wrapText="1"/>
    </xf>
    <xf numFmtId="0" fontId="6" fillId="0" borderId="104" xfId="1" applyFont="1" applyFill="1" applyBorder="1" applyAlignment="1">
      <alignment horizontal="center" vertical="center" wrapText="1"/>
    </xf>
    <xf numFmtId="0" fontId="6" fillId="0" borderId="54" xfId="66" applyFont="1" applyFill="1" applyBorder="1" applyAlignment="1">
      <alignment horizontal="center" vertical="center" wrapText="1"/>
    </xf>
    <xf numFmtId="0" fontId="6" fillId="0" borderId="2" xfId="66" applyFont="1" applyFill="1" applyBorder="1" applyAlignment="1">
      <alignment horizontal="center" vertical="center" wrapText="1"/>
    </xf>
    <xf numFmtId="0" fontId="6" fillId="0" borderId="13" xfId="66" applyFont="1" applyFill="1" applyBorder="1" applyAlignment="1">
      <alignment horizontal="center" vertical="center" wrapText="1"/>
    </xf>
    <xf numFmtId="0" fontId="6" fillId="0" borderId="56" xfId="66" applyFont="1" applyFill="1" applyBorder="1" applyAlignment="1">
      <alignment horizontal="center" vertical="center" wrapText="1"/>
    </xf>
    <xf numFmtId="0" fontId="6" fillId="0" borderId="0" xfId="66" applyFont="1" applyFill="1" applyBorder="1" applyAlignment="1">
      <alignment horizontal="center" vertical="center" wrapText="1"/>
    </xf>
    <xf numFmtId="0" fontId="6" fillId="0" borderId="19" xfId="66" applyFont="1" applyFill="1" applyBorder="1" applyAlignment="1">
      <alignment horizontal="center" vertical="center" wrapText="1"/>
    </xf>
    <xf numFmtId="0" fontId="6" fillId="0" borderId="58" xfId="66" applyFont="1" applyFill="1" applyBorder="1" applyAlignment="1">
      <alignment horizontal="center" vertical="center" wrapText="1"/>
    </xf>
    <xf numFmtId="0" fontId="6" fillId="0" borderId="106" xfId="66" applyFont="1" applyFill="1" applyBorder="1" applyAlignment="1">
      <alignment horizontal="center" vertical="center" wrapText="1"/>
    </xf>
    <xf numFmtId="0" fontId="6" fillId="0" borderId="26" xfId="66" applyFont="1" applyFill="1" applyBorder="1" applyAlignment="1">
      <alignment horizontal="center" vertical="center" wrapText="1"/>
    </xf>
    <xf numFmtId="0" fontId="6" fillId="0" borderId="117" xfId="66" applyFont="1" applyFill="1" applyBorder="1" applyAlignment="1">
      <alignment horizontal="center" vertical="center" wrapText="1"/>
    </xf>
    <xf numFmtId="0" fontId="6" fillId="0" borderId="118" xfId="66" applyFont="1" applyFill="1" applyBorder="1" applyAlignment="1">
      <alignment horizontal="center" vertical="center" wrapText="1"/>
    </xf>
    <xf numFmtId="0" fontId="6" fillId="0" borderId="119" xfId="66" applyFont="1" applyFill="1" applyBorder="1" applyAlignment="1">
      <alignment horizontal="center" vertical="center" wrapText="1"/>
    </xf>
    <xf numFmtId="0" fontId="52" fillId="0" borderId="1" xfId="1" quotePrefix="1" applyFont="1" applyBorder="1" applyAlignment="1">
      <alignment horizontal="center" vertical="center"/>
    </xf>
    <xf numFmtId="0" fontId="52" fillId="0" borderId="8" xfId="1" applyFont="1" applyBorder="1" applyAlignment="1">
      <alignment horizontal="center" vertical="center"/>
    </xf>
    <xf numFmtId="0" fontId="2" fillId="0" borderId="3" xfId="1" applyBorder="1" applyAlignment="1">
      <alignment horizontal="center" vertical="center"/>
    </xf>
    <xf numFmtId="0" fontId="2" fillId="0" borderId="10" xfId="1" applyBorder="1" applyAlignment="1">
      <alignment horizontal="center" vertical="center"/>
    </xf>
    <xf numFmtId="0" fontId="5" fillId="2" borderId="106" xfId="1" applyFont="1" applyFill="1" applyBorder="1" applyAlignment="1">
      <alignment horizontal="center"/>
    </xf>
    <xf numFmtId="0" fontId="2" fillId="4" borderId="43" xfId="1" applyFill="1" applyBorder="1" applyAlignment="1">
      <alignment horizontal="left"/>
    </xf>
    <xf numFmtId="0" fontId="2" fillId="4" borderId="44" xfId="1" applyFill="1" applyBorder="1" applyAlignment="1">
      <alignment horizontal="left"/>
    </xf>
    <xf numFmtId="0" fontId="6" fillId="2" borderId="51" xfId="1" applyFont="1" applyFill="1" applyBorder="1" applyAlignment="1">
      <alignment horizontal="center" vertical="center"/>
    </xf>
    <xf numFmtId="0" fontId="6" fillId="2" borderId="52" xfId="1" applyFont="1" applyFill="1" applyBorder="1" applyAlignment="1">
      <alignment horizontal="center" vertical="center"/>
    </xf>
    <xf numFmtId="0" fontId="6" fillId="2" borderId="53" xfId="1" applyFont="1" applyFill="1" applyBorder="1" applyAlignment="1">
      <alignment horizontal="center" vertical="center"/>
    </xf>
    <xf numFmtId="0" fontId="2" fillId="0" borderId="0" xfId="1" applyFont="1" applyFill="1" applyAlignment="1">
      <alignment horizontal="left" vertical="top" wrapText="1"/>
    </xf>
    <xf numFmtId="0" fontId="28" fillId="0" borderId="54" xfId="1" applyFont="1" applyBorder="1" applyAlignment="1">
      <alignment horizontal="center" vertical="center"/>
    </xf>
    <xf numFmtId="0" fontId="28" fillId="0" borderId="2" xfId="1" applyFont="1" applyBorder="1" applyAlignment="1">
      <alignment horizontal="center" vertical="center"/>
    </xf>
    <xf numFmtId="0" fontId="28" fillId="0" borderId="55" xfId="1" applyFont="1" applyBorder="1" applyAlignment="1">
      <alignment horizontal="center" vertical="center"/>
    </xf>
    <xf numFmtId="0" fontId="6" fillId="2" borderId="60" xfId="1" applyFont="1" applyFill="1" applyBorder="1" applyAlignment="1">
      <alignment horizontal="center" vertical="center"/>
    </xf>
    <xf numFmtId="0" fontId="6" fillId="2" borderId="61" xfId="1" applyFont="1" applyFill="1" applyBorder="1" applyAlignment="1">
      <alignment horizontal="center" vertical="center"/>
    </xf>
    <xf numFmtId="0" fontId="6" fillId="2" borderId="62" xfId="1" applyFont="1" applyFill="1" applyBorder="1" applyAlignment="1">
      <alignment horizontal="center" vertical="center"/>
    </xf>
    <xf numFmtId="0" fontId="6" fillId="0" borderId="67" xfId="1" applyFont="1" applyBorder="1" applyAlignment="1">
      <alignment horizontal="center" vertical="center" wrapText="1"/>
    </xf>
    <xf numFmtId="0" fontId="0" fillId="0" borderId="0" xfId="0" applyBorder="1" applyAlignment="1">
      <alignment horizontal="center" vertical="center" wrapText="1"/>
    </xf>
    <xf numFmtId="0" fontId="6" fillId="0" borderId="18" xfId="1" applyFont="1" applyBorder="1" applyAlignment="1">
      <alignment horizontal="center" vertical="center" textRotation="90"/>
    </xf>
    <xf numFmtId="0" fontId="6" fillId="0" borderId="19" xfId="1" applyFont="1" applyBorder="1" applyAlignment="1">
      <alignment horizontal="center" vertical="center" textRotation="90"/>
    </xf>
    <xf numFmtId="0" fontId="41" fillId="0" borderId="19" xfId="1" applyFont="1" applyBorder="1" applyAlignment="1">
      <alignment horizontal="center" vertical="center" wrapText="1"/>
    </xf>
    <xf numFmtId="0" fontId="41" fillId="0" borderId="33" xfId="1" applyFont="1" applyBorder="1" applyAlignment="1">
      <alignment horizontal="center" vertical="center" wrapText="1"/>
    </xf>
    <xf numFmtId="0" fontId="6" fillId="0" borderId="68" xfId="1" applyFont="1" applyFill="1" applyBorder="1" applyAlignment="1">
      <alignment horizontal="center" vertical="center" textRotation="255"/>
    </xf>
    <xf numFmtId="0" fontId="6" fillId="0" borderId="5" xfId="1" applyFont="1" applyFill="1" applyBorder="1" applyAlignment="1">
      <alignment horizontal="center" vertical="center" textRotation="255"/>
    </xf>
    <xf numFmtId="0" fontId="6" fillId="0" borderId="65" xfId="1" applyFont="1" applyFill="1" applyBorder="1" applyAlignment="1">
      <alignment horizontal="center" vertical="center" textRotation="255"/>
    </xf>
    <xf numFmtId="0" fontId="41" fillId="0" borderId="33" xfId="1" applyFont="1" applyFill="1" applyBorder="1" applyAlignment="1">
      <alignment horizontal="center" vertical="center" wrapText="1"/>
    </xf>
    <xf numFmtId="0" fontId="41" fillId="0" borderId="18" xfId="1" applyFont="1" applyFill="1" applyBorder="1" applyAlignment="1">
      <alignment horizontal="center" vertical="center" wrapText="1"/>
    </xf>
    <xf numFmtId="0" fontId="41" fillId="0" borderId="0" xfId="1" applyFont="1" applyFill="1" applyBorder="1" applyAlignment="1">
      <alignment horizontal="center" vertical="center" wrapText="1"/>
    </xf>
    <xf numFmtId="0" fontId="41" fillId="0" borderId="19" xfId="1" applyFont="1" applyFill="1" applyBorder="1" applyAlignment="1">
      <alignment horizontal="center" vertical="center" wrapText="1"/>
    </xf>
    <xf numFmtId="0" fontId="27" fillId="23" borderId="28" xfId="1" applyFont="1" applyFill="1" applyBorder="1" applyAlignment="1">
      <alignment horizontal="center" vertical="center" wrapText="1"/>
    </xf>
    <xf numFmtId="0" fontId="2" fillId="0" borderId="56" xfId="1" applyBorder="1" applyAlignment="1">
      <alignment horizontal="left" vertical="center" wrapText="1"/>
    </xf>
    <xf numFmtId="0" fontId="2" fillId="0" borderId="0" xfId="1" applyBorder="1" applyAlignment="1">
      <alignment horizontal="left" vertical="center" wrapText="1"/>
    </xf>
    <xf numFmtId="0" fontId="2" fillId="0" borderId="58" xfId="1" applyBorder="1" applyAlignment="1">
      <alignment horizontal="left" vertical="center" wrapText="1"/>
    </xf>
    <xf numFmtId="0" fontId="2" fillId="0" borderId="106" xfId="1" applyBorder="1" applyAlignment="1">
      <alignment horizontal="left" vertical="center" wrapText="1"/>
    </xf>
    <xf numFmtId="164" fontId="2" fillId="3" borderId="70" xfId="1" applyNumberFormat="1" applyFill="1" applyBorder="1" applyAlignment="1">
      <alignment horizontal="center" vertical="center"/>
    </xf>
    <xf numFmtId="164" fontId="2" fillId="3" borderId="71" xfId="1" applyNumberFormat="1" applyFill="1" applyBorder="1" applyAlignment="1">
      <alignment horizontal="center" vertical="center"/>
    </xf>
    <xf numFmtId="164" fontId="2" fillId="3" borderId="109" xfId="1" applyNumberFormat="1" applyFill="1" applyBorder="1" applyAlignment="1">
      <alignment horizontal="center" vertical="center"/>
    </xf>
    <xf numFmtId="0" fontId="28" fillId="0" borderId="56" xfId="1" applyFont="1" applyBorder="1" applyAlignment="1">
      <alignment horizontal="center" vertical="center"/>
    </xf>
    <xf numFmtId="0" fontId="28" fillId="0" borderId="0" xfId="1" applyFont="1" applyBorder="1" applyAlignment="1">
      <alignment horizontal="center" vertical="center"/>
    </xf>
    <xf numFmtId="0" fontId="28" fillId="0" borderId="57" xfId="1" applyFont="1" applyBorder="1" applyAlignment="1">
      <alignment horizontal="center" vertical="center"/>
    </xf>
    <xf numFmtId="164" fontId="6" fillId="0" borderId="82" xfId="1" applyNumberFormat="1" applyFont="1" applyFill="1" applyBorder="1" applyAlignment="1">
      <alignment horizontal="center" vertical="center" wrapText="1"/>
    </xf>
    <xf numFmtId="164" fontId="6" fillId="0" borderId="62" xfId="1" applyNumberFormat="1" applyFont="1" applyFill="1" applyBorder="1" applyAlignment="1">
      <alignment horizontal="center" vertical="center" wrapText="1"/>
    </xf>
    <xf numFmtId="1" fontId="2" fillId="24" borderId="1" xfId="1" applyNumberFormat="1" applyFont="1" applyFill="1" applyBorder="1" applyAlignment="1">
      <alignment horizontal="center" vertical="center" wrapText="1"/>
    </xf>
    <xf numFmtId="1" fontId="2" fillId="24" borderId="2" xfId="1" applyNumberFormat="1" applyFont="1" applyFill="1" applyBorder="1" applyAlignment="1">
      <alignment horizontal="center" vertical="center" wrapText="1"/>
    </xf>
    <xf numFmtId="1" fontId="2" fillId="24" borderId="3" xfId="1" applyNumberFormat="1" applyFont="1" applyFill="1" applyBorder="1" applyAlignment="1">
      <alignment horizontal="center" vertical="center" wrapText="1"/>
    </xf>
    <xf numFmtId="1" fontId="2" fillId="24" borderId="5" xfId="1" applyNumberFormat="1" applyFont="1" applyFill="1" applyBorder="1" applyAlignment="1">
      <alignment horizontal="center" vertical="center" wrapText="1"/>
    </xf>
    <xf numFmtId="1" fontId="2" fillId="24" borderId="0" xfId="1" applyNumberFormat="1" applyFont="1" applyFill="1" applyBorder="1" applyAlignment="1">
      <alignment horizontal="center" vertical="center" wrapText="1"/>
    </xf>
    <xf numFmtId="1" fontId="2" fillId="24" borderId="6" xfId="1" applyNumberFormat="1" applyFont="1" applyFill="1" applyBorder="1" applyAlignment="1">
      <alignment horizontal="center" vertical="center" wrapText="1"/>
    </xf>
    <xf numFmtId="1" fontId="2" fillId="24" borderId="9" xfId="1" applyNumberFormat="1" applyFont="1" applyFill="1" applyBorder="1" applyAlignment="1">
      <alignment horizontal="center" vertical="center" wrapText="1"/>
    </xf>
    <xf numFmtId="1" fontId="2" fillId="24" borderId="65" xfId="1" applyNumberFormat="1" applyFont="1" applyFill="1" applyBorder="1" applyAlignment="1">
      <alignment horizontal="center" vertical="center" wrapText="1"/>
    </xf>
    <xf numFmtId="1" fontId="2" fillId="24" borderId="4" xfId="1" applyNumberFormat="1" applyFont="1" applyFill="1" applyBorder="1" applyAlignment="1">
      <alignment horizontal="center" vertical="center" wrapText="1"/>
    </xf>
    <xf numFmtId="1" fontId="2" fillId="24" borderId="64" xfId="1" applyNumberFormat="1" applyFont="1" applyFill="1" applyBorder="1" applyAlignment="1">
      <alignment horizontal="center" vertical="center" wrapText="1"/>
    </xf>
    <xf numFmtId="0" fontId="2" fillId="24" borderId="2" xfId="1" applyNumberFormat="1" applyFont="1" applyFill="1" applyBorder="1" applyAlignment="1">
      <alignment horizontal="center" vertical="center" wrapText="1"/>
    </xf>
    <xf numFmtId="0" fontId="2" fillId="24" borderId="3" xfId="1" applyNumberFormat="1" applyFont="1" applyFill="1" applyBorder="1" applyAlignment="1">
      <alignment horizontal="center" vertical="center" wrapText="1"/>
    </xf>
    <xf numFmtId="0" fontId="2" fillId="24" borderId="5" xfId="1" applyNumberFormat="1" applyFont="1" applyFill="1" applyBorder="1" applyAlignment="1">
      <alignment horizontal="center" vertical="center" wrapText="1"/>
    </xf>
    <xf numFmtId="0" fontId="2" fillId="24" borderId="0" xfId="1" applyNumberFormat="1" applyFont="1" applyFill="1" applyBorder="1" applyAlignment="1">
      <alignment horizontal="center" vertical="center" wrapText="1"/>
    </xf>
    <xf numFmtId="0" fontId="2" fillId="24" borderId="6" xfId="1" applyNumberFormat="1" applyFont="1" applyFill="1" applyBorder="1" applyAlignment="1">
      <alignment horizontal="center" vertical="center" wrapText="1"/>
    </xf>
    <xf numFmtId="0" fontId="27" fillId="24" borderId="67" xfId="1" applyNumberFormat="1" applyFont="1" applyFill="1" applyBorder="1" applyAlignment="1">
      <alignment horizontal="center" vertical="center" wrapText="1"/>
    </xf>
    <xf numFmtId="0" fontId="27" fillId="24" borderId="69" xfId="1" applyNumberFormat="1" applyFont="1" applyFill="1" applyBorder="1" applyAlignment="1">
      <alignment horizontal="center" vertical="center" wrapText="1"/>
    </xf>
    <xf numFmtId="0" fontId="27" fillId="24" borderId="5" xfId="1" applyNumberFormat="1" applyFont="1" applyFill="1" applyBorder="1" applyAlignment="1">
      <alignment horizontal="center" vertical="center" wrapText="1"/>
    </xf>
    <xf numFmtId="0" fontId="27" fillId="24" borderId="0" xfId="1" applyNumberFormat="1" applyFont="1" applyFill="1" applyBorder="1" applyAlignment="1">
      <alignment horizontal="center" vertical="center" wrapText="1"/>
    </xf>
    <xf numFmtId="0" fontId="27" fillId="24" borderId="6" xfId="1" applyNumberFormat="1" applyFont="1" applyFill="1" applyBorder="1" applyAlignment="1">
      <alignment horizontal="center" vertical="center" wrapText="1"/>
    </xf>
    <xf numFmtId="0" fontId="27" fillId="24" borderId="65" xfId="1" applyNumberFormat="1" applyFont="1" applyFill="1" applyBorder="1" applyAlignment="1">
      <alignment horizontal="center" vertical="center" wrapText="1"/>
    </xf>
    <xf numFmtId="0" fontId="27" fillId="24" borderId="4" xfId="1" applyNumberFormat="1" applyFont="1" applyFill="1" applyBorder="1" applyAlignment="1">
      <alignment horizontal="center" vertical="center" wrapText="1"/>
    </xf>
    <xf numFmtId="0" fontId="27" fillId="24" borderId="64" xfId="1" applyNumberFormat="1" applyFont="1" applyFill="1" applyBorder="1" applyAlignment="1">
      <alignment horizontal="center" vertical="center" wrapText="1"/>
    </xf>
    <xf numFmtId="0" fontId="2" fillId="24" borderId="8" xfId="1" applyNumberFormat="1" applyFont="1" applyFill="1" applyBorder="1" applyAlignment="1">
      <alignment horizontal="center" vertical="center" wrapText="1"/>
    </xf>
    <xf numFmtId="0" fontId="2" fillId="24" borderId="9" xfId="1" applyNumberFormat="1" applyFont="1" applyFill="1" applyBorder="1" applyAlignment="1">
      <alignment horizontal="center" vertical="center" wrapText="1"/>
    </xf>
    <xf numFmtId="0" fontId="2" fillId="24" borderId="10" xfId="1" applyNumberFormat="1" applyFont="1" applyFill="1" applyBorder="1" applyAlignment="1">
      <alignment horizontal="center" vertical="center" wrapText="1"/>
    </xf>
    <xf numFmtId="0" fontId="6" fillId="0" borderId="0" xfId="1" applyFont="1" applyBorder="1" applyAlignment="1">
      <alignment horizontal="center" vertical="center" wrapText="1"/>
    </xf>
    <xf numFmtId="0" fontId="0" fillId="0" borderId="4" xfId="0" applyBorder="1" applyAlignment="1">
      <alignment horizontal="center" vertical="center" wrapText="1"/>
    </xf>
    <xf numFmtId="165" fontId="2" fillId="0" borderId="46" xfId="58" applyNumberFormat="1" applyFill="1" applyBorder="1" applyAlignment="1">
      <alignment horizontal="left"/>
    </xf>
    <xf numFmtId="0" fontId="2" fillId="0" borderId="29" xfId="58" applyBorder="1" applyAlignment="1">
      <alignment horizontal="left"/>
    </xf>
    <xf numFmtId="0" fontId="2" fillId="0" borderId="47" xfId="58" applyBorder="1" applyAlignment="1">
      <alignment horizontal="left"/>
    </xf>
    <xf numFmtId="0" fontId="47" fillId="0" borderId="82" xfId="58" applyFont="1" applyBorder="1" applyAlignment="1">
      <alignment horizontal="center"/>
    </xf>
    <xf numFmtId="0" fontId="2" fillId="0" borderId="61" xfId="58" applyBorder="1" applyAlignment="1"/>
    <xf numFmtId="0" fontId="2" fillId="0" borderId="92" xfId="58" applyBorder="1" applyAlignment="1"/>
    <xf numFmtId="0" fontId="47" fillId="0" borderId="61" xfId="58" applyFont="1" applyBorder="1" applyAlignment="1">
      <alignment horizontal="center"/>
    </xf>
    <xf numFmtId="0" fontId="6" fillId="0" borderId="46" xfId="58" applyFont="1" applyBorder="1" applyAlignment="1">
      <alignment horizontal="center" vertical="top"/>
    </xf>
    <xf numFmtId="0" fontId="2" fillId="0" borderId="29" xfId="58" applyBorder="1" applyAlignment="1">
      <alignment vertical="top"/>
    </xf>
    <xf numFmtId="0" fontId="2" fillId="0" borderId="47" xfId="58" applyBorder="1" applyAlignment="1">
      <alignment vertical="top"/>
    </xf>
    <xf numFmtId="0" fontId="2" fillId="0" borderId="46" xfId="58" applyBorder="1" applyAlignment="1">
      <alignment horizontal="left" vertical="top" wrapText="1"/>
    </xf>
    <xf numFmtId="0" fontId="2" fillId="0" borderId="29" xfId="58" applyBorder="1" applyAlignment="1">
      <alignment vertical="top" wrapText="1"/>
    </xf>
    <xf numFmtId="0" fontId="2" fillId="0" borderId="47" xfId="58" applyBorder="1" applyAlignment="1">
      <alignment vertical="top" wrapText="1"/>
    </xf>
    <xf numFmtId="0" fontId="2" fillId="0" borderId="29" xfId="58" applyBorder="1" applyAlignment="1">
      <alignment horizontal="left" vertical="top" wrapText="1"/>
    </xf>
    <xf numFmtId="0" fontId="2" fillId="0" borderId="47" xfId="58" applyBorder="1" applyAlignment="1">
      <alignment horizontal="left" vertical="top" wrapText="1"/>
    </xf>
    <xf numFmtId="0" fontId="2" fillId="0" borderId="46" xfId="58" applyBorder="1" applyAlignment="1">
      <alignment horizontal="left"/>
    </xf>
    <xf numFmtId="0" fontId="36" fillId="0" borderId="100" xfId="58" applyFont="1" applyBorder="1" applyAlignment="1">
      <alignment horizontal="left" vertical="top" wrapText="1"/>
    </xf>
    <xf numFmtId="0" fontId="6" fillId="0" borderId="100" xfId="58" applyFont="1" applyBorder="1" applyAlignment="1">
      <alignment horizontal="left" vertical="top" wrapText="1"/>
    </xf>
    <xf numFmtId="0" fontId="6" fillId="0" borderId="100" xfId="58" applyFont="1" applyBorder="1" applyAlignment="1"/>
    <xf numFmtId="0" fontId="6" fillId="0" borderId="94" xfId="58" applyFont="1" applyBorder="1" applyAlignment="1"/>
    <xf numFmtId="0" fontId="2" fillId="21" borderId="7" xfId="58" applyFill="1" applyBorder="1" applyAlignment="1">
      <alignment horizontal="left"/>
    </xf>
    <xf numFmtId="0" fontId="2" fillId="21" borderId="20" xfId="58" applyFill="1" applyBorder="1" applyAlignment="1">
      <alignment horizontal="left"/>
    </xf>
    <xf numFmtId="171" fontId="2" fillId="21" borderId="24" xfId="58" applyNumberFormat="1" applyFill="1" applyBorder="1" applyAlignment="1">
      <alignment horizontal="left"/>
    </xf>
    <xf numFmtId="0" fontId="2" fillId="21" borderId="24" xfId="58" applyFill="1" applyBorder="1" applyAlignment="1">
      <alignment horizontal="left"/>
    </xf>
    <xf numFmtId="0" fontId="2" fillId="21" borderId="27" xfId="58" applyFill="1" applyBorder="1" applyAlignment="1">
      <alignment horizontal="left"/>
    </xf>
    <xf numFmtId="0" fontId="36" fillId="0" borderId="29" xfId="58" applyFont="1" applyBorder="1" applyAlignment="1">
      <alignment horizontal="left" vertical="top" wrapText="1"/>
    </xf>
    <xf numFmtId="0" fontId="6" fillId="0" borderId="29" xfId="58" applyFont="1" applyBorder="1" applyAlignment="1">
      <alignment vertical="top"/>
    </xf>
    <xf numFmtId="0" fontId="6" fillId="0" borderId="89" xfId="58" applyFont="1" applyBorder="1" applyAlignment="1">
      <alignment vertical="top"/>
    </xf>
    <xf numFmtId="0" fontId="2" fillId="0" borderId="122" xfId="58" applyFont="1" applyBorder="1" applyAlignment="1">
      <alignment horizontal="left" vertical="center" wrapText="1"/>
    </xf>
    <xf numFmtId="0" fontId="2" fillId="0" borderId="0" xfId="58" applyFont="1" applyBorder="1" applyAlignment="1">
      <alignment horizontal="left" vertical="center" wrapText="1"/>
    </xf>
    <xf numFmtId="0" fontId="2" fillId="0" borderId="4" xfId="58" applyFont="1" applyBorder="1" applyAlignment="1">
      <alignment horizontal="left" vertical="center" wrapText="1"/>
    </xf>
    <xf numFmtId="0" fontId="36" fillId="0" borderId="122" xfId="58" applyFont="1" applyBorder="1" applyAlignment="1">
      <alignment horizontal="left" vertical="top" wrapText="1"/>
    </xf>
    <xf numFmtId="0" fontId="6" fillId="0" borderId="122" xfId="58" applyFont="1" applyBorder="1" applyAlignment="1">
      <alignment horizontal="left" vertical="top" wrapText="1"/>
    </xf>
    <xf numFmtId="0" fontId="6" fillId="0" borderId="122" xfId="58" applyFont="1" applyBorder="1" applyAlignment="1"/>
    <xf numFmtId="0" fontId="6" fillId="0" borderId="69" xfId="58" applyFont="1" applyBorder="1" applyAlignment="1"/>
    <xf numFmtId="0" fontId="36" fillId="0" borderId="0" xfId="58" applyFont="1" applyBorder="1" applyAlignment="1">
      <alignment horizontal="left" vertical="top" wrapText="1"/>
    </xf>
    <xf numFmtId="0" fontId="6" fillId="0" borderId="0" xfId="58" applyFont="1" applyBorder="1" applyAlignment="1">
      <alignment horizontal="left" vertical="top" wrapText="1"/>
    </xf>
    <xf numFmtId="0" fontId="6" fillId="0" borderId="0" xfId="58" applyFont="1" applyBorder="1" applyAlignment="1"/>
    <xf numFmtId="0" fontId="6" fillId="0" borderId="6" xfId="58" applyFont="1" applyBorder="1" applyAlignment="1"/>
    <xf numFmtId="0" fontId="36" fillId="0" borderId="4" xfId="58" applyFont="1" applyBorder="1" applyAlignment="1">
      <alignment horizontal="left" vertical="top" wrapText="1"/>
    </xf>
    <xf numFmtId="0" fontId="6" fillId="0" borderId="4" xfId="58" applyFont="1" applyBorder="1" applyAlignment="1">
      <alignment horizontal="left" vertical="top" wrapText="1"/>
    </xf>
    <xf numFmtId="0" fontId="6" fillId="0" borderId="4" xfId="58" applyFont="1" applyBorder="1" applyAlignment="1"/>
    <xf numFmtId="0" fontId="6" fillId="0" borderId="64" xfId="58" applyFont="1" applyBorder="1" applyAlignment="1"/>
    <xf numFmtId="0" fontId="10" fillId="0" borderId="29" xfId="58" applyFont="1" applyBorder="1" applyAlignment="1">
      <alignment horizontal="left" vertical="center" wrapText="1"/>
    </xf>
    <xf numFmtId="0" fontId="10" fillId="0" borderId="89" xfId="58" applyFont="1" applyBorder="1" applyAlignment="1">
      <alignment horizontal="left" vertical="center" wrapText="1"/>
    </xf>
    <xf numFmtId="0" fontId="2" fillId="0" borderId="68" xfId="58" applyBorder="1" applyAlignment="1">
      <alignment horizontal="right" vertical="center"/>
    </xf>
    <xf numFmtId="0" fontId="2" fillId="0" borderId="5" xfId="58" applyBorder="1" applyAlignment="1">
      <alignment horizontal="right" vertical="center"/>
    </xf>
    <xf numFmtId="0" fontId="2" fillId="0" borderId="65" xfId="58" applyBorder="1" applyAlignment="1">
      <alignment horizontal="right" vertical="center"/>
    </xf>
    <xf numFmtId="2" fontId="2" fillId="21" borderId="122" xfId="58" applyNumberFormat="1" applyFill="1" applyBorder="1" applyAlignment="1">
      <alignment horizontal="center" vertical="center"/>
    </xf>
    <xf numFmtId="2" fontId="2" fillId="21" borderId="0" xfId="58" applyNumberFormat="1" applyFill="1" applyBorder="1" applyAlignment="1">
      <alignment horizontal="center" vertical="center"/>
    </xf>
    <xf numFmtId="2" fontId="2" fillId="21" borderId="4" xfId="58" applyNumberFormat="1" applyFill="1" applyBorder="1" applyAlignment="1">
      <alignment horizontal="center" vertical="center"/>
    </xf>
    <xf numFmtId="0" fontId="2" fillId="0" borderId="122" xfId="58" applyFont="1" applyBorder="1" applyAlignment="1">
      <alignment horizontal="left" vertical="center"/>
    </xf>
    <xf numFmtId="0" fontId="2" fillId="0" borderId="0" xfId="58" applyFont="1" applyBorder="1" applyAlignment="1">
      <alignment horizontal="left" vertical="center"/>
    </xf>
    <xf numFmtId="0" fontId="2" fillId="0" borderId="4" xfId="58" applyFont="1" applyBorder="1" applyAlignment="1">
      <alignment horizontal="left" vertical="center"/>
    </xf>
    <xf numFmtId="0" fontId="2" fillId="0" borderId="122" xfId="58" applyBorder="1" applyAlignment="1">
      <alignment horizontal="center" vertical="center"/>
    </xf>
    <xf numFmtId="0" fontId="2" fillId="0" borderId="0" xfId="58" applyBorder="1" applyAlignment="1">
      <alignment horizontal="center" vertical="center"/>
    </xf>
    <xf numFmtId="0" fontId="2" fillId="0" borderId="4" xfId="58" applyBorder="1" applyAlignment="1">
      <alignment horizontal="center" vertical="center"/>
    </xf>
    <xf numFmtId="2" fontId="2" fillId="30" borderId="122" xfId="58" applyNumberFormat="1" applyFill="1" applyBorder="1" applyAlignment="1">
      <alignment horizontal="center" vertical="center" wrapText="1"/>
    </xf>
    <xf numFmtId="2" fontId="2" fillId="30" borderId="0" xfId="58" applyNumberFormat="1" applyFill="1" applyBorder="1" applyAlignment="1">
      <alignment horizontal="center" vertical="center" wrapText="1"/>
    </xf>
    <xf numFmtId="2" fontId="2" fillId="30" borderId="4" xfId="58" applyNumberFormat="1" applyFill="1" applyBorder="1" applyAlignment="1">
      <alignment horizontal="center" vertical="center" wrapText="1"/>
    </xf>
    <xf numFmtId="0" fontId="5" fillId="2" borderId="120" xfId="1" applyFont="1" applyFill="1" applyBorder="1" applyAlignment="1">
      <alignment horizontal="center"/>
    </xf>
    <xf numFmtId="0" fontId="2" fillId="21" borderId="11" xfId="58" applyFill="1" applyBorder="1" applyAlignment="1">
      <alignment horizontal="left"/>
    </xf>
    <xf numFmtId="0" fontId="6" fillId="0" borderId="82" xfId="1" applyFont="1" applyBorder="1" applyAlignment="1">
      <alignment horizontal="center"/>
    </xf>
    <xf numFmtId="0" fontId="6" fillId="0" borderId="61" xfId="1" applyFont="1" applyBorder="1" applyAlignment="1">
      <alignment horizontal="center"/>
    </xf>
    <xf numFmtId="0" fontId="6" fillId="0" borderId="92" xfId="1" applyFont="1" applyBorder="1" applyAlignment="1">
      <alignment horizontal="center"/>
    </xf>
    <xf numFmtId="0" fontId="2" fillId="0" borderId="120" xfId="1" applyFont="1" applyFill="1" applyBorder="1" applyAlignment="1">
      <alignment horizontal="center" vertical="center" wrapText="1"/>
    </xf>
    <xf numFmtId="164" fontId="6" fillId="0" borderId="31" xfId="1" applyNumberFormat="1" applyFont="1" applyFill="1" applyBorder="1" applyAlignment="1">
      <alignment horizontal="center" vertical="center" wrapText="1"/>
    </xf>
    <xf numFmtId="164" fontId="6" fillId="0" borderId="116" xfId="1" applyNumberFormat="1" applyFont="1" applyFill="1" applyBorder="1" applyAlignment="1">
      <alignment horizontal="center" vertical="center" wrapText="1"/>
    </xf>
    <xf numFmtId="164" fontId="6" fillId="0" borderId="121" xfId="1" applyNumberFormat="1" applyFont="1" applyFill="1" applyBorder="1" applyAlignment="1">
      <alignment horizontal="center" vertical="center" wrapText="1"/>
    </xf>
    <xf numFmtId="0" fontId="36" fillId="0" borderId="0" xfId="1" applyFont="1" applyFill="1" applyBorder="1" applyAlignment="1">
      <alignment horizontal="center" vertical="center" wrapText="1"/>
    </xf>
    <xf numFmtId="0" fontId="36" fillId="0" borderId="29" xfId="1" applyFont="1" applyFill="1" applyBorder="1" applyAlignment="1">
      <alignment horizontal="left" vertical="center" wrapText="1"/>
    </xf>
    <xf numFmtId="0" fontId="2" fillId="0" borderId="100" xfId="1" applyFont="1" applyFill="1" applyBorder="1" applyAlignment="1">
      <alignment horizontal="left" vertical="center" wrapText="1"/>
    </xf>
    <xf numFmtId="0" fontId="2" fillId="0" borderId="94" xfId="1" applyFont="1" applyFill="1" applyBorder="1" applyAlignment="1">
      <alignment horizontal="left" vertical="center" wrapText="1"/>
    </xf>
    <xf numFmtId="0" fontId="2" fillId="0" borderId="0" xfId="1" applyFont="1" applyFill="1" applyBorder="1" applyAlignment="1">
      <alignment horizontal="center" vertical="center"/>
    </xf>
    <xf numFmtId="0" fontId="2" fillId="0" borderId="0" xfId="1" applyFill="1" applyBorder="1" applyAlignment="1">
      <alignment horizontal="center" vertical="center"/>
    </xf>
    <xf numFmtId="172" fontId="2" fillId="4" borderId="25" xfId="1" applyNumberFormat="1" applyFill="1" applyBorder="1" applyAlignment="1">
      <alignment horizontal="left" vertical="center"/>
    </xf>
    <xf numFmtId="172" fontId="2" fillId="4" borderId="123" xfId="1" applyNumberFormat="1" applyFill="1" applyBorder="1" applyAlignment="1">
      <alignment horizontal="left" vertical="center"/>
    </xf>
    <xf numFmtId="0" fontId="5" fillId="2" borderId="8" xfId="1" applyFont="1" applyFill="1" applyBorder="1" applyAlignment="1">
      <alignment horizontal="center" vertical="center"/>
    </xf>
    <xf numFmtId="0" fontId="5" fillId="2" borderId="120" xfId="1" applyFont="1" applyFill="1" applyBorder="1" applyAlignment="1">
      <alignment horizontal="center" vertical="center"/>
    </xf>
    <xf numFmtId="0" fontId="2" fillId="4" borderId="12" xfId="1" applyFill="1" applyBorder="1" applyAlignment="1">
      <alignment horizontal="left" vertical="center"/>
    </xf>
    <xf numFmtId="0" fontId="2" fillId="4" borderId="13" xfId="1" applyFill="1" applyBorder="1" applyAlignment="1">
      <alignment horizontal="left" vertical="center"/>
    </xf>
    <xf numFmtId="0" fontId="2" fillId="4" borderId="7" xfId="1" applyFill="1" applyBorder="1" applyAlignment="1">
      <alignment horizontal="left" vertical="center"/>
    </xf>
    <xf numFmtId="0" fontId="36" fillId="0" borderId="29" xfId="1" applyFont="1" applyBorder="1" applyAlignment="1">
      <alignment horizontal="left" vertical="center" wrapText="1"/>
    </xf>
    <xf numFmtId="0" fontId="36" fillId="0" borderId="89" xfId="1" applyFont="1" applyBorder="1" applyAlignment="1">
      <alignment horizontal="left" vertical="center" wrapText="1"/>
    </xf>
    <xf numFmtId="167" fontId="2" fillId="4" borderId="25" xfId="1" applyNumberFormat="1" applyFill="1" applyBorder="1" applyAlignment="1">
      <alignment horizontal="left" vertical="center"/>
    </xf>
    <xf numFmtId="167" fontId="2" fillId="4" borderId="26" xfId="1" applyNumberFormat="1" applyFill="1" applyBorder="1" applyAlignment="1">
      <alignment horizontal="left" vertical="center"/>
    </xf>
    <xf numFmtId="0" fontId="2" fillId="0" borderId="61" xfId="1" applyBorder="1" applyAlignment="1">
      <alignment horizontal="left"/>
    </xf>
    <xf numFmtId="0" fontId="36" fillId="0" borderId="2" xfId="1" applyFont="1" applyBorder="1" applyAlignment="1">
      <alignment horizontal="left" vertical="center"/>
    </xf>
    <xf numFmtId="0" fontId="36" fillId="0" borderId="3" xfId="1" applyFont="1" applyBorder="1" applyAlignment="1">
      <alignment horizontal="left" vertical="center"/>
    </xf>
    <xf numFmtId="0" fontId="2" fillId="21" borderId="29" xfId="1" applyFill="1" applyBorder="1" applyAlignment="1">
      <alignment horizontal="left" vertical="center"/>
    </xf>
    <xf numFmtId="0" fontId="2" fillId="21" borderId="89" xfId="1" applyFill="1" applyBorder="1" applyAlignment="1">
      <alignment horizontal="left" vertical="center"/>
    </xf>
    <xf numFmtId="0" fontId="10" fillId="0" borderId="29" xfId="1" applyFont="1" applyFill="1" applyBorder="1" applyAlignment="1">
      <alignment horizontal="left" vertical="center"/>
    </xf>
    <xf numFmtId="0" fontId="10" fillId="0" borderId="89" xfId="1" applyFont="1" applyFill="1" applyBorder="1" applyAlignment="1">
      <alignment horizontal="left" vertical="center"/>
    </xf>
    <xf numFmtId="0" fontId="2" fillId="0" borderId="48" xfId="1" applyFont="1" applyBorder="1" applyAlignment="1">
      <alignment vertical="center" wrapText="1"/>
    </xf>
    <xf numFmtId="0" fontId="2" fillId="0" borderId="100" xfId="1" applyBorder="1" applyAlignment="1">
      <alignment vertical="center" wrapText="1"/>
    </xf>
    <xf numFmtId="0" fontId="2" fillId="0" borderId="94" xfId="1" applyBorder="1" applyAlignment="1">
      <alignment vertical="center" wrapText="1"/>
    </xf>
    <xf numFmtId="0" fontId="6" fillId="0" borderId="82" xfId="1" applyFont="1" applyBorder="1" applyAlignment="1">
      <alignment horizontal="center" vertical="center"/>
    </xf>
    <xf numFmtId="0" fontId="6" fillId="0" borderId="61" xfId="1" applyFont="1" applyBorder="1" applyAlignment="1">
      <alignment horizontal="center" vertical="center"/>
    </xf>
    <xf numFmtId="0" fontId="6" fillId="0" borderId="92" xfId="1" applyFont="1" applyBorder="1" applyAlignment="1">
      <alignment horizontal="center" vertical="center"/>
    </xf>
    <xf numFmtId="0" fontId="6" fillId="0" borderId="0" xfId="1" applyFont="1" applyBorder="1" applyAlignment="1">
      <alignment horizontal="center" vertical="center"/>
    </xf>
    <xf numFmtId="0" fontId="36" fillId="0" borderId="67" xfId="1" applyFont="1" applyFill="1" applyBorder="1" applyAlignment="1">
      <alignment horizontal="left" vertical="center" wrapText="1"/>
    </xf>
    <xf numFmtId="0" fontId="36" fillId="0" borderId="69" xfId="1" applyFont="1" applyFill="1" applyBorder="1" applyAlignment="1">
      <alignment horizontal="left" vertical="center" wrapText="1"/>
    </xf>
    <xf numFmtId="0" fontId="36" fillId="0" borderId="29" xfId="1" applyFont="1" applyFill="1" applyBorder="1" applyAlignment="1">
      <alignment horizontal="left" vertical="center"/>
    </xf>
    <xf numFmtId="0" fontId="36" fillId="0" borderId="89" xfId="1" applyFont="1" applyFill="1" applyBorder="1" applyAlignment="1">
      <alignment horizontal="left" vertical="center"/>
    </xf>
    <xf numFmtId="0" fontId="36" fillId="0" borderId="100" xfId="1" applyFont="1" applyFill="1" applyBorder="1" applyAlignment="1">
      <alignment horizontal="left" vertical="center" wrapText="1"/>
    </xf>
    <xf numFmtId="0" fontId="36" fillId="0" borderId="94" xfId="1" applyFont="1" applyFill="1" applyBorder="1" applyAlignment="1">
      <alignment horizontal="left" vertical="center" wrapText="1"/>
    </xf>
    <xf numFmtId="0" fontId="6" fillId="0" borderId="81" xfId="1" applyFont="1" applyBorder="1" applyAlignment="1">
      <alignment horizontal="center" vertical="center"/>
    </xf>
    <xf numFmtId="0" fontId="2" fillId="0" borderId="61" xfId="1" applyBorder="1" applyAlignment="1">
      <alignment vertical="center"/>
    </xf>
    <xf numFmtId="0" fontId="2" fillId="0" borderId="92" xfId="1" applyBorder="1" applyAlignment="1">
      <alignment vertical="center"/>
    </xf>
    <xf numFmtId="0" fontId="2" fillId="0" borderId="46" xfId="1" applyFont="1" applyBorder="1" applyAlignment="1">
      <alignment vertical="center" wrapText="1"/>
    </xf>
    <xf numFmtId="0" fontId="2" fillId="0" borderId="29" xfId="1" applyBorder="1" applyAlignment="1">
      <alignment vertical="center" wrapText="1"/>
    </xf>
    <xf numFmtId="0" fontId="2" fillId="0" borderId="89" xfId="1" applyBorder="1" applyAlignment="1">
      <alignment vertical="center" wrapText="1"/>
    </xf>
    <xf numFmtId="0" fontId="2" fillId="0" borderId="46" xfId="1" applyBorder="1" applyAlignment="1">
      <alignment vertical="center" wrapText="1"/>
    </xf>
    <xf numFmtId="0" fontId="2" fillId="0" borderId="61" xfId="1" applyBorder="1" applyAlignment="1">
      <alignment horizontal="left" vertical="center"/>
    </xf>
    <xf numFmtId="0" fontId="2" fillId="0" borderId="82" xfId="59" applyFont="1" applyFill="1" applyBorder="1" applyAlignment="1">
      <alignment horizontal="center" vertical="center"/>
    </xf>
    <xf numFmtId="0" fontId="2" fillId="0" borderId="61" xfId="59" applyFont="1" applyFill="1" applyBorder="1" applyAlignment="1">
      <alignment horizontal="center" vertical="center"/>
    </xf>
    <xf numFmtId="0" fontId="6" fillId="0" borderId="86" xfId="0" applyFont="1" applyBorder="1" applyAlignment="1">
      <alignment horizontal="center" vertical="center"/>
    </xf>
    <xf numFmtId="0" fontId="6" fillId="0" borderId="17" xfId="0" applyFont="1" applyBorder="1" applyAlignment="1">
      <alignment horizontal="center" vertical="center"/>
    </xf>
    <xf numFmtId="2" fontId="2" fillId="0" borderId="82" xfId="59" applyNumberFormat="1" applyFont="1" applyFill="1" applyBorder="1" applyAlignment="1">
      <alignment horizontal="center" vertical="center"/>
    </xf>
    <xf numFmtId="2" fontId="2" fillId="0" borderId="61" xfId="59" applyNumberFormat="1" applyFont="1" applyFill="1" applyBorder="1" applyAlignment="1">
      <alignment horizontal="center" vertical="center"/>
    </xf>
    <xf numFmtId="2" fontId="2" fillId="0" borderId="92" xfId="59" applyNumberFormat="1" applyFont="1" applyFill="1" applyBorder="1" applyAlignment="1">
      <alignment horizontal="center" vertical="center"/>
    </xf>
    <xf numFmtId="0" fontId="6" fillId="0" borderId="23" xfId="0" applyFont="1" applyBorder="1" applyAlignment="1">
      <alignment horizontal="center" vertical="center"/>
    </xf>
    <xf numFmtId="0" fontId="6" fillId="2" borderId="8" xfId="59" applyFont="1" applyFill="1" applyBorder="1" applyAlignment="1">
      <alignment horizontal="center" vertical="center"/>
    </xf>
    <xf numFmtId="0" fontId="6" fillId="2" borderId="106" xfId="59" applyFont="1" applyFill="1" applyBorder="1" applyAlignment="1">
      <alignment horizontal="center" vertical="center"/>
    </xf>
    <xf numFmtId="0" fontId="6" fillId="2" borderId="10" xfId="59" applyFont="1" applyFill="1" applyBorder="1" applyAlignment="1">
      <alignment horizontal="center" vertical="center"/>
    </xf>
    <xf numFmtId="0" fontId="2" fillId="4" borderId="11" xfId="59" applyFont="1" applyFill="1" applyBorder="1" applyAlignment="1">
      <alignment horizontal="left" vertical="center"/>
    </xf>
    <xf numFmtId="0" fontId="2" fillId="4" borderId="7" xfId="59" applyFont="1" applyFill="1" applyBorder="1" applyAlignment="1">
      <alignment horizontal="left" vertical="center"/>
    </xf>
    <xf numFmtId="14" fontId="2" fillId="4" borderId="24" xfId="59" applyNumberFormat="1" applyFont="1" applyFill="1" applyBorder="1" applyAlignment="1">
      <alignment horizontal="left" vertical="center"/>
    </xf>
    <xf numFmtId="0" fontId="6" fillId="0" borderId="82" xfId="0" applyFont="1" applyBorder="1" applyAlignment="1">
      <alignment horizontal="center" vertical="center"/>
    </xf>
    <xf numFmtId="0" fontId="6" fillId="0" borderId="92" xfId="0" applyFont="1" applyBorder="1" applyAlignment="1">
      <alignment horizontal="center" vertical="center"/>
    </xf>
  </cellXfs>
  <cellStyles count="86">
    <cellStyle name="20% - Accent1" xfId="2" xr:uid="{00000000-0005-0000-0000-000000000000}"/>
    <cellStyle name="20% - Accent2" xfId="3" xr:uid="{00000000-0005-0000-0000-000001000000}"/>
    <cellStyle name="20% - Accent3" xfId="4" xr:uid="{00000000-0005-0000-0000-000002000000}"/>
    <cellStyle name="20% - Accent4" xfId="5" xr:uid="{00000000-0005-0000-0000-000003000000}"/>
    <cellStyle name="20% - Accent5" xfId="6" xr:uid="{00000000-0005-0000-0000-000004000000}"/>
    <cellStyle name="20% - Accent6" xfId="7" xr:uid="{00000000-0005-0000-0000-000005000000}"/>
    <cellStyle name="40% - Accent1" xfId="8" xr:uid="{00000000-0005-0000-0000-000006000000}"/>
    <cellStyle name="40% - Accent2" xfId="9" xr:uid="{00000000-0005-0000-0000-000007000000}"/>
    <cellStyle name="40% - Accent3" xfId="10" xr:uid="{00000000-0005-0000-0000-000008000000}"/>
    <cellStyle name="40% - Accent4" xfId="11" xr:uid="{00000000-0005-0000-0000-000009000000}"/>
    <cellStyle name="40% - Accent5" xfId="12" xr:uid="{00000000-0005-0000-0000-00000A000000}"/>
    <cellStyle name="40% - Accent6" xfId="13" xr:uid="{00000000-0005-0000-0000-00000B000000}"/>
    <cellStyle name="60% - Accent1" xfId="14" xr:uid="{00000000-0005-0000-0000-00000C000000}"/>
    <cellStyle name="60% - Accent2" xfId="15" xr:uid="{00000000-0005-0000-0000-00000D000000}"/>
    <cellStyle name="60% - Accent3" xfId="16" xr:uid="{00000000-0005-0000-0000-00000E000000}"/>
    <cellStyle name="60% - Accent4" xfId="17" xr:uid="{00000000-0005-0000-0000-00000F000000}"/>
    <cellStyle name="60% - Accent5" xfId="18" xr:uid="{00000000-0005-0000-0000-000010000000}"/>
    <cellStyle name="60% - Accent6" xfId="19" xr:uid="{00000000-0005-0000-0000-000011000000}"/>
    <cellStyle name="Accent1" xfId="20" xr:uid="{00000000-0005-0000-0000-000012000000}"/>
    <cellStyle name="Accent2" xfId="21" xr:uid="{00000000-0005-0000-0000-000013000000}"/>
    <cellStyle name="Accent3" xfId="22" xr:uid="{00000000-0005-0000-0000-000014000000}"/>
    <cellStyle name="Accent4" xfId="23" xr:uid="{00000000-0005-0000-0000-000015000000}"/>
    <cellStyle name="Accent5" xfId="24" xr:uid="{00000000-0005-0000-0000-000016000000}"/>
    <cellStyle name="Accent6" xfId="25" xr:uid="{00000000-0005-0000-0000-000017000000}"/>
    <cellStyle name="Bad" xfId="26" xr:uid="{00000000-0005-0000-0000-000018000000}"/>
    <cellStyle name="Calculation" xfId="27" xr:uid="{00000000-0005-0000-0000-000019000000}"/>
    <cellStyle name="Check Cell" xfId="28" xr:uid="{00000000-0005-0000-0000-00001A000000}"/>
    <cellStyle name="Euro" xfId="29" xr:uid="{00000000-0005-0000-0000-00001B000000}"/>
    <cellStyle name="Euro 2" xfId="30" xr:uid="{00000000-0005-0000-0000-00001C000000}"/>
    <cellStyle name="Euro 2 2" xfId="69" xr:uid="{00000000-0005-0000-0000-00001D000000}"/>
    <cellStyle name="Euro 2 3" xfId="70" xr:uid="{00000000-0005-0000-0000-00001E000000}"/>
    <cellStyle name="Euro 3" xfId="31" xr:uid="{00000000-0005-0000-0000-00001F000000}"/>
    <cellStyle name="Explanatory Text" xfId="32" xr:uid="{00000000-0005-0000-0000-000020000000}"/>
    <cellStyle name="Good" xfId="33" xr:uid="{00000000-0005-0000-0000-000021000000}"/>
    <cellStyle name="Heading 1" xfId="34" xr:uid="{00000000-0005-0000-0000-000022000000}"/>
    <cellStyle name="Heading 2" xfId="35" xr:uid="{00000000-0005-0000-0000-000023000000}"/>
    <cellStyle name="Heading 3" xfId="36" xr:uid="{00000000-0005-0000-0000-000024000000}"/>
    <cellStyle name="Heading 4" xfId="37" xr:uid="{00000000-0005-0000-0000-000025000000}"/>
    <cellStyle name="Input" xfId="38" xr:uid="{00000000-0005-0000-0000-000026000000}"/>
    <cellStyle name="Komma 2" xfId="39" xr:uid="{00000000-0005-0000-0000-000027000000}"/>
    <cellStyle name="Linked Cell" xfId="40" xr:uid="{00000000-0005-0000-0000-000028000000}"/>
    <cellStyle name="Normal" xfId="0" builtinId="0"/>
    <cellStyle name="Note" xfId="41" xr:uid="{00000000-0005-0000-0000-000029000000}"/>
    <cellStyle name="Note 2" xfId="71" xr:uid="{00000000-0005-0000-0000-00002A000000}"/>
    <cellStyle name="Note 3" xfId="72" xr:uid="{00000000-0005-0000-0000-00002B000000}"/>
    <cellStyle name="Note 4" xfId="73" xr:uid="{00000000-0005-0000-0000-00002C000000}"/>
    <cellStyle name="Output" xfId="42" xr:uid="{00000000-0005-0000-0000-00002D000000}"/>
    <cellStyle name="Percent" xfId="68" builtinId="5"/>
    <cellStyle name="Prozent 2" xfId="43" xr:uid="{00000000-0005-0000-0000-00002F000000}"/>
    <cellStyle name="Prozent 2 2" xfId="44" xr:uid="{00000000-0005-0000-0000-000030000000}"/>
    <cellStyle name="Prozent 2 3" xfId="67" xr:uid="{00000000-0005-0000-0000-000031000000}"/>
    <cellStyle name="Standard 2" xfId="1" xr:uid="{00000000-0005-0000-0000-000033000000}"/>
    <cellStyle name="Standard 2 2" xfId="45" xr:uid="{00000000-0005-0000-0000-000034000000}"/>
    <cellStyle name="Standard 2 2 2" xfId="59" xr:uid="{00000000-0005-0000-0000-000035000000}"/>
    <cellStyle name="Standard 2 3" xfId="74" xr:uid="{00000000-0005-0000-0000-000036000000}"/>
    <cellStyle name="Standard 3" xfId="46" xr:uid="{00000000-0005-0000-0000-000037000000}"/>
    <cellStyle name="Standard 3 2" xfId="47" xr:uid="{00000000-0005-0000-0000-000038000000}"/>
    <cellStyle name="Standard 3 2 2" xfId="62" xr:uid="{00000000-0005-0000-0000-000039000000}"/>
    <cellStyle name="Standard 3 3" xfId="48" xr:uid="{00000000-0005-0000-0000-00003A000000}"/>
    <cellStyle name="Standard 3 3 2" xfId="65" xr:uid="{00000000-0005-0000-0000-00003B000000}"/>
    <cellStyle name="Standard 3 3 3" xfId="64" xr:uid="{00000000-0005-0000-0000-00003C000000}"/>
    <cellStyle name="Standard 3 3 4" xfId="75" xr:uid="{00000000-0005-0000-0000-00003D000000}"/>
    <cellStyle name="Standard 3 4" xfId="49" xr:uid="{00000000-0005-0000-0000-00003E000000}"/>
    <cellStyle name="Standard 3 4 2" xfId="76" xr:uid="{00000000-0005-0000-0000-00003F000000}"/>
    <cellStyle name="Standard 3 4 3" xfId="77" xr:uid="{00000000-0005-0000-0000-000040000000}"/>
    <cellStyle name="Standard 3 4 4" xfId="78" xr:uid="{00000000-0005-0000-0000-000041000000}"/>
    <cellStyle name="Standard 3 5" xfId="50" xr:uid="{00000000-0005-0000-0000-000042000000}"/>
    <cellStyle name="Standard 3 5 2" xfId="79" xr:uid="{00000000-0005-0000-0000-000043000000}"/>
    <cellStyle name="Standard 3 5 3" xfId="80" xr:uid="{00000000-0005-0000-0000-000044000000}"/>
    <cellStyle name="Standard 3 5 4" xfId="81" xr:uid="{00000000-0005-0000-0000-000045000000}"/>
    <cellStyle name="Standard 3 6" xfId="51" xr:uid="{00000000-0005-0000-0000-000046000000}"/>
    <cellStyle name="Standard 3 6 2" xfId="82" xr:uid="{00000000-0005-0000-0000-000047000000}"/>
    <cellStyle name="Standard 3 6 3" xfId="83" xr:uid="{00000000-0005-0000-0000-000048000000}"/>
    <cellStyle name="Standard 3 6 4" xfId="84" xr:uid="{00000000-0005-0000-0000-000049000000}"/>
    <cellStyle name="Standard 4" xfId="52" xr:uid="{00000000-0005-0000-0000-00004A000000}"/>
    <cellStyle name="Standard 4 2" xfId="63" xr:uid="{00000000-0005-0000-0000-00004B000000}"/>
    <cellStyle name="Standard 5" xfId="53" xr:uid="{00000000-0005-0000-0000-00004C000000}"/>
    <cellStyle name="Standard 5 2" xfId="54" xr:uid="{00000000-0005-0000-0000-00004D000000}"/>
    <cellStyle name="Standard 5 2 2" xfId="60" xr:uid="{00000000-0005-0000-0000-00004E000000}"/>
    <cellStyle name="Standard 6" xfId="58" xr:uid="{00000000-0005-0000-0000-00004F000000}"/>
    <cellStyle name="Standard 6 2" xfId="85" xr:uid="{00000000-0005-0000-0000-000050000000}"/>
    <cellStyle name="Standard 7" xfId="61" xr:uid="{00000000-0005-0000-0000-000051000000}"/>
    <cellStyle name="Standard_Endergebnisse 00°Rb" xfId="66" xr:uid="{00000000-0005-0000-0000-000052000000}"/>
    <cellStyle name="Title" xfId="55" xr:uid="{00000000-0005-0000-0000-000053000000}"/>
    <cellStyle name="Total" xfId="56" xr:uid="{00000000-0005-0000-0000-000054000000}"/>
    <cellStyle name="Warning Text" xfId="57" xr:uid="{00000000-0005-0000-0000-000055000000}"/>
  </cellStyles>
  <dxfs count="7">
    <dxf>
      <font>
        <color auto="1"/>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ill>
        <patternFill>
          <bgColor rgb="FF00B050"/>
        </patternFill>
      </fill>
    </dxf>
    <dxf>
      <fill>
        <patternFill>
          <bgColor rgb="FF00B050"/>
        </patternFill>
      </fill>
    </dxf>
  </dxfs>
  <tableStyles count="0" defaultTableStyle="TableStyleMedium2" defaultPivotStyle="PivotStyleLight16"/>
  <colors>
    <mruColors>
      <color rgb="FFCCFFFF"/>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wmf"/><Relationship Id="rId1" Type="http://schemas.openxmlformats.org/officeDocument/2006/relationships/image" Target="../media/image6.wmf"/></Relationships>
</file>

<file path=xl/drawings/_rels/drawing5.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9.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5" Type="http://schemas.openxmlformats.org/officeDocument/2006/relationships/image" Target="../media/image12.emf"/><Relationship Id="rId10" Type="http://schemas.openxmlformats.org/officeDocument/2006/relationships/image" Target="../media/image17.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1.emf"/><Relationship Id="rId1" Type="http://schemas.openxmlformats.org/officeDocument/2006/relationships/image" Target="../media/image9.emf"/><Relationship Id="rId6" Type="http://schemas.openxmlformats.org/officeDocument/2006/relationships/image" Target="../media/image25.emf"/><Relationship Id="rId5" Type="http://schemas.openxmlformats.org/officeDocument/2006/relationships/image" Target="../media/image2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7.emf"/><Relationship Id="rId5" Type="http://schemas.openxmlformats.org/officeDocument/2006/relationships/image" Target="../media/image36.emf"/><Relationship Id="rId4"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3.emf"/><Relationship Id="rId1" Type="http://schemas.openxmlformats.org/officeDocument/2006/relationships/image" Target="../media/image32.emf"/><Relationship Id="rId5" Type="http://schemas.openxmlformats.org/officeDocument/2006/relationships/image" Target="../media/image35.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editAs="oneCell">
    <xdr:from>
      <xdr:col>8</xdr:col>
      <xdr:colOff>1848273</xdr:colOff>
      <xdr:row>1</xdr:row>
      <xdr:rowOff>45720</xdr:rowOff>
    </xdr:from>
    <xdr:to>
      <xdr:col>13</xdr:col>
      <xdr:colOff>167641</xdr:colOff>
      <xdr:row>7</xdr:row>
      <xdr:rowOff>49531</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79253" y="236220"/>
          <a:ext cx="3074248" cy="1733551"/>
        </a:xfrm>
        <a:prstGeom prst="rect">
          <a:avLst/>
        </a:prstGeom>
      </xdr:spPr>
    </xdr:pic>
    <xdr:clientData/>
  </xdr:twoCellAnchor>
  <xdr:oneCellAnchor>
    <xdr:from>
      <xdr:col>1</xdr:col>
      <xdr:colOff>68581</xdr:colOff>
      <xdr:row>1</xdr:row>
      <xdr:rowOff>76200</xdr:rowOff>
    </xdr:from>
    <xdr:ext cx="1303019" cy="880743"/>
    <xdr:pic>
      <xdr:nvPicPr>
        <xdr:cNvPr id="3" name="Picture 14" descr="MountingSystems_Logo_blau_0906">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041" y="266700"/>
          <a:ext cx="1303019" cy="8807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absolute">
        <xdr:from>
          <xdr:col>4</xdr:col>
          <xdr:colOff>161925</xdr:colOff>
          <xdr:row>116</xdr:row>
          <xdr:rowOff>19050</xdr:rowOff>
        </xdr:from>
        <xdr:to>
          <xdr:col>4</xdr:col>
          <xdr:colOff>314325</xdr:colOff>
          <xdr:row>117</xdr:row>
          <xdr:rowOff>28575</xdr:rowOff>
        </xdr:to>
        <xdr:sp macro="" textlink="">
          <xdr:nvSpPr>
            <xdr:cNvPr id="41989" name="CheckBox1" hidden="1">
              <a:extLst>
                <a:ext uri="{63B3BB69-23CF-44E3-9099-C40C66FF867C}">
                  <a14:compatExt spid="_x0000_s41989"/>
                </a:ext>
                <a:ext uri="{FF2B5EF4-FFF2-40B4-BE49-F238E27FC236}">
                  <a16:creationId xmlns:a16="http://schemas.microsoft.com/office/drawing/2014/main" id="{00000000-0008-0000-0000-000005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320040</xdr:colOff>
      <xdr:row>19</xdr:row>
      <xdr:rowOff>144780</xdr:rowOff>
    </xdr:from>
    <xdr:to>
      <xdr:col>8</xdr:col>
      <xdr:colOff>1832208</xdr:colOff>
      <xdr:row>24</xdr:row>
      <xdr:rowOff>22470</xdr:rowOff>
    </xdr:to>
    <xdr:grpSp>
      <xdr:nvGrpSpPr>
        <xdr:cNvPr id="17" name="Gruppieren 16">
          <a:extLst>
            <a:ext uri="{FF2B5EF4-FFF2-40B4-BE49-F238E27FC236}">
              <a16:creationId xmlns:a16="http://schemas.microsoft.com/office/drawing/2014/main" id="{00000000-0008-0000-0000-000011000000}"/>
            </a:ext>
          </a:extLst>
        </xdr:cNvPr>
        <xdr:cNvGrpSpPr/>
      </xdr:nvGrpSpPr>
      <xdr:grpSpPr>
        <a:xfrm>
          <a:off x="4368165" y="4497705"/>
          <a:ext cx="1512168" cy="830190"/>
          <a:chOff x="727036" y="1412774"/>
          <a:chExt cx="1512168" cy="792090"/>
        </a:xfrm>
      </xdr:grpSpPr>
      <xdr:sp macro="" textlink="">
        <xdr:nvSpPr>
          <xdr:cNvPr id="18" name="Rechteck 17">
            <a:extLst>
              <a:ext uri="{FF2B5EF4-FFF2-40B4-BE49-F238E27FC236}">
                <a16:creationId xmlns:a16="http://schemas.microsoft.com/office/drawing/2014/main" id="{00000000-0008-0000-0000-000012000000}"/>
              </a:ext>
            </a:extLst>
          </xdr:cNvPr>
          <xdr:cNvSpPr/>
        </xdr:nvSpPr>
        <xdr:spPr>
          <a:xfrm>
            <a:off x="727036" y="1412774"/>
            <a:ext cx="1512168" cy="792088"/>
          </a:xfrm>
          <a:prstGeom prst="rect">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sp macro="" textlink="">
        <xdr:nvSpPr>
          <xdr:cNvPr id="19" name="Textfeld 62">
            <a:extLst>
              <a:ext uri="{FF2B5EF4-FFF2-40B4-BE49-F238E27FC236}">
                <a16:creationId xmlns:a16="http://schemas.microsoft.com/office/drawing/2014/main" id="{00000000-0008-0000-0000-000013000000}"/>
              </a:ext>
            </a:extLst>
          </xdr:cNvPr>
          <xdr:cNvSpPr txBox="1"/>
        </xdr:nvSpPr>
        <xdr:spPr>
          <a:xfrm>
            <a:off x="1675540" y="1670318"/>
            <a:ext cx="563664" cy="276999"/>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t>width</a:t>
            </a:r>
          </a:p>
        </xdr:txBody>
      </xdr:sp>
      <xdr:sp macro="" textlink="">
        <xdr:nvSpPr>
          <xdr:cNvPr id="20" name="Textfeld 63">
            <a:extLst>
              <a:ext uri="{FF2B5EF4-FFF2-40B4-BE49-F238E27FC236}">
                <a16:creationId xmlns:a16="http://schemas.microsoft.com/office/drawing/2014/main" id="{00000000-0008-0000-0000-000014000000}"/>
              </a:ext>
            </a:extLst>
          </xdr:cNvPr>
          <xdr:cNvSpPr txBox="1"/>
        </xdr:nvSpPr>
        <xdr:spPr>
          <a:xfrm>
            <a:off x="1161144" y="1430796"/>
            <a:ext cx="597449" cy="276999"/>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t>lenght</a:t>
            </a:r>
          </a:p>
        </xdr:txBody>
      </xdr:sp>
      <xdr:cxnSp macro="">
        <xdr:nvCxnSpPr>
          <xdr:cNvPr id="21" name="Gerade Verbindung mit Pfeil 20">
            <a:extLst>
              <a:ext uri="{FF2B5EF4-FFF2-40B4-BE49-F238E27FC236}">
                <a16:creationId xmlns:a16="http://schemas.microsoft.com/office/drawing/2014/main" id="{00000000-0008-0000-0000-000015000000}"/>
              </a:ext>
            </a:extLst>
          </xdr:cNvPr>
          <xdr:cNvCxnSpPr/>
        </xdr:nvCxnSpPr>
        <xdr:spPr>
          <a:xfrm flipV="1">
            <a:off x="727036" y="1569298"/>
            <a:ext cx="516112" cy="1"/>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22" name="Gerade Verbindung mit Pfeil 21">
            <a:extLst>
              <a:ext uri="{FF2B5EF4-FFF2-40B4-BE49-F238E27FC236}">
                <a16:creationId xmlns:a16="http://schemas.microsoft.com/office/drawing/2014/main" id="{00000000-0008-0000-0000-000016000000}"/>
              </a:ext>
            </a:extLst>
          </xdr:cNvPr>
          <xdr:cNvCxnSpPr/>
        </xdr:nvCxnSpPr>
        <xdr:spPr>
          <a:xfrm flipH="1">
            <a:off x="1675540" y="1569297"/>
            <a:ext cx="563664" cy="0"/>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23" name="Gerade Verbindung mit Pfeil 22">
            <a:extLst>
              <a:ext uri="{FF2B5EF4-FFF2-40B4-BE49-F238E27FC236}">
                <a16:creationId xmlns:a16="http://schemas.microsoft.com/office/drawing/2014/main" id="{00000000-0008-0000-0000-000017000000}"/>
              </a:ext>
            </a:extLst>
          </xdr:cNvPr>
          <xdr:cNvCxnSpPr/>
        </xdr:nvCxnSpPr>
        <xdr:spPr>
          <a:xfrm>
            <a:off x="2023180" y="1425605"/>
            <a:ext cx="0" cy="276999"/>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24" name="Gerade Verbindung mit Pfeil 23">
            <a:extLst>
              <a:ext uri="{FF2B5EF4-FFF2-40B4-BE49-F238E27FC236}">
                <a16:creationId xmlns:a16="http://schemas.microsoft.com/office/drawing/2014/main" id="{00000000-0008-0000-0000-000018000000}"/>
              </a:ext>
            </a:extLst>
          </xdr:cNvPr>
          <xdr:cNvCxnSpPr/>
        </xdr:nvCxnSpPr>
        <xdr:spPr>
          <a:xfrm flipV="1">
            <a:off x="2023180" y="1947318"/>
            <a:ext cx="0" cy="257546"/>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5" name="Rechteck 24">
            <a:extLst>
              <a:ext uri="{FF2B5EF4-FFF2-40B4-BE49-F238E27FC236}">
                <a16:creationId xmlns:a16="http://schemas.microsoft.com/office/drawing/2014/main" id="{00000000-0008-0000-0000-000019000000}"/>
              </a:ext>
            </a:extLst>
          </xdr:cNvPr>
          <xdr:cNvSpPr/>
        </xdr:nvSpPr>
        <xdr:spPr>
          <a:xfrm>
            <a:off x="2001093" y="1546437"/>
            <a:ext cx="45719" cy="4571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grpSp>
    <xdr:clientData/>
  </xdr:twoCellAnchor>
  <xdr:twoCellAnchor>
    <xdr:from>
      <xdr:col>8</xdr:col>
      <xdr:colOff>320040</xdr:colOff>
      <xdr:row>19</xdr:row>
      <xdr:rowOff>144780</xdr:rowOff>
    </xdr:from>
    <xdr:to>
      <xdr:col>8</xdr:col>
      <xdr:colOff>1832208</xdr:colOff>
      <xdr:row>24</xdr:row>
      <xdr:rowOff>22471</xdr:rowOff>
    </xdr:to>
    <xdr:grpSp>
      <xdr:nvGrpSpPr>
        <xdr:cNvPr id="26" name="Gruppieren 25">
          <a:extLst>
            <a:ext uri="{FF2B5EF4-FFF2-40B4-BE49-F238E27FC236}">
              <a16:creationId xmlns:a16="http://schemas.microsoft.com/office/drawing/2014/main" id="{00000000-0008-0000-0000-00001A000000}"/>
            </a:ext>
          </a:extLst>
        </xdr:cNvPr>
        <xdr:cNvGrpSpPr/>
      </xdr:nvGrpSpPr>
      <xdr:grpSpPr>
        <a:xfrm>
          <a:off x="4368165" y="4497705"/>
          <a:ext cx="1512168" cy="830191"/>
          <a:chOff x="727036" y="422362"/>
          <a:chExt cx="1512168" cy="792091"/>
        </a:xfrm>
      </xdr:grpSpPr>
      <xdr:sp macro="" textlink="">
        <xdr:nvSpPr>
          <xdr:cNvPr id="27" name="Rechteck 26">
            <a:extLst>
              <a:ext uri="{FF2B5EF4-FFF2-40B4-BE49-F238E27FC236}">
                <a16:creationId xmlns:a16="http://schemas.microsoft.com/office/drawing/2014/main" id="{00000000-0008-0000-0000-00001B000000}"/>
              </a:ext>
            </a:extLst>
          </xdr:cNvPr>
          <xdr:cNvSpPr/>
        </xdr:nvSpPr>
        <xdr:spPr>
          <a:xfrm>
            <a:off x="727036" y="422362"/>
            <a:ext cx="1512168" cy="792088"/>
          </a:xfrm>
          <a:prstGeom prst="rect">
            <a:avLst/>
          </a:prstGeom>
          <a:solidFill>
            <a:schemeClr val="bg1"/>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sp macro="" textlink="">
        <xdr:nvSpPr>
          <xdr:cNvPr id="28" name="Textfeld 4">
            <a:extLst>
              <a:ext uri="{FF2B5EF4-FFF2-40B4-BE49-F238E27FC236}">
                <a16:creationId xmlns:a16="http://schemas.microsoft.com/office/drawing/2014/main" id="{00000000-0008-0000-0000-00001C000000}"/>
              </a:ext>
            </a:extLst>
          </xdr:cNvPr>
          <xdr:cNvSpPr txBox="1"/>
        </xdr:nvSpPr>
        <xdr:spPr>
          <a:xfrm>
            <a:off x="1675540" y="679906"/>
            <a:ext cx="563664" cy="280205"/>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t>Länge</a:t>
            </a:r>
          </a:p>
        </xdr:txBody>
      </xdr:sp>
      <xdr:sp macro="" textlink="">
        <xdr:nvSpPr>
          <xdr:cNvPr id="29" name="Textfeld 5">
            <a:extLst>
              <a:ext uri="{FF2B5EF4-FFF2-40B4-BE49-F238E27FC236}">
                <a16:creationId xmlns:a16="http://schemas.microsoft.com/office/drawing/2014/main" id="{00000000-0008-0000-0000-00001D000000}"/>
              </a:ext>
            </a:extLst>
          </xdr:cNvPr>
          <xdr:cNvSpPr txBox="1"/>
        </xdr:nvSpPr>
        <xdr:spPr>
          <a:xfrm>
            <a:off x="1199280" y="435193"/>
            <a:ext cx="567680" cy="280205"/>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t>Breite</a:t>
            </a:r>
          </a:p>
        </xdr:txBody>
      </xdr:sp>
      <xdr:cxnSp macro="">
        <xdr:nvCxnSpPr>
          <xdr:cNvPr id="30" name="Gerade Verbindung mit Pfeil 29">
            <a:extLst>
              <a:ext uri="{FF2B5EF4-FFF2-40B4-BE49-F238E27FC236}">
                <a16:creationId xmlns:a16="http://schemas.microsoft.com/office/drawing/2014/main" id="{00000000-0008-0000-0000-00001E000000}"/>
              </a:ext>
            </a:extLst>
          </xdr:cNvPr>
          <xdr:cNvCxnSpPr>
            <a:endCxn id="29" idx="1"/>
          </xdr:cNvCxnSpPr>
        </xdr:nvCxnSpPr>
        <xdr:spPr>
          <a:xfrm>
            <a:off x="727036" y="573692"/>
            <a:ext cx="472244" cy="1604"/>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31" name="Gerade Verbindung mit Pfeil 30">
            <a:extLst>
              <a:ext uri="{FF2B5EF4-FFF2-40B4-BE49-F238E27FC236}">
                <a16:creationId xmlns:a16="http://schemas.microsoft.com/office/drawing/2014/main" id="{00000000-0008-0000-0000-00001F000000}"/>
              </a:ext>
            </a:extLst>
          </xdr:cNvPr>
          <xdr:cNvCxnSpPr/>
        </xdr:nvCxnSpPr>
        <xdr:spPr>
          <a:xfrm flipH="1">
            <a:off x="1675540" y="578885"/>
            <a:ext cx="563664" cy="0"/>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32" name="Gerade Verbindung mit Pfeil 31">
            <a:extLst>
              <a:ext uri="{FF2B5EF4-FFF2-40B4-BE49-F238E27FC236}">
                <a16:creationId xmlns:a16="http://schemas.microsoft.com/office/drawing/2014/main" id="{00000000-0008-0000-0000-000020000000}"/>
              </a:ext>
            </a:extLst>
          </xdr:cNvPr>
          <xdr:cNvCxnSpPr/>
        </xdr:nvCxnSpPr>
        <xdr:spPr>
          <a:xfrm>
            <a:off x="2023180" y="435193"/>
            <a:ext cx="0" cy="276999"/>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cxnSp macro="">
        <xdr:nvCxnSpPr>
          <xdr:cNvPr id="33" name="Gerade Verbindung mit Pfeil 32">
            <a:extLst>
              <a:ext uri="{FF2B5EF4-FFF2-40B4-BE49-F238E27FC236}">
                <a16:creationId xmlns:a16="http://schemas.microsoft.com/office/drawing/2014/main" id="{00000000-0008-0000-0000-000021000000}"/>
              </a:ext>
            </a:extLst>
          </xdr:cNvPr>
          <xdr:cNvCxnSpPr/>
        </xdr:nvCxnSpPr>
        <xdr:spPr>
          <a:xfrm flipV="1">
            <a:off x="2023180" y="956906"/>
            <a:ext cx="0" cy="257547"/>
          </a:xfrm>
          <a:prstGeom prst="straightConnector1">
            <a:avLst/>
          </a:prstGeom>
          <a:ln w="6350">
            <a:solidFill>
              <a:schemeClr val="tx1"/>
            </a:solidFill>
            <a:headEnd type="arrow"/>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34" name="Rechteck 33">
            <a:extLst>
              <a:ext uri="{FF2B5EF4-FFF2-40B4-BE49-F238E27FC236}">
                <a16:creationId xmlns:a16="http://schemas.microsoft.com/office/drawing/2014/main" id="{00000000-0008-0000-0000-000022000000}"/>
              </a:ext>
            </a:extLst>
          </xdr:cNvPr>
          <xdr:cNvSpPr/>
        </xdr:nvSpPr>
        <xdr:spPr>
          <a:xfrm>
            <a:off x="2001093" y="556025"/>
            <a:ext cx="45719" cy="4571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grpSp>
    <xdr:clientData/>
  </xdr:twoCellAnchor>
  <xdr:twoCellAnchor editAs="oneCell">
    <xdr:from>
      <xdr:col>8</xdr:col>
      <xdr:colOff>445708</xdr:colOff>
      <xdr:row>20</xdr:row>
      <xdr:rowOff>152401</xdr:rowOff>
    </xdr:from>
    <xdr:to>
      <xdr:col>8</xdr:col>
      <xdr:colOff>1020586</xdr:colOff>
      <xdr:row>24</xdr:row>
      <xdr:rowOff>1</xdr:rowOff>
    </xdr:to>
    <xdr:pic>
      <xdr:nvPicPr>
        <xdr:cNvPr id="35" name="Grafik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76688" y="4533901"/>
          <a:ext cx="574878" cy="5791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76200</xdr:colOff>
      <xdr:row>10</xdr:row>
      <xdr:rowOff>95250</xdr:rowOff>
    </xdr:from>
    <xdr:to>
      <xdr:col>11</xdr:col>
      <xdr:colOff>419100</xdr:colOff>
      <xdr:row>10</xdr:row>
      <xdr:rowOff>95250</xdr:rowOff>
    </xdr:to>
    <xdr:cxnSp macro="">
      <xdr:nvCxnSpPr>
        <xdr:cNvPr id="2" name="Gerade Verbindung mit Pfeil 1">
          <a:extLst>
            <a:ext uri="{FF2B5EF4-FFF2-40B4-BE49-F238E27FC236}">
              <a16:creationId xmlns:a16="http://schemas.microsoft.com/office/drawing/2014/main" id="{00000000-0008-0000-0100-000002000000}"/>
            </a:ext>
          </a:extLst>
        </xdr:cNvPr>
        <xdr:cNvCxnSpPr/>
      </xdr:nvCxnSpPr>
      <xdr:spPr>
        <a:xfrm flipH="1">
          <a:off x="7048500" y="2019300"/>
          <a:ext cx="100965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161925</xdr:colOff>
          <xdr:row>29</xdr:row>
          <xdr:rowOff>9525</xdr:rowOff>
        </xdr:to>
        <xdr:sp macro="" textlink="">
          <xdr:nvSpPr>
            <xdr:cNvPr id="16385" name="Object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14</xdr:col>
      <xdr:colOff>161925</xdr:colOff>
      <xdr:row>59</xdr:row>
      <xdr:rowOff>57149</xdr:rowOff>
    </xdr:from>
    <xdr:to>
      <xdr:col>50</xdr:col>
      <xdr:colOff>9526</xdr:colOff>
      <xdr:row>60</xdr:row>
      <xdr:rowOff>142943</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a:off x="18073654" y="7596220"/>
          <a:ext cx="257244" cy="6877051"/>
        </a:xfrm>
        <a:prstGeom prst="rect">
          <a:avLst/>
        </a:prstGeom>
        <a:scene3d>
          <a:camera prst="orthographicFront">
            <a:rot lat="0" lon="0" rev="0"/>
          </a:camera>
          <a:lightRig rig="threePt" dir="t"/>
        </a:scene3d>
      </xdr:spPr>
    </xdr:pic>
    <xdr:clientData/>
  </xdr:twoCellAnchor>
  <xdr:twoCellAnchor editAs="oneCell">
    <xdr:from>
      <xdr:col>6</xdr:col>
      <xdr:colOff>161925</xdr:colOff>
      <xdr:row>6</xdr:row>
      <xdr:rowOff>110277</xdr:rowOff>
    </xdr:from>
    <xdr:to>
      <xdr:col>8</xdr:col>
      <xdr:colOff>1047750</xdr:colOff>
      <xdr:row>12</xdr:row>
      <xdr:rowOff>28575</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38348"/>
        <a:stretch/>
      </xdr:blipFill>
      <xdr:spPr>
        <a:xfrm>
          <a:off x="9115425" y="1348527"/>
          <a:ext cx="3362325" cy="9469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381000</xdr:colOff>
          <xdr:row>21</xdr:row>
          <xdr:rowOff>19050</xdr:rowOff>
        </xdr:to>
        <xdr:sp macro="" textlink="">
          <xdr:nvSpPr>
            <xdr:cNvPr id="34817" name="Object 1" hidden="1">
              <a:extLst>
                <a:ext uri="{63B3BB69-23CF-44E3-9099-C40C66FF867C}">
                  <a14:compatExt spid="_x0000_s34817"/>
                </a:ext>
                <a:ext uri="{FF2B5EF4-FFF2-40B4-BE49-F238E27FC236}">
                  <a16:creationId xmlns:a16="http://schemas.microsoft.com/office/drawing/2014/main" id="{00000000-0008-0000-03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1514475</xdr:colOff>
          <xdr:row>35</xdr:row>
          <xdr:rowOff>47625</xdr:rowOff>
        </xdr:from>
        <xdr:to>
          <xdr:col>2</xdr:col>
          <xdr:colOff>371475</xdr:colOff>
          <xdr:row>35</xdr:row>
          <xdr:rowOff>276225</xdr:rowOff>
        </xdr:to>
        <xdr:sp macro="" textlink="">
          <xdr:nvSpPr>
            <xdr:cNvPr id="34818" name="Object 2" hidden="1">
              <a:extLst>
                <a:ext uri="{63B3BB69-23CF-44E3-9099-C40C66FF867C}">
                  <a14:compatExt spid="_x0000_s34818"/>
                </a:ext>
                <a:ext uri="{FF2B5EF4-FFF2-40B4-BE49-F238E27FC236}">
                  <a16:creationId xmlns:a16="http://schemas.microsoft.com/office/drawing/2014/main" id="{00000000-0008-0000-03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40</xdr:row>
          <xdr:rowOff>38100</xdr:rowOff>
        </xdr:from>
        <xdr:to>
          <xdr:col>2</xdr:col>
          <xdr:colOff>152400</xdr:colOff>
          <xdr:row>41</xdr:row>
          <xdr:rowOff>0</xdr:rowOff>
        </xdr:to>
        <xdr:sp macro="" textlink="">
          <xdr:nvSpPr>
            <xdr:cNvPr id="34819" name="Object 3" hidden="1">
              <a:extLst>
                <a:ext uri="{63B3BB69-23CF-44E3-9099-C40C66FF867C}">
                  <a14:compatExt spid="_x0000_s34819"/>
                </a:ext>
                <a:ext uri="{FF2B5EF4-FFF2-40B4-BE49-F238E27FC236}">
                  <a16:creationId xmlns:a16="http://schemas.microsoft.com/office/drawing/2014/main" id="{00000000-0008-0000-03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276225</xdr:rowOff>
        </xdr:from>
        <xdr:to>
          <xdr:col>2</xdr:col>
          <xdr:colOff>142875</xdr:colOff>
          <xdr:row>32</xdr:row>
          <xdr:rowOff>76200</xdr:rowOff>
        </xdr:to>
        <xdr:sp macro="" textlink="">
          <xdr:nvSpPr>
            <xdr:cNvPr id="34820" name="Object 4" hidden="1">
              <a:extLst>
                <a:ext uri="{63B3BB69-23CF-44E3-9099-C40C66FF867C}">
                  <a14:compatExt spid="_x0000_s34820"/>
                </a:ext>
                <a:ext uri="{FF2B5EF4-FFF2-40B4-BE49-F238E27FC236}">
                  <a16:creationId xmlns:a16="http://schemas.microsoft.com/office/drawing/2014/main" id="{00000000-0008-0000-03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40</xdr:row>
          <xdr:rowOff>152400</xdr:rowOff>
        </xdr:from>
        <xdr:to>
          <xdr:col>2</xdr:col>
          <xdr:colOff>190500</xdr:colOff>
          <xdr:row>42</xdr:row>
          <xdr:rowOff>19050</xdr:rowOff>
        </xdr:to>
        <xdr:sp macro="" textlink="">
          <xdr:nvSpPr>
            <xdr:cNvPr id="34821" name="Object 5" hidden="1">
              <a:extLst>
                <a:ext uri="{63B3BB69-23CF-44E3-9099-C40C66FF867C}">
                  <a14:compatExt spid="_x0000_s34821"/>
                </a:ext>
                <a:ext uri="{FF2B5EF4-FFF2-40B4-BE49-F238E27FC236}">
                  <a16:creationId xmlns:a16="http://schemas.microsoft.com/office/drawing/2014/main" id="{00000000-0008-0000-03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42</xdr:row>
          <xdr:rowOff>19050</xdr:rowOff>
        </xdr:from>
        <xdr:to>
          <xdr:col>2</xdr:col>
          <xdr:colOff>285750</xdr:colOff>
          <xdr:row>43</xdr:row>
          <xdr:rowOff>0</xdr:rowOff>
        </xdr:to>
        <xdr:sp macro="" textlink="">
          <xdr:nvSpPr>
            <xdr:cNvPr id="34822" name="Object 6" hidden="1">
              <a:extLst>
                <a:ext uri="{63B3BB69-23CF-44E3-9099-C40C66FF867C}">
                  <a14:compatExt spid="_x0000_s34822"/>
                </a:ext>
                <a:ext uri="{FF2B5EF4-FFF2-40B4-BE49-F238E27FC236}">
                  <a16:creationId xmlns:a16="http://schemas.microsoft.com/office/drawing/2014/main" id="{00000000-0008-0000-03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43</xdr:row>
          <xdr:rowOff>9525</xdr:rowOff>
        </xdr:from>
        <xdr:to>
          <xdr:col>2</xdr:col>
          <xdr:colOff>295275</xdr:colOff>
          <xdr:row>44</xdr:row>
          <xdr:rowOff>0</xdr:rowOff>
        </xdr:to>
        <xdr:sp macro="" textlink="">
          <xdr:nvSpPr>
            <xdr:cNvPr id="34823" name="Object 7" hidden="1">
              <a:extLst>
                <a:ext uri="{63B3BB69-23CF-44E3-9099-C40C66FF867C}">
                  <a14:compatExt spid="_x0000_s34823"/>
                </a:ext>
                <a:ext uri="{FF2B5EF4-FFF2-40B4-BE49-F238E27FC236}">
                  <a16:creationId xmlns:a16="http://schemas.microsoft.com/office/drawing/2014/main" id="{00000000-0008-0000-03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219075</xdr:rowOff>
        </xdr:from>
        <xdr:to>
          <xdr:col>2</xdr:col>
          <xdr:colOff>190500</xdr:colOff>
          <xdr:row>45</xdr:row>
          <xdr:rowOff>57150</xdr:rowOff>
        </xdr:to>
        <xdr:sp macro="" textlink="">
          <xdr:nvSpPr>
            <xdr:cNvPr id="34824" name="Object 8" hidden="1">
              <a:extLst>
                <a:ext uri="{63B3BB69-23CF-44E3-9099-C40C66FF867C}">
                  <a14:compatExt spid="_x0000_s34824"/>
                </a:ext>
                <a:ext uri="{FF2B5EF4-FFF2-40B4-BE49-F238E27FC236}">
                  <a16:creationId xmlns:a16="http://schemas.microsoft.com/office/drawing/2014/main" id="{00000000-0008-0000-03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45</xdr:row>
          <xdr:rowOff>57150</xdr:rowOff>
        </xdr:from>
        <xdr:to>
          <xdr:col>2</xdr:col>
          <xdr:colOff>171450</xdr:colOff>
          <xdr:row>46</xdr:row>
          <xdr:rowOff>0</xdr:rowOff>
        </xdr:to>
        <xdr:sp macro="" textlink="">
          <xdr:nvSpPr>
            <xdr:cNvPr id="34825" name="Object 9" hidden="1">
              <a:extLst>
                <a:ext uri="{63B3BB69-23CF-44E3-9099-C40C66FF867C}">
                  <a14:compatExt spid="_x0000_s34825"/>
                </a:ext>
                <a:ext uri="{FF2B5EF4-FFF2-40B4-BE49-F238E27FC236}">
                  <a16:creationId xmlns:a16="http://schemas.microsoft.com/office/drawing/2014/main" id="{00000000-0008-0000-03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409575</xdr:colOff>
          <xdr:row>22</xdr:row>
          <xdr:rowOff>9525</xdr:rowOff>
        </xdr:to>
        <xdr:sp macro="" textlink="">
          <xdr:nvSpPr>
            <xdr:cNvPr id="34826" name="Object 10" hidden="1">
              <a:extLst>
                <a:ext uri="{63B3BB69-23CF-44E3-9099-C40C66FF867C}">
                  <a14:compatExt spid="_x0000_s34826"/>
                </a:ext>
                <a:ext uri="{FF2B5EF4-FFF2-40B4-BE49-F238E27FC236}">
                  <a16:creationId xmlns:a16="http://schemas.microsoft.com/office/drawing/2014/main" id="{00000000-0008-0000-03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50</xdr:row>
          <xdr:rowOff>0</xdr:rowOff>
        </xdr:from>
        <xdr:to>
          <xdr:col>2</xdr:col>
          <xdr:colOff>428625</xdr:colOff>
          <xdr:row>51</xdr:row>
          <xdr:rowOff>0</xdr:rowOff>
        </xdr:to>
        <xdr:sp macro="" textlink="">
          <xdr:nvSpPr>
            <xdr:cNvPr id="34827" name="Object 11" hidden="1">
              <a:extLst>
                <a:ext uri="{63B3BB69-23CF-44E3-9099-C40C66FF867C}">
                  <a14:compatExt spid="_x0000_s34827"/>
                </a:ext>
                <a:ext uri="{FF2B5EF4-FFF2-40B4-BE49-F238E27FC236}">
                  <a16:creationId xmlns:a16="http://schemas.microsoft.com/office/drawing/2014/main" id="{00000000-0008-0000-03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219075</xdr:rowOff>
        </xdr:from>
        <xdr:to>
          <xdr:col>2</xdr:col>
          <xdr:colOff>419100</xdr:colOff>
          <xdr:row>52</xdr:row>
          <xdr:rowOff>28575</xdr:rowOff>
        </xdr:to>
        <xdr:sp macro="" textlink="">
          <xdr:nvSpPr>
            <xdr:cNvPr id="34828" name="Object 12" hidden="1">
              <a:extLst>
                <a:ext uri="{63B3BB69-23CF-44E3-9099-C40C66FF867C}">
                  <a14:compatExt spid="_x0000_s34828"/>
                </a:ext>
                <a:ext uri="{FF2B5EF4-FFF2-40B4-BE49-F238E27FC236}">
                  <a16:creationId xmlns:a16="http://schemas.microsoft.com/office/drawing/2014/main" id="{00000000-0008-0000-03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52</xdr:row>
          <xdr:rowOff>9525</xdr:rowOff>
        </xdr:from>
        <xdr:to>
          <xdr:col>2</xdr:col>
          <xdr:colOff>390525</xdr:colOff>
          <xdr:row>53</xdr:row>
          <xdr:rowOff>9525</xdr:rowOff>
        </xdr:to>
        <xdr:sp macro="" textlink="">
          <xdr:nvSpPr>
            <xdr:cNvPr id="34829" name="Object 13" hidden="1">
              <a:extLst>
                <a:ext uri="{63B3BB69-23CF-44E3-9099-C40C66FF867C}">
                  <a14:compatExt spid="_x0000_s34829"/>
                </a:ext>
                <a:ext uri="{FF2B5EF4-FFF2-40B4-BE49-F238E27FC236}">
                  <a16:creationId xmlns:a16="http://schemas.microsoft.com/office/drawing/2014/main" id="{00000000-0008-0000-03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xdr:row>
          <xdr:rowOff>0</xdr:rowOff>
        </xdr:from>
        <xdr:to>
          <xdr:col>9</xdr:col>
          <xdr:colOff>419100</xdr:colOff>
          <xdr:row>51</xdr:row>
          <xdr:rowOff>0</xdr:rowOff>
        </xdr:to>
        <xdr:sp macro="" textlink="">
          <xdr:nvSpPr>
            <xdr:cNvPr id="34830" name="Object 14" hidden="1">
              <a:extLst>
                <a:ext uri="{63B3BB69-23CF-44E3-9099-C40C66FF867C}">
                  <a14:compatExt spid="_x0000_s34830"/>
                </a:ext>
                <a:ext uri="{FF2B5EF4-FFF2-40B4-BE49-F238E27FC236}">
                  <a16:creationId xmlns:a16="http://schemas.microsoft.com/office/drawing/2014/main" id="{00000000-0008-0000-03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200025</xdr:rowOff>
        </xdr:from>
        <xdr:to>
          <xdr:col>9</xdr:col>
          <xdr:colOff>409575</xdr:colOff>
          <xdr:row>52</xdr:row>
          <xdr:rowOff>9525</xdr:rowOff>
        </xdr:to>
        <xdr:sp macro="" textlink="">
          <xdr:nvSpPr>
            <xdr:cNvPr id="34831" name="Object 15" hidden="1">
              <a:extLst>
                <a:ext uri="{63B3BB69-23CF-44E3-9099-C40C66FF867C}">
                  <a14:compatExt spid="_x0000_s34831"/>
                </a:ext>
                <a:ext uri="{FF2B5EF4-FFF2-40B4-BE49-F238E27FC236}">
                  <a16:creationId xmlns:a16="http://schemas.microsoft.com/office/drawing/2014/main" id="{00000000-0008-0000-03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xdr:row>
          <xdr:rowOff>0</xdr:rowOff>
        </xdr:from>
        <xdr:to>
          <xdr:col>9</xdr:col>
          <xdr:colOff>390525</xdr:colOff>
          <xdr:row>53</xdr:row>
          <xdr:rowOff>0</xdr:rowOff>
        </xdr:to>
        <xdr:sp macro="" textlink="">
          <xdr:nvSpPr>
            <xdr:cNvPr id="34832" name="Object 16" hidden="1">
              <a:extLst>
                <a:ext uri="{63B3BB69-23CF-44E3-9099-C40C66FF867C}">
                  <a14:compatExt spid="_x0000_s34832"/>
                </a:ext>
                <a:ext uri="{FF2B5EF4-FFF2-40B4-BE49-F238E27FC236}">
                  <a16:creationId xmlns:a16="http://schemas.microsoft.com/office/drawing/2014/main" id="{00000000-0008-0000-03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49</xdr:row>
          <xdr:rowOff>0</xdr:rowOff>
        </xdr:from>
        <xdr:to>
          <xdr:col>9</xdr:col>
          <xdr:colOff>381000</xdr:colOff>
          <xdr:row>50</xdr:row>
          <xdr:rowOff>38100</xdr:rowOff>
        </xdr:to>
        <xdr:sp macro="" textlink="">
          <xdr:nvSpPr>
            <xdr:cNvPr id="34833" name="Object 17" hidden="1">
              <a:extLst>
                <a:ext uri="{63B3BB69-23CF-44E3-9099-C40C66FF867C}">
                  <a14:compatExt spid="_x0000_s34833"/>
                </a:ext>
                <a:ext uri="{FF2B5EF4-FFF2-40B4-BE49-F238E27FC236}">
                  <a16:creationId xmlns:a16="http://schemas.microsoft.com/office/drawing/2014/main" id="{00000000-0008-0000-03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11</xdr:col>
          <xdr:colOff>381000</xdr:colOff>
          <xdr:row>21</xdr:row>
          <xdr:rowOff>19050</xdr:rowOff>
        </xdr:to>
        <xdr:sp macro="" textlink="">
          <xdr:nvSpPr>
            <xdr:cNvPr id="34834" name="Object 18" hidden="1">
              <a:extLst>
                <a:ext uri="{63B3BB69-23CF-44E3-9099-C40C66FF867C}">
                  <a14:compatExt spid="_x0000_s34834"/>
                </a:ext>
                <a:ext uri="{FF2B5EF4-FFF2-40B4-BE49-F238E27FC236}">
                  <a16:creationId xmlns:a16="http://schemas.microsoft.com/office/drawing/2014/main" id="{00000000-0008-0000-03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xdr:row>
          <xdr:rowOff>0</xdr:rowOff>
        </xdr:from>
        <xdr:to>
          <xdr:col>11</xdr:col>
          <xdr:colOff>409575</xdr:colOff>
          <xdr:row>22</xdr:row>
          <xdr:rowOff>9525</xdr:rowOff>
        </xdr:to>
        <xdr:sp macro="" textlink="">
          <xdr:nvSpPr>
            <xdr:cNvPr id="34835" name="Object 19" hidden="1">
              <a:extLst>
                <a:ext uri="{63B3BB69-23CF-44E3-9099-C40C66FF867C}">
                  <a14:compatExt spid="_x0000_s34835"/>
                </a:ext>
                <a:ext uri="{FF2B5EF4-FFF2-40B4-BE49-F238E27FC236}">
                  <a16:creationId xmlns:a16="http://schemas.microsoft.com/office/drawing/2014/main" id="{00000000-0008-0000-03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20</xdr:row>
          <xdr:rowOff>57150</xdr:rowOff>
        </xdr:from>
        <xdr:to>
          <xdr:col>4</xdr:col>
          <xdr:colOff>771525</xdr:colOff>
          <xdr:row>20</xdr:row>
          <xdr:rowOff>171450</xdr:rowOff>
        </xdr:to>
        <xdr:sp macro="" textlink="">
          <xdr:nvSpPr>
            <xdr:cNvPr id="34836" name="Object 20" hidden="1">
              <a:extLst>
                <a:ext uri="{63B3BB69-23CF-44E3-9099-C40C66FF867C}">
                  <a14:compatExt spid="_x0000_s34836"/>
                </a:ext>
                <a:ext uri="{FF2B5EF4-FFF2-40B4-BE49-F238E27FC236}">
                  <a16:creationId xmlns:a16="http://schemas.microsoft.com/office/drawing/2014/main" id="{00000000-0008-0000-03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21</xdr:row>
          <xdr:rowOff>57150</xdr:rowOff>
        </xdr:from>
        <xdr:to>
          <xdr:col>4</xdr:col>
          <xdr:colOff>771525</xdr:colOff>
          <xdr:row>21</xdr:row>
          <xdr:rowOff>171450</xdr:rowOff>
        </xdr:to>
        <xdr:sp macro="" textlink="">
          <xdr:nvSpPr>
            <xdr:cNvPr id="34837" name="Object 21" hidden="1">
              <a:extLst>
                <a:ext uri="{63B3BB69-23CF-44E3-9099-C40C66FF867C}">
                  <a14:compatExt spid="_x0000_s34837"/>
                </a:ext>
                <a:ext uri="{FF2B5EF4-FFF2-40B4-BE49-F238E27FC236}">
                  <a16:creationId xmlns:a16="http://schemas.microsoft.com/office/drawing/2014/main" id="{00000000-0008-0000-03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447675</xdr:colOff>
          <xdr:row>20</xdr:row>
          <xdr:rowOff>57150</xdr:rowOff>
        </xdr:from>
        <xdr:to>
          <xdr:col>7</xdr:col>
          <xdr:colOff>571500</xdr:colOff>
          <xdr:row>20</xdr:row>
          <xdr:rowOff>171450</xdr:rowOff>
        </xdr:to>
        <xdr:sp macro="" textlink="">
          <xdr:nvSpPr>
            <xdr:cNvPr id="34838" name="Object 22" hidden="1">
              <a:extLst>
                <a:ext uri="{63B3BB69-23CF-44E3-9099-C40C66FF867C}">
                  <a14:compatExt spid="_x0000_s34838"/>
                </a:ext>
                <a:ext uri="{FF2B5EF4-FFF2-40B4-BE49-F238E27FC236}">
                  <a16:creationId xmlns:a16="http://schemas.microsoft.com/office/drawing/2014/main" id="{00000000-0008-0000-0300-00001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447675</xdr:colOff>
          <xdr:row>21</xdr:row>
          <xdr:rowOff>57150</xdr:rowOff>
        </xdr:from>
        <xdr:to>
          <xdr:col>7</xdr:col>
          <xdr:colOff>571500</xdr:colOff>
          <xdr:row>21</xdr:row>
          <xdr:rowOff>171450</xdr:rowOff>
        </xdr:to>
        <xdr:sp macro="" textlink="">
          <xdr:nvSpPr>
            <xdr:cNvPr id="34839" name="Object 23" hidden="1">
              <a:extLst>
                <a:ext uri="{63B3BB69-23CF-44E3-9099-C40C66FF867C}">
                  <a14:compatExt spid="_x0000_s34839"/>
                </a:ext>
                <a:ext uri="{FF2B5EF4-FFF2-40B4-BE49-F238E27FC236}">
                  <a16:creationId xmlns:a16="http://schemas.microsoft.com/office/drawing/2014/main" id="{00000000-0008-0000-03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466725</xdr:colOff>
          <xdr:row>20</xdr:row>
          <xdr:rowOff>57150</xdr:rowOff>
        </xdr:from>
        <xdr:to>
          <xdr:col>10</xdr:col>
          <xdr:colOff>590550</xdr:colOff>
          <xdr:row>20</xdr:row>
          <xdr:rowOff>171450</xdr:rowOff>
        </xdr:to>
        <xdr:sp macro="" textlink="">
          <xdr:nvSpPr>
            <xdr:cNvPr id="34840" name="Object 24" hidden="1">
              <a:extLst>
                <a:ext uri="{63B3BB69-23CF-44E3-9099-C40C66FF867C}">
                  <a14:compatExt spid="_x0000_s34840"/>
                </a:ext>
                <a:ext uri="{FF2B5EF4-FFF2-40B4-BE49-F238E27FC236}">
                  <a16:creationId xmlns:a16="http://schemas.microsoft.com/office/drawing/2014/main" id="{00000000-0008-0000-0300-00001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21</xdr:row>
          <xdr:rowOff>47625</xdr:rowOff>
        </xdr:from>
        <xdr:to>
          <xdr:col>10</xdr:col>
          <xdr:colOff>581025</xdr:colOff>
          <xdr:row>21</xdr:row>
          <xdr:rowOff>161925</xdr:rowOff>
        </xdr:to>
        <xdr:sp macro="" textlink="">
          <xdr:nvSpPr>
            <xdr:cNvPr id="34841" name="Object 25" hidden="1">
              <a:extLst>
                <a:ext uri="{63B3BB69-23CF-44E3-9099-C40C66FF867C}">
                  <a14:compatExt spid="_x0000_s34841"/>
                </a:ext>
                <a:ext uri="{FF2B5EF4-FFF2-40B4-BE49-F238E27FC236}">
                  <a16:creationId xmlns:a16="http://schemas.microsoft.com/office/drawing/2014/main" id="{00000000-0008-0000-0300-00001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29</xdr:row>
          <xdr:rowOff>104775</xdr:rowOff>
        </xdr:from>
        <xdr:to>
          <xdr:col>4</xdr:col>
          <xdr:colOff>571500</xdr:colOff>
          <xdr:row>29</xdr:row>
          <xdr:rowOff>219075</xdr:rowOff>
        </xdr:to>
        <xdr:sp macro="" textlink="">
          <xdr:nvSpPr>
            <xdr:cNvPr id="34842" name="Object 26" hidden="1">
              <a:extLst>
                <a:ext uri="{63B3BB69-23CF-44E3-9099-C40C66FF867C}">
                  <a14:compatExt spid="_x0000_s34842"/>
                </a:ext>
                <a:ext uri="{FF2B5EF4-FFF2-40B4-BE49-F238E27FC236}">
                  <a16:creationId xmlns:a16="http://schemas.microsoft.com/office/drawing/2014/main" id="{00000000-0008-0000-0300-00001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31</xdr:row>
          <xdr:rowOff>276225</xdr:rowOff>
        </xdr:from>
        <xdr:to>
          <xdr:col>4</xdr:col>
          <xdr:colOff>571500</xdr:colOff>
          <xdr:row>32</xdr:row>
          <xdr:rowOff>66675</xdr:rowOff>
        </xdr:to>
        <xdr:sp macro="" textlink="">
          <xdr:nvSpPr>
            <xdr:cNvPr id="34843" name="Object 27" hidden="1">
              <a:extLst>
                <a:ext uri="{63B3BB69-23CF-44E3-9099-C40C66FF867C}">
                  <a14:compatExt spid="_x0000_s34843"/>
                </a:ext>
                <a:ext uri="{FF2B5EF4-FFF2-40B4-BE49-F238E27FC236}">
                  <a16:creationId xmlns:a16="http://schemas.microsoft.com/office/drawing/2014/main" id="{00000000-0008-0000-0300-00001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40</xdr:row>
          <xdr:rowOff>57150</xdr:rowOff>
        </xdr:from>
        <xdr:to>
          <xdr:col>4</xdr:col>
          <xdr:colOff>571500</xdr:colOff>
          <xdr:row>41</xdr:row>
          <xdr:rowOff>9525</xdr:rowOff>
        </xdr:to>
        <xdr:sp macro="" textlink="">
          <xdr:nvSpPr>
            <xdr:cNvPr id="34844" name="Object 28" hidden="1">
              <a:extLst>
                <a:ext uri="{63B3BB69-23CF-44E3-9099-C40C66FF867C}">
                  <a14:compatExt spid="_x0000_s34844"/>
                </a:ext>
                <a:ext uri="{FF2B5EF4-FFF2-40B4-BE49-F238E27FC236}">
                  <a16:creationId xmlns:a16="http://schemas.microsoft.com/office/drawing/2014/main" id="{00000000-0008-0000-0300-00001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41</xdr:row>
          <xdr:rowOff>57150</xdr:rowOff>
        </xdr:from>
        <xdr:to>
          <xdr:col>4</xdr:col>
          <xdr:colOff>571500</xdr:colOff>
          <xdr:row>41</xdr:row>
          <xdr:rowOff>171450</xdr:rowOff>
        </xdr:to>
        <xdr:sp macro="" textlink="">
          <xdr:nvSpPr>
            <xdr:cNvPr id="34845" name="Object 29" hidden="1">
              <a:extLst>
                <a:ext uri="{63B3BB69-23CF-44E3-9099-C40C66FF867C}">
                  <a14:compatExt spid="_x0000_s34845"/>
                </a:ext>
                <a:ext uri="{FF2B5EF4-FFF2-40B4-BE49-F238E27FC236}">
                  <a16:creationId xmlns:a16="http://schemas.microsoft.com/office/drawing/2014/main" id="{00000000-0008-0000-0300-00001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42</xdr:row>
          <xdr:rowOff>57150</xdr:rowOff>
        </xdr:from>
        <xdr:to>
          <xdr:col>4</xdr:col>
          <xdr:colOff>571500</xdr:colOff>
          <xdr:row>42</xdr:row>
          <xdr:rowOff>171450</xdr:rowOff>
        </xdr:to>
        <xdr:sp macro="" textlink="">
          <xdr:nvSpPr>
            <xdr:cNvPr id="34846" name="Object 30" hidden="1">
              <a:extLst>
                <a:ext uri="{63B3BB69-23CF-44E3-9099-C40C66FF867C}">
                  <a14:compatExt spid="_x0000_s34846"/>
                </a:ext>
                <a:ext uri="{FF2B5EF4-FFF2-40B4-BE49-F238E27FC236}">
                  <a16:creationId xmlns:a16="http://schemas.microsoft.com/office/drawing/2014/main" id="{00000000-0008-0000-0300-00001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43</xdr:row>
          <xdr:rowOff>57150</xdr:rowOff>
        </xdr:from>
        <xdr:to>
          <xdr:col>4</xdr:col>
          <xdr:colOff>571500</xdr:colOff>
          <xdr:row>43</xdr:row>
          <xdr:rowOff>171450</xdr:rowOff>
        </xdr:to>
        <xdr:sp macro="" textlink="">
          <xdr:nvSpPr>
            <xdr:cNvPr id="34847" name="Object 31" hidden="1">
              <a:extLst>
                <a:ext uri="{63B3BB69-23CF-44E3-9099-C40C66FF867C}">
                  <a14:compatExt spid="_x0000_s34847"/>
                </a:ext>
                <a:ext uri="{FF2B5EF4-FFF2-40B4-BE49-F238E27FC236}">
                  <a16:creationId xmlns:a16="http://schemas.microsoft.com/office/drawing/2014/main" id="{00000000-0008-0000-0300-00001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44</xdr:row>
          <xdr:rowOff>57150</xdr:rowOff>
        </xdr:from>
        <xdr:to>
          <xdr:col>4</xdr:col>
          <xdr:colOff>571500</xdr:colOff>
          <xdr:row>45</xdr:row>
          <xdr:rowOff>19050</xdr:rowOff>
        </xdr:to>
        <xdr:sp macro="" textlink="">
          <xdr:nvSpPr>
            <xdr:cNvPr id="34848" name="Object 32" hidden="1">
              <a:extLst>
                <a:ext uri="{63B3BB69-23CF-44E3-9099-C40C66FF867C}">
                  <a14:compatExt spid="_x0000_s34848"/>
                </a:ext>
                <a:ext uri="{FF2B5EF4-FFF2-40B4-BE49-F238E27FC236}">
                  <a16:creationId xmlns:a16="http://schemas.microsoft.com/office/drawing/2014/main" id="{00000000-0008-0000-0300-00002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50</xdr:row>
          <xdr:rowOff>57150</xdr:rowOff>
        </xdr:from>
        <xdr:to>
          <xdr:col>4</xdr:col>
          <xdr:colOff>571500</xdr:colOff>
          <xdr:row>50</xdr:row>
          <xdr:rowOff>171450</xdr:rowOff>
        </xdr:to>
        <xdr:sp macro="" textlink="">
          <xdr:nvSpPr>
            <xdr:cNvPr id="34849" name="Object 33" hidden="1">
              <a:extLst>
                <a:ext uri="{63B3BB69-23CF-44E3-9099-C40C66FF867C}">
                  <a14:compatExt spid="_x0000_s34849"/>
                </a:ext>
                <a:ext uri="{FF2B5EF4-FFF2-40B4-BE49-F238E27FC236}">
                  <a16:creationId xmlns:a16="http://schemas.microsoft.com/office/drawing/2014/main" id="{00000000-0008-0000-0300-00002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51</xdr:row>
          <xdr:rowOff>57150</xdr:rowOff>
        </xdr:from>
        <xdr:to>
          <xdr:col>4</xdr:col>
          <xdr:colOff>571500</xdr:colOff>
          <xdr:row>51</xdr:row>
          <xdr:rowOff>171450</xdr:rowOff>
        </xdr:to>
        <xdr:sp macro="" textlink="">
          <xdr:nvSpPr>
            <xdr:cNvPr id="34850" name="Object 34" hidden="1">
              <a:extLst>
                <a:ext uri="{63B3BB69-23CF-44E3-9099-C40C66FF867C}">
                  <a14:compatExt spid="_x0000_s34850"/>
                </a:ext>
                <a:ext uri="{FF2B5EF4-FFF2-40B4-BE49-F238E27FC236}">
                  <a16:creationId xmlns:a16="http://schemas.microsoft.com/office/drawing/2014/main" id="{00000000-0008-0000-0300-00002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52</xdr:row>
          <xdr:rowOff>57150</xdr:rowOff>
        </xdr:from>
        <xdr:to>
          <xdr:col>4</xdr:col>
          <xdr:colOff>571500</xdr:colOff>
          <xdr:row>52</xdr:row>
          <xdr:rowOff>171450</xdr:rowOff>
        </xdr:to>
        <xdr:sp macro="" textlink="">
          <xdr:nvSpPr>
            <xdr:cNvPr id="34851" name="Object 35" hidden="1">
              <a:extLst>
                <a:ext uri="{63B3BB69-23CF-44E3-9099-C40C66FF867C}">
                  <a14:compatExt spid="_x0000_s34851"/>
                </a:ext>
                <a:ext uri="{FF2B5EF4-FFF2-40B4-BE49-F238E27FC236}">
                  <a16:creationId xmlns:a16="http://schemas.microsoft.com/office/drawing/2014/main" id="{00000000-0008-0000-0300-00002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50</xdr:row>
          <xdr:rowOff>57150</xdr:rowOff>
        </xdr:from>
        <xdr:to>
          <xdr:col>11</xdr:col>
          <xdr:colOff>571500</xdr:colOff>
          <xdr:row>50</xdr:row>
          <xdr:rowOff>171450</xdr:rowOff>
        </xdr:to>
        <xdr:sp macro="" textlink="">
          <xdr:nvSpPr>
            <xdr:cNvPr id="34852" name="Object 36" hidden="1">
              <a:extLst>
                <a:ext uri="{63B3BB69-23CF-44E3-9099-C40C66FF867C}">
                  <a14:compatExt spid="_x0000_s34852"/>
                </a:ext>
                <a:ext uri="{FF2B5EF4-FFF2-40B4-BE49-F238E27FC236}">
                  <a16:creationId xmlns:a16="http://schemas.microsoft.com/office/drawing/2014/main" id="{00000000-0008-0000-0300-00002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51</xdr:row>
          <xdr:rowOff>57150</xdr:rowOff>
        </xdr:from>
        <xdr:to>
          <xdr:col>11</xdr:col>
          <xdr:colOff>571500</xdr:colOff>
          <xdr:row>51</xdr:row>
          <xdr:rowOff>171450</xdr:rowOff>
        </xdr:to>
        <xdr:sp macro="" textlink="">
          <xdr:nvSpPr>
            <xdr:cNvPr id="34853" name="Object 37" hidden="1">
              <a:extLst>
                <a:ext uri="{63B3BB69-23CF-44E3-9099-C40C66FF867C}">
                  <a14:compatExt spid="_x0000_s34853"/>
                </a:ext>
                <a:ext uri="{FF2B5EF4-FFF2-40B4-BE49-F238E27FC236}">
                  <a16:creationId xmlns:a16="http://schemas.microsoft.com/office/drawing/2014/main" id="{00000000-0008-0000-0300-00002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52</xdr:row>
          <xdr:rowOff>57150</xdr:rowOff>
        </xdr:from>
        <xdr:to>
          <xdr:col>11</xdr:col>
          <xdr:colOff>571500</xdr:colOff>
          <xdr:row>52</xdr:row>
          <xdr:rowOff>171450</xdr:rowOff>
        </xdr:to>
        <xdr:sp macro="" textlink="">
          <xdr:nvSpPr>
            <xdr:cNvPr id="34854" name="Object 38" hidden="1">
              <a:extLst>
                <a:ext uri="{63B3BB69-23CF-44E3-9099-C40C66FF867C}">
                  <a14:compatExt spid="_x0000_s34854"/>
                </a:ext>
                <a:ext uri="{FF2B5EF4-FFF2-40B4-BE49-F238E27FC236}">
                  <a16:creationId xmlns:a16="http://schemas.microsoft.com/office/drawing/2014/main" id="{00000000-0008-0000-0300-00002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45</xdr:row>
          <xdr:rowOff>95250</xdr:rowOff>
        </xdr:from>
        <xdr:to>
          <xdr:col>4</xdr:col>
          <xdr:colOff>561975</xdr:colOff>
          <xdr:row>46</xdr:row>
          <xdr:rowOff>0</xdr:rowOff>
        </xdr:to>
        <xdr:sp macro="" textlink="">
          <xdr:nvSpPr>
            <xdr:cNvPr id="34855" name="Object 39" hidden="1">
              <a:extLst>
                <a:ext uri="{63B3BB69-23CF-44E3-9099-C40C66FF867C}">
                  <a14:compatExt spid="_x0000_s34855"/>
                </a:ext>
                <a:ext uri="{FF2B5EF4-FFF2-40B4-BE49-F238E27FC236}">
                  <a16:creationId xmlns:a16="http://schemas.microsoft.com/office/drawing/2014/main" id="{00000000-0008-0000-0300-00002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17</xdr:row>
          <xdr:rowOff>171450</xdr:rowOff>
        </xdr:from>
        <xdr:to>
          <xdr:col>2</xdr:col>
          <xdr:colOff>400050</xdr:colOff>
          <xdr:row>19</xdr:row>
          <xdr:rowOff>19050</xdr:rowOff>
        </xdr:to>
        <xdr:sp macro="" textlink="">
          <xdr:nvSpPr>
            <xdr:cNvPr id="35841" name="Object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28575</xdr:rowOff>
        </xdr:from>
        <xdr:to>
          <xdr:col>2</xdr:col>
          <xdr:colOff>171450</xdr:colOff>
          <xdr:row>34</xdr:row>
          <xdr:rowOff>9525</xdr:rowOff>
        </xdr:to>
        <xdr:sp macro="" textlink="">
          <xdr:nvSpPr>
            <xdr:cNvPr id="35842" name="Object 2"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2</xdr:col>
          <xdr:colOff>190500</xdr:colOff>
          <xdr:row>25</xdr:row>
          <xdr:rowOff>19050</xdr:rowOff>
        </xdr:to>
        <xdr:sp macro="" textlink="">
          <xdr:nvSpPr>
            <xdr:cNvPr id="35843" name="Object 3"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2371725</xdr:colOff>
          <xdr:row>24</xdr:row>
          <xdr:rowOff>152400</xdr:rowOff>
        </xdr:from>
        <xdr:to>
          <xdr:col>2</xdr:col>
          <xdr:colOff>209550</xdr:colOff>
          <xdr:row>26</xdr:row>
          <xdr:rowOff>28575</xdr:rowOff>
        </xdr:to>
        <xdr:sp macro="" textlink="">
          <xdr:nvSpPr>
            <xdr:cNvPr id="35844" name="Object 4" hidden="1">
              <a:extLst>
                <a:ext uri="{63B3BB69-23CF-44E3-9099-C40C66FF867C}">
                  <a14:compatExt spid="_x0000_s35844"/>
                </a:ext>
                <a:ext uri="{FF2B5EF4-FFF2-40B4-BE49-F238E27FC236}">
                  <a16:creationId xmlns:a16="http://schemas.microsoft.com/office/drawing/2014/main" id="{00000000-0008-0000-0400-00000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28</xdr:row>
          <xdr:rowOff>123825</xdr:rowOff>
        </xdr:from>
        <xdr:to>
          <xdr:col>2</xdr:col>
          <xdr:colOff>142875</xdr:colOff>
          <xdr:row>28</xdr:row>
          <xdr:rowOff>247650</xdr:rowOff>
        </xdr:to>
        <xdr:sp macro="" textlink="">
          <xdr:nvSpPr>
            <xdr:cNvPr id="35845" name="Object 5" hidden="1">
              <a:extLst>
                <a:ext uri="{63B3BB69-23CF-44E3-9099-C40C66FF867C}">
                  <a14:compatExt spid="_x0000_s35845"/>
                </a:ext>
                <a:ext uri="{FF2B5EF4-FFF2-40B4-BE49-F238E27FC236}">
                  <a16:creationId xmlns:a16="http://schemas.microsoft.com/office/drawing/2014/main" id="{00000000-0008-0000-04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28575</xdr:rowOff>
        </xdr:from>
        <xdr:to>
          <xdr:col>2</xdr:col>
          <xdr:colOff>171450</xdr:colOff>
          <xdr:row>35</xdr:row>
          <xdr:rowOff>9525</xdr:rowOff>
        </xdr:to>
        <xdr:sp macro="" textlink="">
          <xdr:nvSpPr>
            <xdr:cNvPr id="35846" name="Object 6" hidden="1">
              <a:extLst>
                <a:ext uri="{63B3BB69-23CF-44E3-9099-C40C66FF867C}">
                  <a14:compatExt spid="_x0000_s35846"/>
                </a:ext>
                <a:ext uri="{FF2B5EF4-FFF2-40B4-BE49-F238E27FC236}">
                  <a16:creationId xmlns:a16="http://schemas.microsoft.com/office/drawing/2014/main" id="{00000000-0008-0000-0400-00000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28575</xdr:rowOff>
        </xdr:from>
        <xdr:to>
          <xdr:col>2</xdr:col>
          <xdr:colOff>171450</xdr:colOff>
          <xdr:row>36</xdr:row>
          <xdr:rowOff>9525</xdr:rowOff>
        </xdr:to>
        <xdr:sp macro="" textlink="">
          <xdr:nvSpPr>
            <xdr:cNvPr id="35847" name="Object 7"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200025</xdr:rowOff>
        </xdr:from>
        <xdr:to>
          <xdr:col>2</xdr:col>
          <xdr:colOff>142875</xdr:colOff>
          <xdr:row>29</xdr:row>
          <xdr:rowOff>342900</xdr:rowOff>
        </xdr:to>
        <xdr:sp macro="" textlink="">
          <xdr:nvSpPr>
            <xdr:cNvPr id="35848" name="Object 8" hidden="1">
              <a:extLst>
                <a:ext uri="{63B3BB69-23CF-44E3-9099-C40C66FF867C}">
                  <a14:compatExt spid="_x0000_s35848"/>
                </a:ext>
                <a:ext uri="{FF2B5EF4-FFF2-40B4-BE49-F238E27FC236}">
                  <a16:creationId xmlns:a16="http://schemas.microsoft.com/office/drawing/2014/main" id="{00000000-0008-0000-04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35</xdr:row>
          <xdr:rowOff>180975</xdr:rowOff>
        </xdr:from>
        <xdr:to>
          <xdr:col>6</xdr:col>
          <xdr:colOff>400050</xdr:colOff>
          <xdr:row>37</xdr:row>
          <xdr:rowOff>28575</xdr:rowOff>
        </xdr:to>
        <xdr:sp macro="" textlink="">
          <xdr:nvSpPr>
            <xdr:cNvPr id="35849" name="Object 9" hidden="1">
              <a:extLst>
                <a:ext uri="{63B3BB69-23CF-44E3-9099-C40C66FF867C}">
                  <a14:compatExt spid="_x0000_s35849"/>
                </a:ext>
                <a:ext uri="{FF2B5EF4-FFF2-40B4-BE49-F238E27FC236}">
                  <a16:creationId xmlns:a16="http://schemas.microsoft.com/office/drawing/2014/main" id="{00000000-0008-0000-0400-00000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2371725</xdr:colOff>
          <xdr:row>25</xdr:row>
          <xdr:rowOff>152400</xdr:rowOff>
        </xdr:from>
        <xdr:to>
          <xdr:col>2</xdr:col>
          <xdr:colOff>228600</xdr:colOff>
          <xdr:row>27</xdr:row>
          <xdr:rowOff>28575</xdr:rowOff>
        </xdr:to>
        <xdr:sp macro="" textlink="">
          <xdr:nvSpPr>
            <xdr:cNvPr id="35850" name="Object 10" hidden="1">
              <a:extLst>
                <a:ext uri="{63B3BB69-23CF-44E3-9099-C40C66FF867C}">
                  <a14:compatExt spid="_x0000_s35850"/>
                </a:ext>
                <a:ext uri="{FF2B5EF4-FFF2-40B4-BE49-F238E27FC236}">
                  <a16:creationId xmlns:a16="http://schemas.microsoft.com/office/drawing/2014/main" id="{00000000-0008-0000-04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36</xdr:row>
          <xdr:rowOff>180975</xdr:rowOff>
        </xdr:from>
        <xdr:to>
          <xdr:col>6</xdr:col>
          <xdr:colOff>400050</xdr:colOff>
          <xdr:row>38</xdr:row>
          <xdr:rowOff>28575</xdr:rowOff>
        </xdr:to>
        <xdr:sp macro="" textlink="">
          <xdr:nvSpPr>
            <xdr:cNvPr id="35851" name="Object 11" hidden="1">
              <a:extLst>
                <a:ext uri="{63B3BB69-23CF-44E3-9099-C40C66FF867C}">
                  <a14:compatExt spid="_x0000_s35851"/>
                </a:ext>
                <a:ext uri="{FF2B5EF4-FFF2-40B4-BE49-F238E27FC236}">
                  <a16:creationId xmlns:a16="http://schemas.microsoft.com/office/drawing/2014/main" id="{00000000-0008-0000-04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24</xdr:row>
          <xdr:rowOff>0</xdr:rowOff>
        </xdr:from>
        <xdr:to>
          <xdr:col>11</xdr:col>
          <xdr:colOff>733425</xdr:colOff>
          <xdr:row>28</xdr:row>
          <xdr:rowOff>9525</xdr:rowOff>
        </xdr:to>
        <xdr:sp macro="" textlink="">
          <xdr:nvSpPr>
            <xdr:cNvPr id="35852" name="Object 12" hidden="1">
              <a:extLst>
                <a:ext uri="{63B3BB69-23CF-44E3-9099-C40C66FF867C}">
                  <a14:compatExt spid="_x0000_s35852"/>
                </a:ext>
                <a:ext uri="{FF2B5EF4-FFF2-40B4-BE49-F238E27FC236}">
                  <a16:creationId xmlns:a16="http://schemas.microsoft.com/office/drawing/2014/main" id="{00000000-0008-0000-04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9</xdr:col>
      <xdr:colOff>0</xdr:colOff>
      <xdr:row>5</xdr:row>
      <xdr:rowOff>0</xdr:rowOff>
    </xdr:from>
    <xdr:to>
      <xdr:col>12</xdr:col>
      <xdr:colOff>223955</xdr:colOff>
      <xdr:row>13</xdr:row>
      <xdr:rowOff>97677</xdr:rowOff>
    </xdr:to>
    <xdr:pic>
      <xdr:nvPicPr>
        <xdr:cNvPr id="15" name="Grafik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1134725" y="1104900"/>
          <a:ext cx="3548180" cy="1621677"/>
        </a:xfrm>
        <a:prstGeom prst="rect">
          <a:avLst/>
        </a:prstGeom>
      </xdr:spPr>
    </xdr:pic>
    <xdr:clientData/>
  </xdr:twoCellAnchor>
  <xdr:twoCellAnchor editAs="oneCell">
    <xdr:from>
      <xdr:col>9</xdr:col>
      <xdr:colOff>0</xdr:colOff>
      <xdr:row>14</xdr:row>
      <xdr:rowOff>0</xdr:rowOff>
    </xdr:from>
    <xdr:to>
      <xdr:col>12</xdr:col>
      <xdr:colOff>217858</xdr:colOff>
      <xdr:row>22</xdr:row>
      <xdr:rowOff>97677</xdr:rowOff>
    </xdr:to>
    <xdr:pic>
      <xdr:nvPicPr>
        <xdr:cNvPr id="16" name="Grafik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2"/>
        <a:stretch>
          <a:fillRect/>
        </a:stretch>
      </xdr:blipFill>
      <xdr:spPr>
        <a:xfrm>
          <a:off x="11134725" y="2819400"/>
          <a:ext cx="3542083" cy="16216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190500</xdr:colOff>
          <xdr:row>18</xdr:row>
          <xdr:rowOff>200025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31</xdr:row>
          <xdr:rowOff>57150</xdr:rowOff>
        </xdr:from>
        <xdr:to>
          <xdr:col>2</xdr:col>
          <xdr:colOff>209550</xdr:colOff>
          <xdr:row>31</xdr:row>
          <xdr:rowOff>276225</xdr:rowOff>
        </xdr:to>
        <xdr:sp macro="" textlink="">
          <xdr:nvSpPr>
            <xdr:cNvPr id="29698" name="Object 2"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29</xdr:row>
          <xdr:rowOff>314325</xdr:rowOff>
        </xdr:from>
        <xdr:to>
          <xdr:col>2</xdr:col>
          <xdr:colOff>152400</xdr:colOff>
          <xdr:row>31</xdr:row>
          <xdr:rowOff>38100</xdr:rowOff>
        </xdr:to>
        <xdr:sp macro="" textlink="">
          <xdr:nvSpPr>
            <xdr:cNvPr id="29700" name="Object 4" hidden="1">
              <a:extLst>
                <a:ext uri="{63B3BB69-23CF-44E3-9099-C40C66FF867C}">
                  <a14:compatExt spid="_x0000_s29700"/>
                </a:ext>
                <a:ext uri="{FF2B5EF4-FFF2-40B4-BE49-F238E27FC236}">
                  <a16:creationId xmlns:a16="http://schemas.microsoft.com/office/drawing/2014/main" id="{00000000-0008-0000-05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27</xdr:row>
          <xdr:rowOff>66675</xdr:rowOff>
        </xdr:from>
        <xdr:to>
          <xdr:col>2</xdr:col>
          <xdr:colOff>171450</xdr:colOff>
          <xdr:row>27</xdr:row>
          <xdr:rowOff>285750</xdr:rowOff>
        </xdr:to>
        <xdr:sp macro="" textlink="">
          <xdr:nvSpPr>
            <xdr:cNvPr id="29701" name="Object 5" hidden="1">
              <a:extLst>
                <a:ext uri="{63B3BB69-23CF-44E3-9099-C40C66FF867C}">
                  <a14:compatExt spid="_x0000_s29701"/>
                </a:ext>
                <a:ext uri="{FF2B5EF4-FFF2-40B4-BE49-F238E27FC236}">
                  <a16:creationId xmlns:a16="http://schemas.microsoft.com/office/drawing/2014/main" id="{00000000-0008-0000-05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85725</xdr:rowOff>
        </xdr:from>
        <xdr:to>
          <xdr:col>2</xdr:col>
          <xdr:colOff>95250</xdr:colOff>
          <xdr:row>29</xdr:row>
          <xdr:rowOff>247650</xdr:rowOff>
        </xdr:to>
        <xdr:sp macro="" textlink="">
          <xdr:nvSpPr>
            <xdr:cNvPr id="29702" name="Object 6" hidden="1">
              <a:extLst>
                <a:ext uri="{63B3BB69-23CF-44E3-9099-C40C66FF867C}">
                  <a14:compatExt spid="_x0000_s29702"/>
                </a:ext>
                <a:ext uri="{FF2B5EF4-FFF2-40B4-BE49-F238E27FC236}">
                  <a16:creationId xmlns:a16="http://schemas.microsoft.com/office/drawing/2014/main" id="{00000000-0008-0000-05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26</xdr:row>
          <xdr:rowOff>28575</xdr:rowOff>
        </xdr:from>
        <xdr:to>
          <xdr:col>2</xdr:col>
          <xdr:colOff>133350</xdr:colOff>
          <xdr:row>26</xdr:row>
          <xdr:rowOff>152400</xdr:rowOff>
        </xdr:to>
        <xdr:sp macro="" textlink="">
          <xdr:nvSpPr>
            <xdr:cNvPr id="29705" name="Object 9" hidden="1">
              <a:extLst>
                <a:ext uri="{63B3BB69-23CF-44E3-9099-C40C66FF867C}">
                  <a14:compatExt spid="_x0000_s29705"/>
                </a:ext>
                <a:ext uri="{FF2B5EF4-FFF2-40B4-BE49-F238E27FC236}">
                  <a16:creationId xmlns:a16="http://schemas.microsoft.com/office/drawing/2014/main" id="{00000000-0008-0000-05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18</xdr:row>
          <xdr:rowOff>0</xdr:rowOff>
        </xdr:from>
        <xdr:to>
          <xdr:col>2</xdr:col>
          <xdr:colOff>190500</xdr:colOff>
          <xdr:row>18</xdr:row>
          <xdr:rowOff>200025</xdr:rowOff>
        </xdr:to>
        <xdr:sp macro="" textlink="">
          <xdr:nvSpPr>
            <xdr:cNvPr id="24577" name="Object 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30</xdr:row>
          <xdr:rowOff>57150</xdr:rowOff>
        </xdr:from>
        <xdr:to>
          <xdr:col>2</xdr:col>
          <xdr:colOff>209550</xdr:colOff>
          <xdr:row>30</xdr:row>
          <xdr:rowOff>276225</xdr:rowOff>
        </xdr:to>
        <xdr:sp macro="" textlink="">
          <xdr:nvSpPr>
            <xdr:cNvPr id="24578" name="Object 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26</xdr:row>
          <xdr:rowOff>28575</xdr:rowOff>
        </xdr:from>
        <xdr:to>
          <xdr:col>2</xdr:col>
          <xdr:colOff>133350</xdr:colOff>
          <xdr:row>26</xdr:row>
          <xdr:rowOff>152400</xdr:rowOff>
        </xdr:to>
        <xdr:sp macro="" textlink="">
          <xdr:nvSpPr>
            <xdr:cNvPr id="24579" name="Object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xdr:row>
          <xdr:rowOff>361950</xdr:rowOff>
        </xdr:from>
        <xdr:to>
          <xdr:col>2</xdr:col>
          <xdr:colOff>171450</xdr:colOff>
          <xdr:row>30</xdr:row>
          <xdr:rowOff>28575</xdr:rowOff>
        </xdr:to>
        <xdr:sp macro="" textlink="">
          <xdr:nvSpPr>
            <xdr:cNvPr id="24580" name="Object 4"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27</xdr:row>
          <xdr:rowOff>66675</xdr:rowOff>
        </xdr:from>
        <xdr:to>
          <xdr:col>2</xdr:col>
          <xdr:colOff>171450</xdr:colOff>
          <xdr:row>27</xdr:row>
          <xdr:rowOff>285750</xdr:rowOff>
        </xdr:to>
        <xdr:sp macro="" textlink="">
          <xdr:nvSpPr>
            <xdr:cNvPr id="24581" name="Object 5"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rojekte%20I\IHS01\7%20Messungen%20Windkanal\73%20Auswertungen\Windlastauslegung_Ilioflex%2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s-euderd-srv1\mosys\Projekte%20I\IHS01\7%20Messungen%20Windkanal\73%20Auswertungen\Windlastauslegung_Ilioflex%2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rojekte%20I\IHS01\7%20Messungen%20Windkanal\73%20Auswertungen\Windlastauslegung_Ilioflex%20(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rd/departments/Engineering/05_Zwischenablage/LDU/Tool%20LLI/MSR03_III_S_Tool_V6_BoM_test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c-welkstr\Projekte\Users\RodieLieb\Documents\Ausarbeitungen%20Anderer\Normen\Belgien\Version%202.1\hbs-v2.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s-euderd-srv1\mosys\Users\RodieLieb\Documents\Exceltabellen\Wind\Version%202.1\hbs-v2.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c-welkstr\Projekte\Users\RodieLieb\Documents\Exceltabellen\Wind\Version%202.1\hbs-v2.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flangenscheidt\AppData\Local\Microsoft\Windows\Temporary%20Internet%20Files\Content.Outlook\YUQXDL35\All%20In%20One%20(Point%20Load%20EU%20Polar%20South-System).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ms-euderd-srv1\mosys\Users\flangenscheidt\AppData\Local\Microsoft\Windows\Temporary%20Internet%20Files\Content.Outlook\YUQXDL35\All%20In%20One%20(Point%20Load%20EU%20Polar%20South-System).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ms-euderd-srv1\mosys\Projekte%20M\MSR03\7%20Messungen%20Windkanal\73%20Auswertungen\Windlastauslegung_MSR0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U:\Tool%20LLI\Tool_OW_V6_test1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Projekte%20M\MSR03\7%20Messungen%20Windkanal\73%20Auswertungen\Windlastauslegung_MSR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ruckbereiche"/>
      <sheetName val="DIN EN 1991-1-4 (DE)"/>
      <sheetName val="Auflastberechnung"/>
      <sheetName val="Interne Berechnungsvorgaben"/>
      <sheetName val="Bilder"/>
    </sheetNames>
    <sheetDataSet>
      <sheetData sheetId="0"/>
      <sheetData sheetId="1"/>
      <sheetData sheetId="2">
        <row r="202">
          <cell r="B202">
            <v>1</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ruckbereiche"/>
      <sheetName val="DIN EN 1991-1-4 (DE)"/>
      <sheetName val="Auflastberechnung"/>
      <sheetName val="Interne Berechnungsvorgaben"/>
      <sheetName val="Bilder"/>
    </sheetNames>
    <sheetDataSet>
      <sheetData sheetId="0"/>
      <sheetData sheetId="1"/>
      <sheetData sheetId="2">
        <row r="202">
          <cell r="B202">
            <v>1</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ruckbereiche"/>
      <sheetName val="DIN EN 1991-1-4 (DE)"/>
      <sheetName val="Auflastberechnung"/>
      <sheetName val="Interne Berechnungsvorgaben"/>
      <sheetName val="Bilder"/>
    </sheetNames>
    <sheetDataSet>
      <sheetData sheetId="0"/>
      <sheetData sheetId="1"/>
      <sheetData sheetId="2">
        <row r="202">
          <cell r="B202">
            <v>1</v>
          </cell>
        </row>
      </sheetData>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aten"/>
      <sheetName val="Moduleingabe"/>
      <sheetName val="Ballastplan"/>
      <sheetName val="Datenausgabe"/>
      <sheetName val="Output"/>
      <sheetName val="EN 1991-1-4 (EU)"/>
      <sheetName val="CSN EN 1991-1-4 (CZ)"/>
      <sheetName val="STN EN 1991-1-4 (SK)"/>
      <sheetName val="DS EN 1991-1-4 (DK)"/>
      <sheetName val="NP EN 1991-1-4 (PT)"/>
      <sheetName val="PN EN 1991-1-4 (PL)"/>
      <sheetName val="DIN EN 1991-1-4 (DE)"/>
      <sheetName val="NBN EN 1991-1-4 (B)"/>
      <sheetName val="NF EN 1991-1-4 (FR)"/>
      <sheetName val="BS EN 1991-1-4 (GB)"/>
      <sheetName val="UNI EN 1991-1-4 (IT)"/>
      <sheetName val="NEN EN 1991-1-4 (NL)"/>
      <sheetName val="ASCE 7-10 (USA)"/>
      <sheetName val="BSL of Japan (JP)"/>
      <sheetName val="AIJ of Japan (JP)"/>
      <sheetName val="Ballastberechnung"/>
      <sheetName val="Interne Berechnungsvorgaben"/>
      <sheetName val="Interne Umrechnung Modulfläche"/>
      <sheetName val="BoMBer"/>
      <sheetName val="Tabelle2"/>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ow r="69">
          <cell r="F69" t="str">
            <v>Azoren</v>
          </cell>
        </row>
        <row r="70">
          <cell r="F70" t="str">
            <v>Madeira</v>
          </cell>
        </row>
        <row r="71">
          <cell r="F71" t="str">
            <v>Festland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8">
          <cell r="D18">
            <v>5.5</v>
          </cell>
        </row>
      </sheetData>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Lamellentypen"/>
      <sheetName val="Windzonen"/>
      <sheetName val="Drucken"/>
      <sheetName val="Beiwerte"/>
    </sheetNames>
    <sheetDataSet>
      <sheetData sheetId="0" refreshError="1">
        <row r="17">
          <cell r="E17">
            <v>0</v>
          </cell>
        </row>
      </sheetData>
      <sheetData sheetId="1" refreshError="1"/>
      <sheetData sheetId="2" refreshError="1"/>
      <sheetData sheetId="3" refreshError="1"/>
      <sheetData sheetId="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Lamellentypen"/>
      <sheetName val="Windzonen"/>
      <sheetName val="Drucken"/>
      <sheetName val="Beiwerte"/>
    </sheetNames>
    <sheetDataSet>
      <sheetData sheetId="0" refreshError="1">
        <row r="17">
          <cell r="E17">
            <v>0</v>
          </cell>
        </row>
      </sheetData>
      <sheetData sheetId="1" refreshError="1"/>
      <sheetData sheetId="2" refreshError="1"/>
      <sheetData sheetId="3" refreshError="1"/>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Lamellentypen"/>
      <sheetName val="Windzonen"/>
      <sheetName val="Drucken"/>
      <sheetName val="Beiwerte"/>
    </sheetNames>
    <sheetDataSet>
      <sheetData sheetId="0" refreshError="1">
        <row r="17">
          <cell r="E17">
            <v>0</v>
          </cell>
        </row>
      </sheetData>
      <sheetData sheetId="1" refreshError="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S PB10deg genII"/>
      <sheetName val="Tool Description"/>
      <sheetName val="REF"/>
      <sheetName val="Master Matrix"/>
      <sheetName val="(PB&amp;GB) With Friction"/>
      <sheetName val="(PB&amp;GB) Without Friction"/>
      <sheetName val="MA Calcs"/>
      <sheetName val="Main Input Page"/>
      <sheetName val="ACAD TABLES"/>
      <sheetName val="PSF Compensation"/>
      <sheetName val="Net Pressure-DownForce"/>
      <sheetName val="Array Breakdown"/>
      <sheetName val="Revision History"/>
      <sheetName val="PLS PANDA"/>
      <sheetName val="PLS GB10deg genII"/>
      <sheetName val="PLS PB5deg genII"/>
      <sheetName val="PLS KB 10deg"/>
      <sheetName val="PLS KB 15deg"/>
      <sheetName val="PLS KB 20deg"/>
      <sheetName val="Polar Bear 10"/>
      <sheetName val="Grizzly Bear 10"/>
      <sheetName val="Polar Bear 5"/>
      <sheetName val="Kodiak 10"/>
      <sheetName val="Kodiak 15"/>
      <sheetName val="Kodiak 20"/>
      <sheetName val="Sheet1"/>
    </sheetNames>
    <sheetDataSet>
      <sheetData sheetId="0" refreshError="1"/>
      <sheetData sheetId="1" refreshError="1"/>
      <sheetData sheetId="2" refreshError="1"/>
      <sheetData sheetId="3" refreshError="1">
        <row r="4">
          <cell r="C4" t="str">
            <v>1Soltech - 1STH-230-260_S</v>
          </cell>
          <cell r="D4" t="str">
            <v>Standard Claw</v>
          </cell>
          <cell r="E4">
            <v>5000005</v>
          </cell>
          <cell r="F4">
            <v>38.976377952755911</v>
          </cell>
          <cell r="G4">
            <v>65.039370078740163</v>
          </cell>
          <cell r="H4">
            <v>1.9685039370078741</v>
          </cell>
          <cell r="I4">
            <v>200010704</v>
          </cell>
          <cell r="J4">
            <v>200010804</v>
          </cell>
          <cell r="K4">
            <v>200013804</v>
          </cell>
          <cell r="L4">
            <v>200016304</v>
          </cell>
          <cell r="M4">
            <v>500012569</v>
          </cell>
          <cell r="N4">
            <v>500012669</v>
          </cell>
          <cell r="O4">
            <v>500012569</v>
          </cell>
          <cell r="P4">
            <v>500012669</v>
          </cell>
          <cell r="Q4">
            <v>11.725279318414811</v>
          </cell>
          <cell r="R4">
            <v>10.478642249707667</v>
          </cell>
          <cell r="S4">
            <v>4.9440996728708777</v>
          </cell>
          <cell r="T4">
            <v>4.9440996728708777</v>
          </cell>
          <cell r="U4">
            <v>11.725279318414811</v>
          </cell>
          <cell r="V4">
            <v>10.478642249707667</v>
          </cell>
          <cell r="W4">
            <v>50</v>
          </cell>
          <cell r="X4">
            <v>35.220472440944881</v>
          </cell>
          <cell r="Y4">
            <v>66.510826771653541</v>
          </cell>
          <cell r="Z4">
            <v>35.220472440944881</v>
          </cell>
          <cell r="AA4">
            <v>66.510826771653541</v>
          </cell>
          <cell r="AB4">
            <v>35.220472440944881</v>
          </cell>
          <cell r="AC4">
            <v>66.510826771653541</v>
          </cell>
          <cell r="AD4">
            <v>66.510826771653541</v>
          </cell>
          <cell r="AE4">
            <v>65.539370078740163</v>
          </cell>
          <cell r="AF4">
            <v>23.539370078740163</v>
          </cell>
          <cell r="AG4">
            <v>39.846456692913392</v>
          </cell>
          <cell r="AH4" t="str">
            <v>N</v>
          </cell>
          <cell r="AI4">
            <v>52.92</v>
          </cell>
          <cell r="AJ4">
            <v>24</v>
          </cell>
          <cell r="AK4" t="str">
            <v>TBD</v>
          </cell>
          <cell r="AL4" t="str">
            <v>Y</v>
          </cell>
          <cell r="AM4">
            <v>200018403</v>
          </cell>
          <cell r="AN4">
            <v>200028403</v>
          </cell>
          <cell r="AO4">
            <v>200018303</v>
          </cell>
          <cell r="AP4">
            <v>200028303</v>
          </cell>
          <cell r="AQ4">
            <v>200018203</v>
          </cell>
          <cell r="AR4">
            <v>200028203</v>
          </cell>
          <cell r="AS4">
            <v>14.555555555555557</v>
          </cell>
          <cell r="AT4">
            <v>20.110973161651764</v>
          </cell>
          <cell r="AU4">
            <v>15.002886128524771</v>
          </cell>
          <cell r="AV4">
            <v>10.244439167746933</v>
          </cell>
          <cell r="AW4">
            <v>41317</v>
          </cell>
        </row>
        <row r="5">
          <cell r="C5" t="str">
            <v>Aleo - S18 U 225-250_M</v>
          </cell>
          <cell r="D5" t="str">
            <v>Short Clamp Multi Claw</v>
          </cell>
          <cell r="E5">
            <v>500000701</v>
          </cell>
          <cell r="F5">
            <v>38.976377952755911</v>
          </cell>
          <cell r="G5">
            <v>65.354330708661422</v>
          </cell>
          <cell r="H5">
            <v>1.9685039370078741</v>
          </cell>
          <cell r="I5">
            <v>200010704</v>
          </cell>
          <cell r="J5">
            <v>200010804</v>
          </cell>
          <cell r="K5">
            <v>200013804</v>
          </cell>
          <cell r="L5">
            <v>200016304</v>
          </cell>
          <cell r="M5">
            <v>500012568</v>
          </cell>
          <cell r="N5">
            <v>500012668</v>
          </cell>
          <cell r="O5">
            <v>500012569</v>
          </cell>
          <cell r="P5">
            <v>500012669</v>
          </cell>
          <cell r="Q5">
            <v>11.033360048162105</v>
          </cell>
          <cell r="R5">
            <v>9.8618989223878799</v>
          </cell>
          <cell r="S5">
            <v>4.655419330639778</v>
          </cell>
          <cell r="T5">
            <v>4.655419330639778</v>
          </cell>
          <cell r="U5">
            <v>11.033360048162105</v>
          </cell>
          <cell r="V5">
            <v>9.8618989223878799</v>
          </cell>
          <cell r="W5">
            <v>40</v>
          </cell>
          <cell r="X5">
            <v>37.399212598425201</v>
          </cell>
          <cell r="Y5">
            <v>65.929724409448824</v>
          </cell>
          <cell r="Z5">
            <v>37.399212598425201</v>
          </cell>
          <cell r="AA5">
            <v>65.929724409448824</v>
          </cell>
          <cell r="AB5">
            <v>37.399212598425201</v>
          </cell>
          <cell r="AC5">
            <v>65.929724409448824</v>
          </cell>
          <cell r="AD5">
            <v>65.929724409448824</v>
          </cell>
          <cell r="AE5">
            <v>65.854330708661422</v>
          </cell>
          <cell r="AF5">
            <v>23.854330708661422</v>
          </cell>
          <cell r="AG5">
            <v>40.240157480314963</v>
          </cell>
          <cell r="AH5" t="str">
            <v>Y</v>
          </cell>
          <cell r="AI5">
            <v>46.305</v>
          </cell>
          <cell r="AJ5">
            <v>21</v>
          </cell>
          <cell r="AK5" t="str">
            <v>TBD</v>
          </cell>
          <cell r="AL5" t="str">
            <v>Y</v>
          </cell>
          <cell r="AM5">
            <v>200018403</v>
          </cell>
          <cell r="AN5">
            <v>200028403</v>
          </cell>
          <cell r="AO5">
            <v>200018303</v>
          </cell>
          <cell r="AP5">
            <v>200028303</v>
          </cell>
          <cell r="AQ5">
            <v>200018203</v>
          </cell>
          <cell r="AR5">
            <v>200028203</v>
          </cell>
          <cell r="AS5">
            <v>14.555555555555557</v>
          </cell>
          <cell r="AT5">
            <v>19.905846229389603</v>
          </cell>
          <cell r="AU5">
            <v>14.852704372847956</v>
          </cell>
          <cell r="AV5">
            <v>10.143144054640397</v>
          </cell>
          <cell r="AW5">
            <v>41190</v>
          </cell>
        </row>
        <row r="6">
          <cell r="C6" t="str">
            <v>Aleo - S79 U 235-245_M</v>
          </cell>
          <cell r="D6" t="str">
            <v>Short Clamp Multi Claw</v>
          </cell>
          <cell r="E6">
            <v>500000701</v>
          </cell>
          <cell r="F6">
            <v>38.976377952755911</v>
          </cell>
          <cell r="G6">
            <v>65.354330708661422</v>
          </cell>
          <cell r="H6">
            <v>1.9685039370078741</v>
          </cell>
          <cell r="I6">
            <v>200010704</v>
          </cell>
          <cell r="J6">
            <v>200010804</v>
          </cell>
          <cell r="K6">
            <v>200013804</v>
          </cell>
          <cell r="L6">
            <v>200016304</v>
          </cell>
          <cell r="M6">
            <v>500012568</v>
          </cell>
          <cell r="N6">
            <v>500012668</v>
          </cell>
          <cell r="O6">
            <v>500012569</v>
          </cell>
          <cell r="P6">
            <v>500012669</v>
          </cell>
          <cell r="Q6">
            <v>11.033360048162105</v>
          </cell>
          <cell r="R6">
            <v>9.8618989223878799</v>
          </cell>
          <cell r="S6">
            <v>4.655419330639778</v>
          </cell>
          <cell r="T6">
            <v>4.655419330639778</v>
          </cell>
          <cell r="U6">
            <v>11.033360048162105</v>
          </cell>
          <cell r="V6">
            <v>9.8618989223878799</v>
          </cell>
          <cell r="W6">
            <v>40</v>
          </cell>
          <cell r="X6">
            <v>37.399212598425201</v>
          </cell>
          <cell r="Y6">
            <v>65.929724409448824</v>
          </cell>
          <cell r="Z6">
            <v>37.399212598425201</v>
          </cell>
          <cell r="AA6">
            <v>65.929724409448824</v>
          </cell>
          <cell r="AB6">
            <v>37.399212598425201</v>
          </cell>
          <cell r="AC6">
            <v>65.929724409448824</v>
          </cell>
          <cell r="AD6">
            <v>65.929724409448824</v>
          </cell>
          <cell r="AE6">
            <v>65.854330708661422</v>
          </cell>
          <cell r="AF6">
            <v>23.854330708661422</v>
          </cell>
          <cell r="AG6">
            <v>40.240157480314963</v>
          </cell>
          <cell r="AH6" t="str">
            <v>Y</v>
          </cell>
          <cell r="AI6">
            <v>46.305</v>
          </cell>
          <cell r="AJ6">
            <v>21</v>
          </cell>
          <cell r="AK6" t="str">
            <v>TBD</v>
          </cell>
          <cell r="AL6" t="str">
            <v>Y</v>
          </cell>
          <cell r="AM6">
            <v>200018403</v>
          </cell>
          <cell r="AN6">
            <v>200028403</v>
          </cell>
          <cell r="AO6">
            <v>200018303</v>
          </cell>
          <cell r="AP6">
            <v>200028303</v>
          </cell>
          <cell r="AQ6">
            <v>200018203</v>
          </cell>
          <cell r="AR6">
            <v>200028203</v>
          </cell>
          <cell r="AS6">
            <v>14.555555555555557</v>
          </cell>
          <cell r="AT6">
            <v>19.905846229389603</v>
          </cell>
          <cell r="AU6">
            <v>14.852704372847956</v>
          </cell>
          <cell r="AV6">
            <v>10.143144054640397</v>
          </cell>
          <cell r="AW6">
            <v>41190</v>
          </cell>
        </row>
        <row r="7">
          <cell r="C7" t="str">
            <v>Avim - A18 U 225-250_M</v>
          </cell>
          <cell r="D7" t="str">
            <v>Short Clamp Multi Claw</v>
          </cell>
          <cell r="E7">
            <v>500000701</v>
          </cell>
          <cell r="F7">
            <v>38.976377952755911</v>
          </cell>
          <cell r="G7">
            <v>65.354330708661422</v>
          </cell>
          <cell r="H7">
            <v>1.9685039370078741</v>
          </cell>
          <cell r="I7">
            <v>200010704</v>
          </cell>
          <cell r="J7">
            <v>200010804</v>
          </cell>
          <cell r="K7">
            <v>200013804</v>
          </cell>
          <cell r="L7">
            <v>200016304</v>
          </cell>
          <cell r="M7">
            <v>500012568</v>
          </cell>
          <cell r="N7">
            <v>500012668</v>
          </cell>
          <cell r="O7">
            <v>500012569</v>
          </cell>
          <cell r="P7">
            <v>500012669</v>
          </cell>
          <cell r="Q7">
            <v>11.033360048162105</v>
          </cell>
          <cell r="R7">
            <v>9.8618989223878799</v>
          </cell>
          <cell r="S7">
            <v>4.655419330639778</v>
          </cell>
          <cell r="T7">
            <v>4.655419330639778</v>
          </cell>
          <cell r="U7">
            <v>11.033360048162105</v>
          </cell>
          <cell r="V7">
            <v>9.8618989223878799</v>
          </cell>
          <cell r="W7">
            <v>40</v>
          </cell>
          <cell r="X7">
            <v>37.399212598425201</v>
          </cell>
          <cell r="Y7">
            <v>65.929724409448824</v>
          </cell>
          <cell r="Z7">
            <v>37.399212598425201</v>
          </cell>
          <cell r="AA7">
            <v>65.929724409448824</v>
          </cell>
          <cell r="AB7">
            <v>37.399212598425201</v>
          </cell>
          <cell r="AC7">
            <v>65.929724409448824</v>
          </cell>
          <cell r="AD7">
            <v>65.929724409448824</v>
          </cell>
          <cell r="AE7">
            <v>65.854330708661422</v>
          </cell>
          <cell r="AF7">
            <v>23.854330708661422</v>
          </cell>
          <cell r="AG7">
            <v>40.240157480314963</v>
          </cell>
          <cell r="AH7" t="str">
            <v>Y</v>
          </cell>
          <cell r="AI7">
            <v>46.305</v>
          </cell>
          <cell r="AJ7">
            <v>21</v>
          </cell>
          <cell r="AK7" t="str">
            <v>TBD</v>
          </cell>
          <cell r="AL7" t="str">
            <v>Y</v>
          </cell>
          <cell r="AM7">
            <v>200018403</v>
          </cell>
          <cell r="AN7">
            <v>200028403</v>
          </cell>
          <cell r="AO7">
            <v>200018303</v>
          </cell>
          <cell r="AP7">
            <v>200028303</v>
          </cell>
          <cell r="AQ7">
            <v>200018203</v>
          </cell>
          <cell r="AR7">
            <v>200028203</v>
          </cell>
          <cell r="AS7">
            <v>14.555555555555557</v>
          </cell>
          <cell r="AT7">
            <v>19.905846229389603</v>
          </cell>
          <cell r="AU7">
            <v>14.852704372847956</v>
          </cell>
          <cell r="AV7">
            <v>10.143144054640397</v>
          </cell>
          <cell r="AW7">
            <v>41317</v>
          </cell>
        </row>
        <row r="8">
          <cell r="C8" t="str">
            <v>ASW (American Solar Wholesale) - AWS 230-250 M-P_S</v>
          </cell>
          <cell r="D8" t="str">
            <v>Standard Claw</v>
          </cell>
          <cell r="E8">
            <v>5000005</v>
          </cell>
          <cell r="F8">
            <v>38.976377952755911</v>
          </cell>
          <cell r="G8">
            <v>64.960629921259851</v>
          </cell>
          <cell r="H8">
            <v>1.9685039370078741</v>
          </cell>
          <cell r="I8">
            <v>200010704</v>
          </cell>
          <cell r="J8">
            <v>200010804</v>
          </cell>
          <cell r="K8">
            <v>200013804</v>
          </cell>
          <cell r="L8">
            <v>200016304</v>
          </cell>
          <cell r="M8">
            <v>500012569</v>
          </cell>
          <cell r="N8">
            <v>500012669</v>
          </cell>
          <cell r="O8">
            <v>500012569</v>
          </cell>
          <cell r="P8">
            <v>500012669</v>
          </cell>
          <cell r="Q8">
            <v>11.725279318414811</v>
          </cell>
          <cell r="R8">
            <v>10.478642249707667</v>
          </cell>
          <cell r="S8">
            <v>4.9440996728708777</v>
          </cell>
          <cell r="T8">
            <v>4.9440996728708777</v>
          </cell>
          <cell r="U8">
            <v>11.725279318414811</v>
          </cell>
          <cell r="V8">
            <v>10.478642249707667</v>
          </cell>
          <cell r="W8">
            <v>50</v>
          </cell>
          <cell r="X8">
            <v>35.220472440944881</v>
          </cell>
          <cell r="Y8">
            <v>66.43208661417323</v>
          </cell>
          <cell r="Z8">
            <v>35.220472440944881</v>
          </cell>
          <cell r="AA8">
            <v>66.43208661417323</v>
          </cell>
          <cell r="AB8">
            <v>35.220472440944881</v>
          </cell>
          <cell r="AC8">
            <v>66.43208661417323</v>
          </cell>
          <cell r="AD8">
            <v>66.43208661417323</v>
          </cell>
          <cell r="AE8">
            <v>65.460629921259851</v>
          </cell>
          <cell r="AF8">
            <v>23.460629921259848</v>
          </cell>
          <cell r="AG8">
            <v>39.846456692913392</v>
          </cell>
          <cell r="AH8" t="str">
            <v>Y</v>
          </cell>
          <cell r="AI8">
            <v>41.895000000000003</v>
          </cell>
          <cell r="AJ8">
            <v>19</v>
          </cell>
          <cell r="AK8" t="str">
            <v>TBD</v>
          </cell>
          <cell r="AL8" t="str">
            <v>Y</v>
          </cell>
          <cell r="AM8">
            <v>200018403</v>
          </cell>
          <cell r="AN8">
            <v>200028403</v>
          </cell>
          <cell r="AO8">
            <v>200018303</v>
          </cell>
          <cell r="AP8">
            <v>200028303</v>
          </cell>
          <cell r="AQ8">
            <v>200018203</v>
          </cell>
          <cell r="AR8">
            <v>200028203</v>
          </cell>
          <cell r="AS8">
            <v>14.555555555555557</v>
          </cell>
          <cell r="AT8">
            <v>20.110973161651764</v>
          </cell>
          <cell r="AU8">
            <v>15.002886128524771</v>
          </cell>
          <cell r="AV8">
            <v>10.244439167746933</v>
          </cell>
          <cell r="AW8">
            <v>41122</v>
          </cell>
        </row>
        <row r="9">
          <cell r="C9" t="str">
            <v>ASW (American Solar Wholesale) - AWS 260-280 M-P_S</v>
          </cell>
          <cell r="D9" t="str">
            <v>Standard Claw</v>
          </cell>
          <cell r="E9">
            <v>5000005</v>
          </cell>
          <cell r="F9">
            <v>38.976377952755911</v>
          </cell>
          <cell r="G9">
            <v>76.929133858267718</v>
          </cell>
          <cell r="H9">
            <v>1.9685039370078741</v>
          </cell>
          <cell r="I9">
            <v>200010707</v>
          </cell>
          <cell r="J9">
            <v>200010807</v>
          </cell>
          <cell r="K9">
            <v>200013807</v>
          </cell>
          <cell r="L9">
            <v>200016307</v>
          </cell>
          <cell r="M9">
            <v>500012581</v>
          </cell>
          <cell r="N9">
            <v>500012681</v>
          </cell>
          <cell r="O9">
            <v>500012581</v>
          </cell>
          <cell r="P9">
            <v>500012681</v>
          </cell>
          <cell r="Q9">
            <v>11.725279318414811</v>
          </cell>
          <cell r="R9">
            <v>10.478642249707667</v>
          </cell>
          <cell r="S9">
            <v>4.9440996728708777</v>
          </cell>
          <cell r="T9">
            <v>4.9440996728708777</v>
          </cell>
          <cell r="U9">
            <v>11.725279318414811</v>
          </cell>
          <cell r="V9">
            <v>10.478642249707667</v>
          </cell>
          <cell r="W9">
            <v>40</v>
          </cell>
          <cell r="X9">
            <v>35.220472440944881</v>
          </cell>
          <cell r="Y9">
            <v>78.400590551181111</v>
          </cell>
          <cell r="Z9">
            <v>35.220472440944881</v>
          </cell>
          <cell r="AA9">
            <v>78.400590551181111</v>
          </cell>
          <cell r="AB9">
            <v>35.220472440944881</v>
          </cell>
          <cell r="AC9">
            <v>78.400590551181111</v>
          </cell>
          <cell r="AD9">
            <v>78.400590551181111</v>
          </cell>
          <cell r="AE9">
            <v>77.429133858267718</v>
          </cell>
          <cell r="AF9">
            <v>35.429133858267726</v>
          </cell>
          <cell r="AG9">
            <v>39.846456692913392</v>
          </cell>
          <cell r="AH9" t="str">
            <v>Y</v>
          </cell>
          <cell r="AI9">
            <v>50.715000000000003</v>
          </cell>
          <cell r="AJ9">
            <v>23</v>
          </cell>
          <cell r="AK9" t="str">
            <v>TBD</v>
          </cell>
          <cell r="AL9" t="str">
            <v>Y</v>
          </cell>
          <cell r="AM9">
            <v>200018407</v>
          </cell>
          <cell r="AN9">
            <v>200028407</v>
          </cell>
          <cell r="AO9">
            <v>200018307</v>
          </cell>
          <cell r="AP9">
            <v>200028307</v>
          </cell>
          <cell r="AQ9">
            <v>200018207</v>
          </cell>
          <cell r="AR9">
            <v>200028207</v>
          </cell>
          <cell r="AS9">
            <v>17.222222222222221</v>
          </cell>
          <cell r="AT9">
            <v>20.110973161651764</v>
          </cell>
          <cell r="AU9">
            <v>15.002886128524771</v>
          </cell>
          <cell r="AV9">
            <v>10.244439167746933</v>
          </cell>
          <cell r="AW9">
            <v>41122</v>
          </cell>
        </row>
        <row r="10">
          <cell r="C10" t="str">
            <v>AUO Solar - BenQ - PM 225-245 P_L</v>
          </cell>
          <cell r="D10" t="str">
            <v>2nd Gen Long Claw (Conergy PM / AUO PM)</v>
          </cell>
          <cell r="E10">
            <v>500014410</v>
          </cell>
          <cell r="F10">
            <v>39.370078740157481</v>
          </cell>
          <cell r="G10">
            <v>65.669291338582681</v>
          </cell>
          <cell r="H10">
            <v>1.5748031496062993</v>
          </cell>
          <cell r="I10">
            <v>200010704</v>
          </cell>
          <cell r="J10">
            <v>200010804</v>
          </cell>
          <cell r="K10">
            <v>200013804</v>
          </cell>
          <cell r="L10">
            <v>200016304</v>
          </cell>
          <cell r="M10">
            <v>500012569</v>
          </cell>
          <cell r="N10">
            <v>500012669</v>
          </cell>
          <cell r="O10">
            <v>500012569</v>
          </cell>
          <cell r="P10">
            <v>500012669</v>
          </cell>
          <cell r="Q10">
            <v>10.41563801751966</v>
          </cell>
          <cell r="R10">
            <v>9.3110390770937794</v>
          </cell>
          <cell r="S10">
            <v>4.3972196268899051</v>
          </cell>
          <cell r="T10">
            <v>4.3972196268899051</v>
          </cell>
          <cell r="U10">
            <v>10.41563801751966</v>
          </cell>
          <cell r="V10">
            <v>9.3110390770937794</v>
          </cell>
          <cell r="W10">
            <v>50</v>
          </cell>
          <cell r="X10">
            <v>39.590551181102363</v>
          </cell>
          <cell r="Y10">
            <v>66.4242125984252</v>
          </cell>
          <cell r="Z10">
            <v>39.590551181102363</v>
          </cell>
          <cell r="AA10">
            <v>66.4242125984252</v>
          </cell>
          <cell r="AB10">
            <v>39.590551181102363</v>
          </cell>
          <cell r="AC10">
            <v>66.4242125984252</v>
          </cell>
          <cell r="AD10">
            <v>66.4242125984252</v>
          </cell>
          <cell r="AE10">
            <v>66.169291338582681</v>
          </cell>
          <cell r="AF10">
            <v>24.169291338582681</v>
          </cell>
          <cell r="AG10">
            <v>40.240157480314963</v>
          </cell>
          <cell r="AH10" t="str">
            <v>Y</v>
          </cell>
          <cell r="AI10">
            <v>44.1</v>
          </cell>
          <cell r="AJ10">
            <v>20</v>
          </cell>
          <cell r="AK10" t="str">
            <v>TBD</v>
          </cell>
          <cell r="AL10" t="str">
            <v>Y</v>
          </cell>
          <cell r="AM10">
            <v>200018403</v>
          </cell>
          <cell r="AN10">
            <v>200028403</v>
          </cell>
          <cell r="AO10">
            <v>200018303</v>
          </cell>
          <cell r="AP10">
            <v>200028303</v>
          </cell>
          <cell r="AQ10">
            <v>200018203</v>
          </cell>
          <cell r="AR10">
            <v>200028203</v>
          </cell>
          <cell r="AS10">
            <v>14.555555555555557</v>
          </cell>
          <cell r="AT10">
            <v>19.905846229389603</v>
          </cell>
          <cell r="AU10">
            <v>14.852704372847956</v>
          </cell>
          <cell r="AV10">
            <v>10.143144054640397</v>
          </cell>
          <cell r="AW10">
            <v>41122</v>
          </cell>
        </row>
        <row r="11">
          <cell r="C11" t="str">
            <v>Bosch - c-Si M60 220-240 _S</v>
          </cell>
          <cell r="D11" t="str">
            <v>Standard Claw</v>
          </cell>
          <cell r="E11">
            <v>5000005</v>
          </cell>
          <cell r="F11">
            <v>39.370078740157481</v>
          </cell>
          <cell r="G11">
            <v>64.566929133858267</v>
          </cell>
          <cell r="H11">
            <v>1.6535433070866143</v>
          </cell>
          <cell r="I11">
            <v>200010704</v>
          </cell>
          <cell r="J11">
            <v>200010804</v>
          </cell>
          <cell r="K11">
            <v>200013804</v>
          </cell>
          <cell r="L11">
            <v>200016304</v>
          </cell>
          <cell r="M11">
            <v>500012568</v>
          </cell>
          <cell r="N11">
            <v>500012668</v>
          </cell>
          <cell r="O11">
            <v>500012568</v>
          </cell>
          <cell r="P11">
            <v>500012668</v>
          </cell>
          <cell r="Q11">
            <v>11.619899404426564</v>
          </cell>
          <cell r="R11">
            <v>10.384731734052414</v>
          </cell>
          <cell r="S11">
            <v>4.9001710764679141</v>
          </cell>
          <cell r="T11">
            <v>4.9001710764679141</v>
          </cell>
          <cell r="U11">
            <v>11.619899404426564</v>
          </cell>
          <cell r="V11">
            <v>10.384731734052414</v>
          </cell>
          <cell r="W11">
            <v>50</v>
          </cell>
          <cell r="X11">
            <v>35.535433070866148</v>
          </cell>
          <cell r="Y11">
            <v>65.325000000000003</v>
          </cell>
          <cell r="Z11">
            <v>35.535433070866148</v>
          </cell>
          <cell r="AA11">
            <v>65.325000000000003</v>
          </cell>
          <cell r="AB11">
            <v>35.535433070866148</v>
          </cell>
          <cell r="AC11">
            <v>65.325000000000003</v>
          </cell>
          <cell r="AD11">
            <v>65.325000000000003</v>
          </cell>
          <cell r="AE11">
            <v>65.066929133858267</v>
          </cell>
          <cell r="AF11">
            <v>23.066929133858274</v>
          </cell>
          <cell r="AG11">
            <v>39.523622047244096</v>
          </cell>
          <cell r="AH11" t="str">
            <v>N</v>
          </cell>
          <cell r="AI11">
            <v>51.817500000000003</v>
          </cell>
          <cell r="AJ11">
            <v>23.5</v>
          </cell>
          <cell r="AK11" t="str">
            <v>TBD</v>
          </cell>
          <cell r="AL11" t="str">
            <v>Y</v>
          </cell>
          <cell r="AM11">
            <v>200018403</v>
          </cell>
          <cell r="AN11">
            <v>200028403</v>
          </cell>
          <cell r="AO11">
            <v>200018303</v>
          </cell>
          <cell r="AP11">
            <v>200028303</v>
          </cell>
          <cell r="AQ11">
            <v>200018203</v>
          </cell>
          <cell r="AR11">
            <v>200028203</v>
          </cell>
          <cell r="AS11">
            <v>14.555555555555557</v>
          </cell>
          <cell r="AT11">
            <v>20.282432747096749</v>
          </cell>
          <cell r="AU11">
            <v>15.12834858345393</v>
          </cell>
          <cell r="AV11">
            <v>10.329031799061514</v>
          </cell>
          <cell r="AW11">
            <v>40800</v>
          </cell>
        </row>
        <row r="12">
          <cell r="C12" t="str">
            <v>Bosch - c-Si M60 US30117 235-250_M</v>
          </cell>
          <cell r="D12" t="str">
            <v>Short Clamp Multi Claw</v>
          </cell>
          <cell r="E12">
            <v>500000701</v>
          </cell>
          <cell r="F12">
            <v>38.976377952755911</v>
          </cell>
          <cell r="G12">
            <v>65.354330708661422</v>
          </cell>
          <cell r="H12">
            <v>1.9685039370078741</v>
          </cell>
          <cell r="I12">
            <v>200010704</v>
          </cell>
          <cell r="J12">
            <v>200010804</v>
          </cell>
          <cell r="K12">
            <v>200013804</v>
          </cell>
          <cell r="L12">
            <v>200016304</v>
          </cell>
          <cell r="M12">
            <v>500012568</v>
          </cell>
          <cell r="N12">
            <v>500012668</v>
          </cell>
          <cell r="O12">
            <v>500012569</v>
          </cell>
          <cell r="P12">
            <v>500012669</v>
          </cell>
          <cell r="Q12">
            <v>11.033360048162105</v>
          </cell>
          <cell r="R12">
            <v>9.8618989223878799</v>
          </cell>
          <cell r="S12">
            <v>4.655419330639778</v>
          </cell>
          <cell r="T12">
            <v>4.655419330639778</v>
          </cell>
          <cell r="U12">
            <v>11.033360048162105</v>
          </cell>
          <cell r="V12">
            <v>9.8618989223878799</v>
          </cell>
          <cell r="W12">
            <v>40</v>
          </cell>
          <cell r="X12">
            <v>37.399212598425201</v>
          </cell>
          <cell r="Y12">
            <v>65.929724409448824</v>
          </cell>
          <cell r="Z12">
            <v>37.399212598425201</v>
          </cell>
          <cell r="AA12">
            <v>65.929724409448824</v>
          </cell>
          <cell r="AB12">
            <v>37.399212598425201</v>
          </cell>
          <cell r="AC12">
            <v>65.929724409448824</v>
          </cell>
          <cell r="AD12">
            <v>65.929724409448824</v>
          </cell>
          <cell r="AE12">
            <v>65.854330708661422</v>
          </cell>
          <cell r="AF12">
            <v>23.854330708661422</v>
          </cell>
          <cell r="AG12">
            <v>40.240157480314963</v>
          </cell>
          <cell r="AH12" t="str">
            <v>Y</v>
          </cell>
          <cell r="AI12">
            <v>46.305</v>
          </cell>
          <cell r="AJ12">
            <v>21</v>
          </cell>
          <cell r="AK12" t="str">
            <v>TBD</v>
          </cell>
          <cell r="AL12" t="str">
            <v>Y</v>
          </cell>
          <cell r="AM12">
            <v>200018403</v>
          </cell>
          <cell r="AN12">
            <v>200028403</v>
          </cell>
          <cell r="AO12">
            <v>200018303</v>
          </cell>
          <cell r="AP12">
            <v>200028303</v>
          </cell>
          <cell r="AQ12">
            <v>200018203</v>
          </cell>
          <cell r="AR12">
            <v>200028203</v>
          </cell>
          <cell r="AS12">
            <v>14.555555555555557</v>
          </cell>
          <cell r="AT12">
            <v>19.905846229389603</v>
          </cell>
          <cell r="AU12">
            <v>14.852704372847956</v>
          </cell>
          <cell r="AV12">
            <v>10.143144054640397</v>
          </cell>
          <cell r="AW12">
            <v>41190</v>
          </cell>
        </row>
        <row r="13">
          <cell r="C13" t="str">
            <v>BP Solar - BP-3215B_S</v>
          </cell>
          <cell r="D13" t="str">
            <v>Standard Claw</v>
          </cell>
          <cell r="E13">
            <v>5000005</v>
          </cell>
          <cell r="F13">
            <v>39.370078740157481</v>
          </cell>
          <cell r="G13">
            <v>65.629921259842519</v>
          </cell>
          <cell r="H13">
            <v>1.9685039370078741</v>
          </cell>
          <cell r="I13">
            <v>200010705</v>
          </cell>
          <cell r="J13">
            <v>200010805</v>
          </cell>
          <cell r="K13">
            <v>200013805</v>
          </cell>
          <cell r="L13">
            <v>200016305</v>
          </cell>
          <cell r="M13">
            <v>500012570</v>
          </cell>
          <cell r="N13">
            <v>500012670</v>
          </cell>
          <cell r="O13">
            <v>500012570</v>
          </cell>
          <cell r="P13">
            <v>500012670</v>
          </cell>
          <cell r="Q13">
            <v>11.389629250601068</v>
          </cell>
          <cell r="R13">
            <v>10.17949851730765</v>
          </cell>
          <cell r="S13">
            <v>4.8041332214318873</v>
          </cell>
          <cell r="T13">
            <v>4.8041332214318873</v>
          </cell>
          <cell r="U13">
            <v>11.389629250601068</v>
          </cell>
          <cell r="V13">
            <v>10.17949851730765</v>
          </cell>
          <cell r="W13">
            <v>30</v>
          </cell>
          <cell r="X13">
            <v>36.244094488188978</v>
          </cell>
          <cell r="Y13">
            <v>67.647834645669292</v>
          </cell>
          <cell r="Z13">
            <v>36.244094488188978</v>
          </cell>
          <cell r="AA13">
            <v>67.647834645669292</v>
          </cell>
          <cell r="AB13">
            <v>36.244094488188978</v>
          </cell>
          <cell r="AC13">
            <v>67.647834645669292</v>
          </cell>
          <cell r="AD13">
            <v>67.647834645669292</v>
          </cell>
          <cell r="AE13">
            <v>66.129921259842519</v>
          </cell>
          <cell r="AF13">
            <v>24.129921259842526</v>
          </cell>
          <cell r="AG13">
            <v>40.78346456692914</v>
          </cell>
          <cell r="AH13" t="str">
            <v>N</v>
          </cell>
          <cell r="AI13">
            <v>42.777000000000001</v>
          </cell>
          <cell r="AJ13">
            <v>19.399999999999999</v>
          </cell>
          <cell r="AK13" t="str">
            <v>TBD</v>
          </cell>
          <cell r="AL13" t="str">
            <v>Y</v>
          </cell>
          <cell r="AM13">
            <v>200018403</v>
          </cell>
          <cell r="AN13">
            <v>200028403</v>
          </cell>
          <cell r="AO13">
            <v>200018303</v>
          </cell>
          <cell r="AP13">
            <v>200028303</v>
          </cell>
          <cell r="AQ13">
            <v>200018203</v>
          </cell>
          <cell r="AR13">
            <v>200028203</v>
          </cell>
          <cell r="AS13">
            <v>14.555555555555557</v>
          </cell>
          <cell r="AT13">
            <v>19.629694545723975</v>
          </cell>
          <cell r="AU13">
            <v>14.650380100644853</v>
          </cell>
          <cell r="AV13">
            <v>10.006619078067976</v>
          </cell>
          <cell r="AW13">
            <v>40725</v>
          </cell>
        </row>
        <row r="14">
          <cell r="C14" t="str">
            <v>BP Solar - BP-3230T_S</v>
          </cell>
          <cell r="D14" t="str">
            <v>Standard Claw</v>
          </cell>
          <cell r="E14">
            <v>5000005</v>
          </cell>
          <cell r="F14">
            <v>39.370078740157481</v>
          </cell>
          <cell r="G14">
            <v>65.629921259842519</v>
          </cell>
          <cell r="H14">
            <v>1.9685039370078741</v>
          </cell>
          <cell r="I14">
            <v>200010705</v>
          </cell>
          <cell r="J14">
            <v>200010805</v>
          </cell>
          <cell r="K14">
            <v>200013805</v>
          </cell>
          <cell r="L14">
            <v>200016305</v>
          </cell>
          <cell r="M14">
            <v>500012570</v>
          </cell>
          <cell r="N14">
            <v>500012670</v>
          </cell>
          <cell r="O14">
            <v>500012570</v>
          </cell>
          <cell r="P14">
            <v>500012670</v>
          </cell>
          <cell r="Q14">
            <v>11.389629250601068</v>
          </cell>
          <cell r="R14">
            <v>10.17949851730765</v>
          </cell>
          <cell r="S14">
            <v>4.8041332214318873</v>
          </cell>
          <cell r="T14">
            <v>4.8041332214318873</v>
          </cell>
          <cell r="U14">
            <v>11.389629250601068</v>
          </cell>
          <cell r="V14">
            <v>10.17949851730765</v>
          </cell>
          <cell r="W14">
            <v>30</v>
          </cell>
          <cell r="X14">
            <v>36.244094488188978</v>
          </cell>
          <cell r="Y14">
            <v>67.647834645669292</v>
          </cell>
          <cell r="Z14">
            <v>36.244094488188978</v>
          </cell>
          <cell r="AA14">
            <v>67.647834645669292</v>
          </cell>
          <cell r="AB14">
            <v>36.244094488188978</v>
          </cell>
          <cell r="AC14">
            <v>67.647834645669292</v>
          </cell>
          <cell r="AD14">
            <v>67.647834645669292</v>
          </cell>
          <cell r="AE14">
            <v>66.129921259842519</v>
          </cell>
          <cell r="AF14">
            <v>24.129921259842526</v>
          </cell>
          <cell r="AG14">
            <v>40.78346456692914</v>
          </cell>
          <cell r="AH14" t="str">
            <v>N</v>
          </cell>
          <cell r="AI14">
            <v>42.777000000000001</v>
          </cell>
          <cell r="AJ14">
            <v>19.399999999999999</v>
          </cell>
          <cell r="AK14" t="str">
            <v>TBD</v>
          </cell>
          <cell r="AL14" t="str">
            <v>Y</v>
          </cell>
          <cell r="AM14">
            <v>200018403</v>
          </cell>
          <cell r="AN14">
            <v>200028403</v>
          </cell>
          <cell r="AO14">
            <v>200018303</v>
          </cell>
          <cell r="AP14">
            <v>200028303</v>
          </cell>
          <cell r="AQ14">
            <v>200018203</v>
          </cell>
          <cell r="AR14">
            <v>200028203</v>
          </cell>
          <cell r="AS14">
            <v>14.555555555555557</v>
          </cell>
          <cell r="AT14">
            <v>19.629694545723975</v>
          </cell>
          <cell r="AU14">
            <v>14.650380100644853</v>
          </cell>
          <cell r="AV14">
            <v>10.006619078067976</v>
          </cell>
          <cell r="AW14">
            <v>40725</v>
          </cell>
        </row>
        <row r="15">
          <cell r="C15" t="str">
            <v>BP Solar - BP-175B_S</v>
          </cell>
          <cell r="D15" t="str">
            <v>Standard Claw</v>
          </cell>
          <cell r="E15">
            <v>5000005</v>
          </cell>
          <cell r="F15">
            <v>31.102362204724411</v>
          </cell>
          <cell r="G15">
            <v>62.716535433070867</v>
          </cell>
          <cell r="H15">
            <v>1.9685039370078741</v>
          </cell>
          <cell r="I15">
            <v>200010704</v>
          </cell>
          <cell r="J15">
            <v>200010804</v>
          </cell>
          <cell r="K15">
            <v>200013804</v>
          </cell>
          <cell r="L15">
            <v>200016304</v>
          </cell>
          <cell r="M15">
            <v>500012567</v>
          </cell>
          <cell r="N15">
            <v>500012667</v>
          </cell>
          <cell r="O15">
            <v>500012567</v>
          </cell>
          <cell r="P15">
            <v>500012667</v>
          </cell>
          <cell r="Q15">
            <v>14.823372795433404</v>
          </cell>
          <cell r="R15">
            <v>13.235935159013833</v>
          </cell>
          <cell r="S15">
            <v>6.2288462502734054</v>
          </cell>
          <cell r="T15">
            <v>6.2288462502734054</v>
          </cell>
          <cell r="U15">
            <v>14.823372795433404</v>
          </cell>
          <cell r="V15">
            <v>13.235935159013833</v>
          </cell>
          <cell r="W15">
            <v>30</v>
          </cell>
          <cell r="X15">
            <v>27.976377952755907</v>
          </cell>
          <cell r="Y15">
            <v>64.734448818897633</v>
          </cell>
          <cell r="Z15">
            <v>27.976377952755907</v>
          </cell>
          <cell r="AA15">
            <v>64.734448818897633</v>
          </cell>
          <cell r="AB15">
            <v>27.976377952755907</v>
          </cell>
          <cell r="AC15">
            <v>64.734448818897633</v>
          </cell>
          <cell r="AD15">
            <v>64.734448818897633</v>
          </cell>
          <cell r="AE15">
            <v>63.216535433070874</v>
          </cell>
          <cell r="AF15">
            <v>21.21653543307087</v>
          </cell>
          <cell r="AG15">
            <v>32.515748031496067</v>
          </cell>
          <cell r="AH15" t="str">
            <v>N</v>
          </cell>
          <cell r="AI15">
            <v>33.075000000000003</v>
          </cell>
          <cell r="AJ15">
            <v>15</v>
          </cell>
          <cell r="AK15" t="str">
            <v>TBD</v>
          </cell>
          <cell r="AL15" t="str">
            <v>Y</v>
          </cell>
          <cell r="AM15">
            <v>200018402</v>
          </cell>
          <cell r="AN15">
            <v>200028402</v>
          </cell>
          <cell r="AO15">
            <v>200018302</v>
          </cell>
          <cell r="AP15">
            <v>200028302</v>
          </cell>
          <cell r="AQ15">
            <v>200018202</v>
          </cell>
          <cell r="AR15">
            <v>200028202</v>
          </cell>
          <cell r="AS15">
            <v>13.888888888888888</v>
          </cell>
          <cell r="AT15">
            <v>24.920386154850288</v>
          </cell>
          <cell r="AU15">
            <v>18.495470671690814</v>
          </cell>
          <cell r="AV15">
            <v>12.58830644691356</v>
          </cell>
          <cell r="AW15">
            <v>40725</v>
          </cell>
        </row>
        <row r="16">
          <cell r="C16" t="str">
            <v>BP Solar - BP 3280T_S</v>
          </cell>
          <cell r="D16" t="str">
            <v>Standard Claw</v>
          </cell>
          <cell r="E16">
            <v>5000005</v>
          </cell>
          <cell r="F16">
            <v>39.370078740157481</v>
          </cell>
          <cell r="G16">
            <v>78.188976377952756</v>
          </cell>
          <cell r="H16">
            <v>1.9685039370078741</v>
          </cell>
          <cell r="I16">
            <v>200010708</v>
          </cell>
          <cell r="J16">
            <v>200010808</v>
          </cell>
          <cell r="K16">
            <v>200013808</v>
          </cell>
          <cell r="L16">
            <v>200016308</v>
          </cell>
          <cell r="M16">
            <v>500012582</v>
          </cell>
          <cell r="N16">
            <v>500012682</v>
          </cell>
          <cell r="O16">
            <v>500012583</v>
          </cell>
          <cell r="P16">
            <v>500012683</v>
          </cell>
          <cell r="Q16">
            <v>11.47044277917194</v>
          </cell>
          <cell r="R16">
            <v>10.251529236755868</v>
          </cell>
          <cell r="S16">
            <v>4.837845181295938</v>
          </cell>
          <cell r="T16">
            <v>4.837845181295938</v>
          </cell>
          <cell r="U16">
            <v>11.47044277917194</v>
          </cell>
          <cell r="V16">
            <v>10.251529236755868</v>
          </cell>
          <cell r="W16">
            <v>30</v>
          </cell>
          <cell r="X16">
            <v>35.99212598425197</v>
          </cell>
          <cell r="Y16">
            <v>80.038385826771659</v>
          </cell>
          <cell r="Z16">
            <v>35.99212598425197</v>
          </cell>
          <cell r="AA16">
            <v>80.038385826771659</v>
          </cell>
          <cell r="AB16">
            <v>35.99212598425197</v>
          </cell>
          <cell r="AC16">
            <v>80.038385826771659</v>
          </cell>
          <cell r="AD16">
            <v>80.038385826771659</v>
          </cell>
          <cell r="AE16">
            <v>78.688976377952756</v>
          </cell>
          <cell r="AF16">
            <v>36.688976377952763</v>
          </cell>
          <cell r="AG16">
            <v>40.618110236220474</v>
          </cell>
          <cell r="AH16" t="str">
            <v>N</v>
          </cell>
          <cell r="AI16">
            <v>48.730500000000006</v>
          </cell>
          <cell r="AJ16">
            <v>22.1</v>
          </cell>
          <cell r="AK16" t="str">
            <v>TBD</v>
          </cell>
          <cell r="AL16" t="str">
            <v>Y</v>
          </cell>
          <cell r="AM16">
            <v>200018407</v>
          </cell>
          <cell r="AN16">
            <v>200028407</v>
          </cell>
          <cell r="AO16">
            <v>200018307</v>
          </cell>
          <cell r="AP16">
            <v>200028307</v>
          </cell>
          <cell r="AQ16">
            <v>200018207</v>
          </cell>
          <cell r="AR16">
            <v>200028207</v>
          </cell>
          <cell r="AS16">
            <v>17.222222222222221</v>
          </cell>
          <cell r="AT16">
            <v>19.712908350225494</v>
          </cell>
          <cell r="AU16">
            <v>14.711364289425134</v>
          </cell>
          <cell r="AV16">
            <v>10.047777443286531</v>
          </cell>
          <cell r="AW16">
            <v>40725</v>
          </cell>
        </row>
        <row r="17">
          <cell r="C17" t="str">
            <v>BP Solar - BP 3235T_S</v>
          </cell>
          <cell r="D17" t="str">
            <v>Standard Claw</v>
          </cell>
          <cell r="E17">
            <v>5000005</v>
          </cell>
          <cell r="F17">
            <v>39.370078740157481</v>
          </cell>
          <cell r="G17">
            <v>65.629921259842519</v>
          </cell>
          <cell r="H17">
            <v>1.9685039370078741</v>
          </cell>
          <cell r="I17">
            <v>200010705</v>
          </cell>
          <cell r="J17">
            <v>200010805</v>
          </cell>
          <cell r="K17">
            <v>200013805</v>
          </cell>
          <cell r="L17">
            <v>200016305</v>
          </cell>
          <cell r="M17">
            <v>500012570</v>
          </cell>
          <cell r="N17">
            <v>500012670</v>
          </cell>
          <cell r="O17">
            <v>500012570</v>
          </cell>
          <cell r="P17">
            <v>500012670</v>
          </cell>
          <cell r="Q17">
            <v>11.389629250601068</v>
          </cell>
          <cell r="R17">
            <v>10.17949851730765</v>
          </cell>
          <cell r="S17">
            <v>4.8041332214318873</v>
          </cell>
          <cell r="T17">
            <v>4.8041332214318873</v>
          </cell>
          <cell r="U17">
            <v>11.389629250601068</v>
          </cell>
          <cell r="V17">
            <v>10.17949851730765</v>
          </cell>
          <cell r="W17">
            <v>30</v>
          </cell>
          <cell r="X17">
            <v>36.244094488188978</v>
          </cell>
          <cell r="Y17">
            <v>67.647834645669292</v>
          </cell>
          <cell r="Z17">
            <v>36.244094488188978</v>
          </cell>
          <cell r="AA17">
            <v>67.647834645669292</v>
          </cell>
          <cell r="AB17">
            <v>36.244094488188978</v>
          </cell>
          <cell r="AC17">
            <v>67.647834645669292</v>
          </cell>
          <cell r="AD17">
            <v>67.647834645669292</v>
          </cell>
          <cell r="AE17">
            <v>66.129921259842519</v>
          </cell>
          <cell r="AF17">
            <v>24.129921259842526</v>
          </cell>
          <cell r="AG17">
            <v>40.78346456692914</v>
          </cell>
          <cell r="AH17" t="str">
            <v>N</v>
          </cell>
          <cell r="AI17">
            <v>42.777000000000001</v>
          </cell>
          <cell r="AJ17">
            <v>19.399999999999999</v>
          </cell>
          <cell r="AK17" t="str">
            <v>TBD</v>
          </cell>
          <cell r="AL17" t="str">
            <v>Y</v>
          </cell>
          <cell r="AM17">
            <v>200018403</v>
          </cell>
          <cell r="AN17">
            <v>200028403</v>
          </cell>
          <cell r="AO17">
            <v>200018303</v>
          </cell>
          <cell r="AP17">
            <v>200028303</v>
          </cell>
          <cell r="AQ17">
            <v>200018203</v>
          </cell>
          <cell r="AR17">
            <v>200028203</v>
          </cell>
          <cell r="AS17">
            <v>14.555555555555557</v>
          </cell>
          <cell r="AT17">
            <v>19.629694545723975</v>
          </cell>
          <cell r="AU17">
            <v>14.650380100644853</v>
          </cell>
          <cell r="AV17">
            <v>10.006619078067976</v>
          </cell>
          <cell r="AW17">
            <v>40725</v>
          </cell>
        </row>
        <row r="18">
          <cell r="C18" t="str">
            <v>BYD - 125-145 P6-18 Series _S</v>
          </cell>
          <cell r="D18" t="str">
            <v>Standard Claw</v>
          </cell>
          <cell r="E18">
            <v>5000005</v>
          </cell>
          <cell r="F18">
            <v>26.614173228346459</v>
          </cell>
          <cell r="G18">
            <v>58.346456692913392</v>
          </cell>
          <cell r="H18">
            <v>1.9685039370078741</v>
          </cell>
          <cell r="I18">
            <v>200010703</v>
          </cell>
          <cell r="J18">
            <v>200010803</v>
          </cell>
          <cell r="K18">
            <v>200013803</v>
          </cell>
          <cell r="L18">
            <v>200016303</v>
          </cell>
          <cell r="M18">
            <v>500012562</v>
          </cell>
          <cell r="N18">
            <v>500012662</v>
          </cell>
          <cell r="O18">
            <v>500012563</v>
          </cell>
          <cell r="P18">
            <v>500012663</v>
          </cell>
          <cell r="Q18">
            <v>18.247619837067095</v>
          </cell>
          <cell r="R18">
            <v>16.273774191368283</v>
          </cell>
          <cell r="S18">
            <v>7.6310573243773048</v>
          </cell>
          <cell r="T18">
            <v>7.6310573243773048</v>
          </cell>
          <cell r="U18">
            <v>18.247619837067095</v>
          </cell>
          <cell r="V18">
            <v>16.273774191368283</v>
          </cell>
          <cell r="W18">
            <v>30</v>
          </cell>
          <cell r="X18">
            <v>22.858267716535437</v>
          </cell>
          <cell r="Y18">
            <v>59.817913385826778</v>
          </cell>
          <cell r="Z18">
            <v>22.858267716535437</v>
          </cell>
          <cell r="AA18">
            <v>59.817913385826778</v>
          </cell>
          <cell r="AB18">
            <v>22.858267716535437</v>
          </cell>
          <cell r="AC18">
            <v>59.817913385826778</v>
          </cell>
          <cell r="AD18">
            <v>59.817913385826778</v>
          </cell>
          <cell r="AE18">
            <v>58.846456692913392</v>
          </cell>
          <cell r="AF18">
            <v>16.846456692913389</v>
          </cell>
          <cell r="AG18">
            <v>27.484251968503941</v>
          </cell>
          <cell r="AH18" t="str">
            <v>Y</v>
          </cell>
          <cell r="AI18">
            <v>28.664999999999999</v>
          </cell>
          <cell r="AJ18">
            <v>13</v>
          </cell>
          <cell r="AK18" t="str">
            <v>TBD</v>
          </cell>
          <cell r="AL18" t="str">
            <v>Y</v>
          </cell>
          <cell r="AM18">
            <v>200018401</v>
          </cell>
          <cell r="AN18">
            <v>200028401</v>
          </cell>
          <cell r="AO18">
            <v>200018301</v>
          </cell>
          <cell r="AP18">
            <v>200028301</v>
          </cell>
          <cell r="AQ18">
            <v>200018201</v>
          </cell>
          <cell r="AR18">
            <v>200028201</v>
          </cell>
          <cell r="AS18">
            <v>13.22222222222222</v>
          </cell>
          <cell r="AT18">
            <v>29.900540492346806</v>
          </cell>
          <cell r="AU18">
            <v>22.043127715837667</v>
          </cell>
          <cell r="AV18">
            <v>14.942094956886809</v>
          </cell>
          <cell r="AW18">
            <v>40966</v>
          </cell>
        </row>
        <row r="19">
          <cell r="C19" t="str">
            <v>BYD - 225-245 P6A-30 Series_S</v>
          </cell>
          <cell r="D19" t="str">
            <v>Standard Claw</v>
          </cell>
          <cell r="E19">
            <v>5000005</v>
          </cell>
          <cell r="F19">
            <v>39.055118110236222</v>
          </cell>
          <cell r="G19">
            <v>64.566929133858267</v>
          </cell>
          <cell r="H19">
            <v>1.9685039370078741</v>
          </cell>
          <cell r="I19">
            <v>200010704</v>
          </cell>
          <cell r="J19">
            <v>200010804</v>
          </cell>
          <cell r="K19">
            <v>200013804</v>
          </cell>
          <cell r="L19">
            <v>200016304</v>
          </cell>
          <cell r="M19">
            <v>500012568</v>
          </cell>
          <cell r="N19">
            <v>500012668</v>
          </cell>
          <cell r="O19">
            <v>500012569</v>
          </cell>
          <cell r="P19">
            <v>500012669</v>
          </cell>
          <cell r="Q19">
            <v>11.698754267040043</v>
          </cell>
          <cell r="R19">
            <v>10.455004839041191</v>
          </cell>
          <cell r="S19">
            <v>4.9330437584696041</v>
          </cell>
          <cell r="T19">
            <v>4.9330437584696041</v>
          </cell>
          <cell r="U19">
            <v>11.698754267040043</v>
          </cell>
          <cell r="V19">
            <v>10.455004839041191</v>
          </cell>
          <cell r="W19">
            <v>30</v>
          </cell>
          <cell r="X19">
            <v>35.2992125984252</v>
          </cell>
          <cell r="Y19">
            <v>66.038385826771659</v>
          </cell>
          <cell r="Z19">
            <v>35.2992125984252</v>
          </cell>
          <cell r="AA19">
            <v>66.038385826771659</v>
          </cell>
          <cell r="AB19">
            <v>35.2992125984252</v>
          </cell>
          <cell r="AC19">
            <v>66.038385826771659</v>
          </cell>
          <cell r="AD19">
            <v>66.038385826771659</v>
          </cell>
          <cell r="AE19">
            <v>65.066929133858267</v>
          </cell>
          <cell r="AF19">
            <v>23.066929133858274</v>
          </cell>
          <cell r="AG19">
            <v>39.925196850393704</v>
          </cell>
          <cell r="AH19" t="str">
            <v>Y</v>
          </cell>
          <cell r="AI19">
            <v>43.218000000000004</v>
          </cell>
          <cell r="AJ19">
            <v>19.600000000000001</v>
          </cell>
          <cell r="AK19" t="str">
            <v>TBD</v>
          </cell>
          <cell r="AL19" t="str">
            <v>Y</v>
          </cell>
          <cell r="AM19">
            <v>200018403</v>
          </cell>
          <cell r="AN19">
            <v>200028403</v>
          </cell>
          <cell r="AO19">
            <v>200018303</v>
          </cell>
          <cell r="AP19">
            <v>200028303</v>
          </cell>
          <cell r="AQ19">
            <v>200018203</v>
          </cell>
          <cell r="AR19">
            <v>200028203</v>
          </cell>
          <cell r="AS19">
            <v>14.555555555555557</v>
          </cell>
          <cell r="AT19">
            <v>20.069602586497279</v>
          </cell>
          <cell r="AU19">
            <v>14.97260437224279</v>
          </cell>
          <cell r="AV19">
            <v>10.224017732239455</v>
          </cell>
          <cell r="AW19">
            <v>40966</v>
          </cell>
        </row>
        <row r="20">
          <cell r="C20" t="str">
            <v>BYD - 260-300 P6-36 Series_S</v>
          </cell>
          <cell r="D20" t="str">
            <v>Standard Claw</v>
          </cell>
          <cell r="E20">
            <v>5000005</v>
          </cell>
          <cell r="F20">
            <v>39.055118110236222</v>
          </cell>
          <cell r="G20">
            <v>77.00787401574803</v>
          </cell>
          <cell r="H20">
            <v>1.9685039370078741</v>
          </cell>
          <cell r="I20">
            <v>200010707</v>
          </cell>
          <cell r="J20">
            <v>200010807</v>
          </cell>
          <cell r="K20">
            <v>200013807</v>
          </cell>
          <cell r="L20">
            <v>200016307</v>
          </cell>
          <cell r="M20">
            <v>500012581</v>
          </cell>
          <cell r="N20">
            <v>500012681</v>
          </cell>
          <cell r="O20">
            <v>500012581</v>
          </cell>
          <cell r="P20">
            <v>500012681</v>
          </cell>
          <cell r="Q20">
            <v>11.698754267040043</v>
          </cell>
          <cell r="R20">
            <v>10.455004839041191</v>
          </cell>
          <cell r="S20">
            <v>4.9330437584696041</v>
          </cell>
          <cell r="T20">
            <v>4.9330437584696041</v>
          </cell>
          <cell r="U20">
            <v>11.698754267040043</v>
          </cell>
          <cell r="V20">
            <v>10.455004839041191</v>
          </cell>
          <cell r="W20">
            <v>30</v>
          </cell>
          <cell r="X20">
            <v>35.2992125984252</v>
          </cell>
          <cell r="Y20">
            <v>78.479330708661422</v>
          </cell>
          <cell r="Z20">
            <v>35.2992125984252</v>
          </cell>
          <cell r="AA20">
            <v>78.479330708661422</v>
          </cell>
          <cell r="AB20">
            <v>35.2992125984252</v>
          </cell>
          <cell r="AC20">
            <v>78.479330708661422</v>
          </cell>
          <cell r="AD20">
            <v>78.479330708661422</v>
          </cell>
          <cell r="AE20">
            <v>77.507874015748044</v>
          </cell>
          <cell r="AF20">
            <v>35.507874015748037</v>
          </cell>
          <cell r="AG20">
            <v>39.925196850393704</v>
          </cell>
          <cell r="AH20" t="str">
            <v>Y</v>
          </cell>
          <cell r="AI20">
            <v>50.935500000000005</v>
          </cell>
          <cell r="AJ20">
            <v>23.1</v>
          </cell>
          <cell r="AK20" t="str">
            <v>TBD</v>
          </cell>
          <cell r="AL20" t="str">
            <v>Y</v>
          </cell>
          <cell r="AM20">
            <v>200018407</v>
          </cell>
          <cell r="AN20">
            <v>200028407</v>
          </cell>
          <cell r="AO20">
            <v>200018307</v>
          </cell>
          <cell r="AP20">
            <v>200028307</v>
          </cell>
          <cell r="AQ20">
            <v>200018207</v>
          </cell>
          <cell r="AR20">
            <v>200028207</v>
          </cell>
          <cell r="AS20">
            <v>17.222222222222221</v>
          </cell>
          <cell r="AT20">
            <v>20.069602586497279</v>
          </cell>
          <cell r="AU20">
            <v>14.97260437224279</v>
          </cell>
          <cell r="AV20">
            <v>10.224017732239455</v>
          </cell>
          <cell r="AW20">
            <v>40966</v>
          </cell>
        </row>
        <row r="21">
          <cell r="C21" t="str">
            <v>Canadian Solar - CS5P-M-P 215-260_S</v>
          </cell>
          <cell r="D21" t="str">
            <v>Standard Claw</v>
          </cell>
          <cell r="E21">
            <v>5000005</v>
          </cell>
          <cell r="F21">
            <v>41.771653543307089</v>
          </cell>
          <cell r="G21">
            <v>63.031496062992133</v>
          </cell>
          <cell r="H21">
            <v>1.5748031496062993</v>
          </cell>
          <cell r="I21">
            <v>200010704</v>
          </cell>
          <cell r="J21">
            <v>200010804</v>
          </cell>
          <cell r="K21">
            <v>200013804</v>
          </cell>
          <cell r="L21">
            <v>200016304</v>
          </cell>
          <cell r="M21">
            <v>500012567</v>
          </cell>
          <cell r="N21">
            <v>500012667</v>
          </cell>
          <cell r="O21">
            <v>500012567</v>
          </cell>
          <cell r="P21">
            <v>500012667</v>
          </cell>
          <cell r="Q21">
            <v>10.852232552277188</v>
          </cell>
          <cell r="R21">
            <v>9.7004006207277769</v>
          </cell>
          <cell r="S21">
            <v>4.5797556807533004</v>
          </cell>
          <cell r="T21">
            <v>4.5797556807533004</v>
          </cell>
          <cell r="U21">
            <v>10.852232552277188</v>
          </cell>
          <cell r="V21">
            <v>9.7004006207277769</v>
          </cell>
          <cell r="W21">
            <v>50</v>
          </cell>
          <cell r="X21">
            <v>38.015748031496067</v>
          </cell>
          <cell r="Y21">
            <v>64.502952755905511</v>
          </cell>
          <cell r="Z21">
            <v>38.015748031496067</v>
          </cell>
          <cell r="AA21">
            <v>64.502952755905511</v>
          </cell>
          <cell r="AB21">
            <v>38.015748031496067</v>
          </cell>
          <cell r="AC21">
            <v>64.502952755905511</v>
          </cell>
          <cell r="AD21">
            <v>64.502952755905511</v>
          </cell>
          <cell r="AE21">
            <v>63.531496062992133</v>
          </cell>
          <cell r="AF21">
            <v>21.531496062992129</v>
          </cell>
          <cell r="AG21">
            <v>42.641732283464563</v>
          </cell>
          <cell r="AH21" t="str">
            <v>Y</v>
          </cell>
          <cell r="AI21">
            <v>41.9</v>
          </cell>
          <cell r="AJ21">
            <v>19.010000000000002</v>
          </cell>
          <cell r="AK21" t="str">
            <v>TBD</v>
          </cell>
          <cell r="AL21" t="str">
            <v>Y</v>
          </cell>
          <cell r="AM21">
            <v>200018402</v>
          </cell>
          <cell r="AN21">
            <v>200028402</v>
          </cell>
          <cell r="AO21">
            <v>200018302</v>
          </cell>
          <cell r="AP21">
            <v>200028302</v>
          </cell>
          <cell r="AQ21">
            <v>200018202</v>
          </cell>
          <cell r="AR21">
            <v>200028202</v>
          </cell>
          <cell r="AS21">
            <v>13.888888888888888</v>
          </cell>
          <cell r="AT21">
            <v>18.741559925897658</v>
          </cell>
          <cell r="AU21">
            <v>13.998604031809133</v>
          </cell>
          <cell r="AV21">
            <v>9.5663500916554796</v>
          </cell>
          <cell r="AW21">
            <v>41228</v>
          </cell>
        </row>
        <row r="22">
          <cell r="C22" t="str">
            <v>Canadian Solar - CS6P-M-P 200-250_S</v>
          </cell>
          <cell r="D22" t="str">
            <v>Standard Claw</v>
          </cell>
          <cell r="E22">
            <v>5000005</v>
          </cell>
          <cell r="F22">
            <v>38.661417322834644</v>
          </cell>
          <cell r="G22">
            <v>64.488188976377955</v>
          </cell>
          <cell r="H22">
            <v>1.5748031496062993</v>
          </cell>
          <cell r="I22">
            <v>200010704</v>
          </cell>
          <cell r="J22">
            <v>200010804</v>
          </cell>
          <cell r="K22">
            <v>200013804</v>
          </cell>
          <cell r="L22">
            <v>200016304</v>
          </cell>
          <cell r="M22">
            <v>500012568</v>
          </cell>
          <cell r="N22">
            <v>500012668</v>
          </cell>
          <cell r="O22">
            <v>500012569</v>
          </cell>
          <cell r="P22">
            <v>500012669</v>
          </cell>
          <cell r="Q22">
            <v>11.832602308505239</v>
          </cell>
          <cell r="R22">
            <v>10.574276773282593</v>
          </cell>
          <cell r="S22">
            <v>4.9888240185700683</v>
          </cell>
          <cell r="T22">
            <v>4.9888240185700683</v>
          </cell>
          <cell r="U22">
            <v>11.832602308505239</v>
          </cell>
          <cell r="V22">
            <v>10.574276773282593</v>
          </cell>
          <cell r="W22">
            <v>50</v>
          </cell>
          <cell r="X22">
            <v>34.905511811023622</v>
          </cell>
          <cell r="Y22">
            <v>65.959645669291348</v>
          </cell>
          <cell r="Z22">
            <v>34.905511811023622</v>
          </cell>
          <cell r="AA22">
            <v>65.959645669291348</v>
          </cell>
          <cell r="AB22">
            <v>34.905511811023622</v>
          </cell>
          <cell r="AC22">
            <v>65.959645669291348</v>
          </cell>
          <cell r="AD22">
            <v>65.959645669291348</v>
          </cell>
          <cell r="AE22">
            <v>64.988188976377955</v>
          </cell>
          <cell r="AF22">
            <v>22.988188976377959</v>
          </cell>
          <cell r="AG22">
            <v>39.531496062992126</v>
          </cell>
          <cell r="AH22" t="str">
            <v>Y</v>
          </cell>
          <cell r="AI22">
            <v>41.9</v>
          </cell>
          <cell r="AJ22">
            <v>19.010000000000002</v>
          </cell>
          <cell r="AK22" t="str">
            <v>TBD</v>
          </cell>
          <cell r="AL22" t="str">
            <v>Y</v>
          </cell>
          <cell r="AM22">
            <v>200018403</v>
          </cell>
          <cell r="AN22">
            <v>200028403</v>
          </cell>
          <cell r="AO22">
            <v>200018303</v>
          </cell>
          <cell r="AP22">
            <v>200028303</v>
          </cell>
          <cell r="AQ22">
            <v>200018203</v>
          </cell>
          <cell r="AR22">
            <v>200028203</v>
          </cell>
          <cell r="AS22">
            <v>14.555555555555557</v>
          </cell>
          <cell r="AT22">
            <v>20.278215219832653</v>
          </cell>
          <cell r="AU22">
            <v>15.125263254990072</v>
          </cell>
          <cell r="AV22">
            <v>10.326951853502411</v>
          </cell>
          <cell r="AW22">
            <v>41317</v>
          </cell>
        </row>
        <row r="23">
          <cell r="C23" t="str">
            <v>Canadian Solar - CS6X-265-295_X</v>
          </cell>
          <cell r="D23" t="str">
            <v>Long Claw (Canadian Solar CS6X)</v>
          </cell>
          <cell r="E23">
            <v>500003905</v>
          </cell>
          <cell r="F23">
            <v>38.661417322834644</v>
          </cell>
          <cell r="G23">
            <v>76.929133858267718</v>
          </cell>
          <cell r="H23">
            <v>1.5748031496062993</v>
          </cell>
          <cell r="I23">
            <v>200010707</v>
          </cell>
          <cell r="J23">
            <v>200010807</v>
          </cell>
          <cell r="K23">
            <v>200013807</v>
          </cell>
          <cell r="L23">
            <v>200016307</v>
          </cell>
          <cell r="M23">
            <v>500012580</v>
          </cell>
          <cell r="N23">
            <v>500012680</v>
          </cell>
          <cell r="O23">
            <v>500012580</v>
          </cell>
          <cell r="P23">
            <v>500012680</v>
          </cell>
          <cell r="Q23">
            <v>11.042069752569891</v>
          </cell>
          <cell r="R23">
            <v>9.8696642249551303</v>
          </cell>
          <cell r="S23">
            <v>4.6590567311554425</v>
          </cell>
          <cell r="T23">
            <v>4.6590567311554425</v>
          </cell>
          <cell r="U23">
            <v>11.042069752569891</v>
          </cell>
          <cell r="V23">
            <v>9.8696642249551303</v>
          </cell>
          <cell r="W23">
            <v>55</v>
          </cell>
          <cell r="X23">
            <v>37.370078740157481</v>
          </cell>
          <cell r="Y23">
            <v>77.684055118110237</v>
          </cell>
          <cell r="Z23">
            <v>37.370078740157481</v>
          </cell>
          <cell r="AA23">
            <v>77.684055118110237</v>
          </cell>
          <cell r="AB23">
            <v>37.370078740157481</v>
          </cell>
          <cell r="AC23">
            <v>77.684055118110237</v>
          </cell>
          <cell r="AD23">
            <v>77.684055118110237</v>
          </cell>
          <cell r="AE23">
            <v>77.429133858267718</v>
          </cell>
          <cell r="AF23">
            <v>35.429133858267726</v>
          </cell>
          <cell r="AG23">
            <v>39.531496062992126</v>
          </cell>
          <cell r="AH23" t="str">
            <v>Y</v>
          </cell>
          <cell r="AI23">
            <v>50.7</v>
          </cell>
          <cell r="AJ23">
            <v>23</v>
          </cell>
          <cell r="AK23" t="str">
            <v>TBD</v>
          </cell>
          <cell r="AL23" t="str">
            <v>Y</v>
          </cell>
          <cell r="AM23">
            <v>200018407</v>
          </cell>
          <cell r="AN23">
            <v>200028407</v>
          </cell>
          <cell r="AO23">
            <v>200018307</v>
          </cell>
          <cell r="AP23">
            <v>200028307</v>
          </cell>
          <cell r="AQ23">
            <v>200018207</v>
          </cell>
          <cell r="AR23">
            <v>200028207</v>
          </cell>
          <cell r="AS23">
            <v>17.222222222222221</v>
          </cell>
          <cell r="AT23">
            <v>20.278215219832653</v>
          </cell>
          <cell r="AU23">
            <v>15.125263254990072</v>
          </cell>
          <cell r="AV23">
            <v>10.326951853502411</v>
          </cell>
          <cell r="AW23">
            <v>41317</v>
          </cell>
        </row>
        <row r="24">
          <cell r="C24" t="str">
            <v>Canadian Solar - CS6X-265-295_L</v>
          </cell>
          <cell r="D24" t="str">
            <v>2nd Gen Long Claw (Canadian Solar CS6X)</v>
          </cell>
          <cell r="E24">
            <v>500014405</v>
          </cell>
          <cell r="F24">
            <v>38.661417322834644</v>
          </cell>
          <cell r="G24">
            <v>76.929133858267718</v>
          </cell>
          <cell r="H24">
            <v>1.5748031496062993</v>
          </cell>
          <cell r="I24">
            <v>200010707</v>
          </cell>
          <cell r="J24">
            <v>200010807</v>
          </cell>
          <cell r="K24">
            <v>200013807</v>
          </cell>
          <cell r="L24">
            <v>200016307</v>
          </cell>
          <cell r="M24">
            <v>500012580</v>
          </cell>
          <cell r="N24">
            <v>500012680</v>
          </cell>
          <cell r="O24">
            <v>500012580</v>
          </cell>
          <cell r="P24">
            <v>500012680</v>
          </cell>
          <cell r="Q24">
            <v>10.675449853837796</v>
          </cell>
          <cell r="R24">
            <v>9.5427569184959005</v>
          </cell>
          <cell r="S24">
            <v>4.505870501453856</v>
          </cell>
          <cell r="T24">
            <v>4.505870501453856</v>
          </cell>
          <cell r="U24">
            <v>10.675449853837796</v>
          </cell>
          <cell r="V24">
            <v>9.5427569184959005</v>
          </cell>
          <cell r="W24">
            <v>55</v>
          </cell>
          <cell r="X24">
            <v>38.637795275590555</v>
          </cell>
          <cell r="Y24">
            <v>77.684055118110237</v>
          </cell>
          <cell r="Z24">
            <v>38.637795275590555</v>
          </cell>
          <cell r="AA24">
            <v>77.684055118110237</v>
          </cell>
          <cell r="AB24">
            <v>38.637795275590555</v>
          </cell>
          <cell r="AC24">
            <v>77.684055118110237</v>
          </cell>
          <cell r="AD24">
            <v>77.684055118110237</v>
          </cell>
          <cell r="AE24">
            <v>77.429133858267718</v>
          </cell>
          <cell r="AF24">
            <v>35.429133858267726</v>
          </cell>
          <cell r="AG24">
            <v>39.531496062992126</v>
          </cell>
          <cell r="AH24" t="str">
            <v>Y</v>
          </cell>
          <cell r="AI24">
            <v>50.7</v>
          </cell>
          <cell r="AJ24">
            <v>23</v>
          </cell>
          <cell r="AK24" t="str">
            <v>TBD</v>
          </cell>
          <cell r="AL24" t="str">
            <v>Y</v>
          </cell>
          <cell r="AM24">
            <v>200018407</v>
          </cell>
          <cell r="AN24">
            <v>200028407</v>
          </cell>
          <cell r="AO24">
            <v>200018307</v>
          </cell>
          <cell r="AP24">
            <v>200028307</v>
          </cell>
          <cell r="AQ24">
            <v>200018207</v>
          </cell>
          <cell r="AR24">
            <v>200028207</v>
          </cell>
          <cell r="AS24">
            <v>17.222222222222221</v>
          </cell>
          <cell r="AT24">
            <v>20.278215219832653</v>
          </cell>
          <cell r="AU24">
            <v>15.125263254990072</v>
          </cell>
          <cell r="AV24">
            <v>10.326951853502411</v>
          </cell>
          <cell r="AW24">
            <v>41317</v>
          </cell>
        </row>
        <row r="25">
          <cell r="C25" t="str">
            <v>Canadian Solar - CS6P-220-240 MX-PX_S</v>
          </cell>
          <cell r="D25" t="str">
            <v>Standard Claw</v>
          </cell>
          <cell r="E25">
            <v>5000005</v>
          </cell>
          <cell r="F25">
            <v>38.661417322834644</v>
          </cell>
          <cell r="G25">
            <v>64.488188976377955</v>
          </cell>
          <cell r="H25">
            <v>1.5748031496062993</v>
          </cell>
          <cell r="I25">
            <v>200010704</v>
          </cell>
          <cell r="J25">
            <v>200010804</v>
          </cell>
          <cell r="K25">
            <v>200013804</v>
          </cell>
          <cell r="L25">
            <v>200016304</v>
          </cell>
          <cell r="M25">
            <v>500012568</v>
          </cell>
          <cell r="N25">
            <v>500012668</v>
          </cell>
          <cell r="O25">
            <v>500012569</v>
          </cell>
          <cell r="P25">
            <v>500012669</v>
          </cell>
          <cell r="Q25">
            <v>11.832602308505239</v>
          </cell>
          <cell r="R25">
            <v>10.574276773282593</v>
          </cell>
          <cell r="S25">
            <v>4.9888240185700683</v>
          </cell>
          <cell r="T25">
            <v>4.9888240185700683</v>
          </cell>
          <cell r="U25">
            <v>11.832602308505239</v>
          </cell>
          <cell r="V25">
            <v>10.574276773282593</v>
          </cell>
          <cell r="W25">
            <v>50</v>
          </cell>
          <cell r="X25">
            <v>34.905511811023622</v>
          </cell>
          <cell r="Y25">
            <v>65.959645669291348</v>
          </cell>
          <cell r="Z25">
            <v>34.905511811023622</v>
          </cell>
          <cell r="AA25">
            <v>65.959645669291348</v>
          </cell>
          <cell r="AB25">
            <v>34.905511811023622</v>
          </cell>
          <cell r="AC25">
            <v>65.959645669291348</v>
          </cell>
          <cell r="AD25">
            <v>65.959645669291348</v>
          </cell>
          <cell r="AE25">
            <v>64.988188976377955</v>
          </cell>
          <cell r="AF25">
            <v>22.988188976377959</v>
          </cell>
          <cell r="AG25">
            <v>39.531496062992126</v>
          </cell>
          <cell r="AH25" t="str">
            <v>Y</v>
          </cell>
          <cell r="AI25">
            <v>50.7</v>
          </cell>
          <cell r="AJ25">
            <v>23</v>
          </cell>
          <cell r="AK25" t="str">
            <v>TBD</v>
          </cell>
          <cell r="AL25" t="str">
            <v>Y</v>
          </cell>
          <cell r="AM25">
            <v>200018403</v>
          </cell>
          <cell r="AN25">
            <v>200028403</v>
          </cell>
          <cell r="AO25">
            <v>200018303</v>
          </cell>
          <cell r="AP25">
            <v>200028303</v>
          </cell>
          <cell r="AQ25">
            <v>200018203</v>
          </cell>
          <cell r="AR25">
            <v>200028203</v>
          </cell>
          <cell r="AS25">
            <v>14.555555555555557</v>
          </cell>
          <cell r="AT25">
            <v>20.278215219832653</v>
          </cell>
          <cell r="AU25">
            <v>15.125263254990072</v>
          </cell>
          <cell r="AV25">
            <v>10.326951853502411</v>
          </cell>
          <cell r="AW25">
            <v>41317</v>
          </cell>
        </row>
        <row r="26">
          <cell r="C26" t="str">
            <v>Canadian Solar - CS5A-M 175-205_S</v>
          </cell>
          <cell r="D26" t="str">
            <v>Standard Claw</v>
          </cell>
          <cell r="E26">
            <v>5000005</v>
          </cell>
          <cell r="F26">
            <v>31.811023622047244</v>
          </cell>
          <cell r="G26">
            <v>62.204724409448822</v>
          </cell>
          <cell r="H26">
            <v>1.5748031496062993</v>
          </cell>
          <cell r="I26">
            <v>200010704</v>
          </cell>
          <cell r="J26">
            <v>200010804</v>
          </cell>
          <cell r="K26">
            <v>200013804</v>
          </cell>
          <cell r="L26">
            <v>200016304</v>
          </cell>
          <cell r="M26">
            <v>500012566</v>
          </cell>
          <cell r="N26">
            <v>500012666</v>
          </cell>
          <cell r="O26">
            <v>500012566</v>
          </cell>
          <cell r="P26">
            <v>500012666</v>
          </cell>
          <cell r="Q26">
            <v>14.780819563929326</v>
          </cell>
          <cell r="R26">
            <v>13.198114568872393</v>
          </cell>
          <cell r="S26">
            <v>6.211295317501194</v>
          </cell>
          <cell r="T26">
            <v>6.211295317501194</v>
          </cell>
          <cell r="U26">
            <v>14.780819563929326</v>
          </cell>
          <cell r="V26">
            <v>13.198114568872393</v>
          </cell>
          <cell r="W26">
            <v>50</v>
          </cell>
          <cell r="X26">
            <v>28.055118110236222</v>
          </cell>
          <cell r="Y26">
            <v>63.676181102362207</v>
          </cell>
          <cell r="Z26">
            <v>28.055118110236222</v>
          </cell>
          <cell r="AA26">
            <v>63.676181102362207</v>
          </cell>
          <cell r="AB26">
            <v>28.055118110236222</v>
          </cell>
          <cell r="AC26">
            <v>63.676181102362207</v>
          </cell>
          <cell r="AD26">
            <v>63.676181102362207</v>
          </cell>
          <cell r="AE26">
            <v>62.704724409448822</v>
          </cell>
          <cell r="AF26">
            <v>20.704724409448822</v>
          </cell>
          <cell r="AG26">
            <v>32.681102362204726</v>
          </cell>
          <cell r="AH26" t="str">
            <v>Y</v>
          </cell>
          <cell r="AI26">
            <v>34.839000000000006</v>
          </cell>
          <cell r="AJ26">
            <v>15.8</v>
          </cell>
          <cell r="AK26" t="str">
            <v>TBD</v>
          </cell>
          <cell r="AL26" t="str">
            <v>Y</v>
          </cell>
          <cell r="AM26">
            <v>200018402</v>
          </cell>
          <cell r="AN26">
            <v>200028402</v>
          </cell>
          <cell r="AO26">
            <v>200018302</v>
          </cell>
          <cell r="AP26">
            <v>200028302</v>
          </cell>
          <cell r="AQ26">
            <v>200018202</v>
          </cell>
          <cell r="AR26">
            <v>200028202</v>
          </cell>
          <cell r="AS26">
            <v>13.888888888888888</v>
          </cell>
          <cell r="AT26">
            <v>24.785769092963804</v>
          </cell>
          <cell r="AU26">
            <v>18.39852585667062</v>
          </cell>
          <cell r="AV26">
            <v>12.523577389800897</v>
          </cell>
          <cell r="AW26">
            <v>41123</v>
          </cell>
        </row>
        <row r="27">
          <cell r="C27" t="str">
            <v>Canadian Solar - CS5A-M 160-195_S</v>
          </cell>
          <cell r="D27" t="str">
            <v>Standard Claw</v>
          </cell>
          <cell r="E27">
            <v>5000005</v>
          </cell>
          <cell r="F27">
            <v>31.535433070866144</v>
          </cell>
          <cell r="G27">
            <v>62.795275590551185</v>
          </cell>
          <cell r="H27">
            <v>1.5748031496062993</v>
          </cell>
          <cell r="I27">
            <v>200010704</v>
          </cell>
          <cell r="J27">
            <v>200010804</v>
          </cell>
          <cell r="K27">
            <v>200013804</v>
          </cell>
          <cell r="L27">
            <v>200016304</v>
          </cell>
          <cell r="M27">
            <v>500012567</v>
          </cell>
          <cell r="N27">
            <v>500012667</v>
          </cell>
          <cell r="O27">
            <v>500012567</v>
          </cell>
          <cell r="P27">
            <v>500012667</v>
          </cell>
          <cell r="Q27">
            <v>14.930848550651039</v>
          </cell>
          <cell r="R27">
            <v>13.331450821497357</v>
          </cell>
          <cell r="S27">
            <v>6.2731614881622582</v>
          </cell>
          <cell r="T27">
            <v>6.2731614881622582</v>
          </cell>
          <cell r="U27">
            <v>14.930848550651039</v>
          </cell>
          <cell r="V27">
            <v>13.331450821497357</v>
          </cell>
          <cell r="W27">
            <v>50</v>
          </cell>
          <cell r="X27">
            <v>27.779527559055122</v>
          </cell>
          <cell r="Y27">
            <v>64.266732283464577</v>
          </cell>
          <cell r="Z27">
            <v>27.779527559055122</v>
          </cell>
          <cell r="AA27">
            <v>64.266732283464577</v>
          </cell>
          <cell r="AB27">
            <v>27.779527559055122</v>
          </cell>
          <cell r="AC27">
            <v>64.266732283464577</v>
          </cell>
          <cell r="AD27">
            <v>64.266732283464577</v>
          </cell>
          <cell r="AE27">
            <v>63.295275590551185</v>
          </cell>
          <cell r="AF27">
            <v>21.295275590551185</v>
          </cell>
          <cell r="AG27">
            <v>32.405511811023622</v>
          </cell>
          <cell r="AH27" t="str">
            <v>Y</v>
          </cell>
          <cell r="AI27">
            <v>34.177500000000002</v>
          </cell>
          <cell r="AJ27">
            <v>15.5</v>
          </cell>
          <cell r="AK27" t="str">
            <v>TBD</v>
          </cell>
          <cell r="AL27" t="str">
            <v>Y</v>
          </cell>
          <cell r="AM27">
            <v>200018402</v>
          </cell>
          <cell r="AN27">
            <v>200028402</v>
          </cell>
          <cell r="AO27">
            <v>200018302</v>
          </cell>
          <cell r="AP27">
            <v>200028302</v>
          </cell>
          <cell r="AQ27">
            <v>200018202</v>
          </cell>
          <cell r="AR27">
            <v>200028202</v>
          </cell>
          <cell r="AS27">
            <v>13.888888888888888</v>
          </cell>
          <cell r="AT27">
            <v>25.010976719740729</v>
          </cell>
          <cell r="AU27">
            <v>18.560681030599426</v>
          </cell>
          <cell r="AV27">
            <v>12.631835318037343</v>
          </cell>
          <cell r="AW27">
            <v>41123</v>
          </cell>
        </row>
        <row r="28">
          <cell r="C28" t="str">
            <v>Canadian Solar - CS5T-M 140-150_S</v>
          </cell>
          <cell r="D28" t="str">
            <v>Standard Claw</v>
          </cell>
          <cell r="E28">
            <v>5000005</v>
          </cell>
          <cell r="F28">
            <v>38.661417322834644</v>
          </cell>
          <cell r="G28">
            <v>64.488188976377955</v>
          </cell>
          <cell r="H28">
            <v>1.5748031496062993</v>
          </cell>
          <cell r="I28">
            <v>200010704</v>
          </cell>
          <cell r="J28">
            <v>200010804</v>
          </cell>
          <cell r="K28">
            <v>200013804</v>
          </cell>
          <cell r="L28">
            <v>200016304</v>
          </cell>
          <cell r="M28">
            <v>500012568</v>
          </cell>
          <cell r="N28">
            <v>500012668</v>
          </cell>
          <cell r="O28">
            <v>500012569</v>
          </cell>
          <cell r="P28">
            <v>500012669</v>
          </cell>
          <cell r="Q28">
            <v>11.832602308505239</v>
          </cell>
          <cell r="R28">
            <v>10.574276773282593</v>
          </cell>
          <cell r="S28">
            <v>4.9888240185700683</v>
          </cell>
          <cell r="T28">
            <v>4.9888240185700683</v>
          </cell>
          <cell r="U28">
            <v>11.832602308505239</v>
          </cell>
          <cell r="V28">
            <v>10.574276773282593</v>
          </cell>
          <cell r="W28">
            <v>50</v>
          </cell>
          <cell r="X28">
            <v>34.905511811023622</v>
          </cell>
          <cell r="Y28">
            <v>65.959645669291348</v>
          </cell>
          <cell r="Z28">
            <v>34.905511811023622</v>
          </cell>
          <cell r="AA28">
            <v>65.959645669291348</v>
          </cell>
          <cell r="AB28">
            <v>34.905511811023622</v>
          </cell>
          <cell r="AC28">
            <v>65.959645669291348</v>
          </cell>
          <cell r="AD28">
            <v>65.959645669291348</v>
          </cell>
          <cell r="AE28">
            <v>64.988188976377955</v>
          </cell>
          <cell r="AF28">
            <v>22.988188976377959</v>
          </cell>
          <cell r="AG28">
            <v>39.531496062992126</v>
          </cell>
          <cell r="AH28" t="str">
            <v>Y</v>
          </cell>
          <cell r="AI28">
            <v>44.1</v>
          </cell>
          <cell r="AJ28">
            <v>20</v>
          </cell>
          <cell r="AK28" t="str">
            <v>TBD</v>
          </cell>
          <cell r="AL28" t="str">
            <v>Y</v>
          </cell>
          <cell r="AM28">
            <v>200018403</v>
          </cell>
          <cell r="AN28">
            <v>200028403</v>
          </cell>
          <cell r="AO28">
            <v>200018303</v>
          </cell>
          <cell r="AP28">
            <v>200028303</v>
          </cell>
          <cell r="AQ28">
            <v>200018203</v>
          </cell>
          <cell r="AR28">
            <v>200028203</v>
          </cell>
          <cell r="AS28">
            <v>14.555555555555557</v>
          </cell>
          <cell r="AT28">
            <v>20.278215219832653</v>
          </cell>
          <cell r="AU28">
            <v>15.125263254990072</v>
          </cell>
          <cell r="AV28">
            <v>10.326951853502411</v>
          </cell>
          <cell r="AW28">
            <v>41123</v>
          </cell>
        </row>
        <row r="29">
          <cell r="C29" t="str">
            <v>Canadian Solar - CS6A-M-P 160-190_S</v>
          </cell>
          <cell r="D29" t="str">
            <v>Standard Claw</v>
          </cell>
          <cell r="E29">
            <v>5000005</v>
          </cell>
          <cell r="F29">
            <v>38.661417322834644</v>
          </cell>
          <cell r="G29">
            <v>52.125984251968504</v>
          </cell>
          <cell r="H29">
            <v>1.5748031496062993</v>
          </cell>
          <cell r="I29">
            <v>200010701</v>
          </cell>
          <cell r="J29">
            <v>200010801</v>
          </cell>
          <cell r="K29">
            <v>200013801</v>
          </cell>
          <cell r="L29">
            <v>200016301</v>
          </cell>
          <cell r="M29">
            <v>500012556</v>
          </cell>
          <cell r="N29">
            <v>500012656</v>
          </cell>
          <cell r="O29">
            <v>500012556</v>
          </cell>
          <cell r="P29">
            <v>500012656</v>
          </cell>
          <cell r="Q29">
            <v>11.832602308505239</v>
          </cell>
          <cell r="R29">
            <v>10.574276773282593</v>
          </cell>
          <cell r="S29">
            <v>4.9888240185700683</v>
          </cell>
          <cell r="T29">
            <v>4.9888240185700683</v>
          </cell>
          <cell r="U29">
            <v>11.832602308505239</v>
          </cell>
          <cell r="V29">
            <v>10.574276773282593</v>
          </cell>
          <cell r="W29">
            <v>50</v>
          </cell>
          <cell r="X29">
            <v>34.905511811023622</v>
          </cell>
          <cell r="Y29">
            <v>53.597440944881896</v>
          </cell>
          <cell r="Z29">
            <v>34.905511811023622</v>
          </cell>
          <cell r="AA29">
            <v>53.597440944881896</v>
          </cell>
          <cell r="AB29">
            <v>34.905511811023622</v>
          </cell>
          <cell r="AC29">
            <v>53.597440944881896</v>
          </cell>
          <cell r="AD29">
            <v>53.597440944881896</v>
          </cell>
          <cell r="AE29" t="str">
            <v>NA</v>
          </cell>
          <cell r="AF29" t="str">
            <v>NA</v>
          </cell>
          <cell r="AG29" t="str">
            <v>NA</v>
          </cell>
          <cell r="AH29" t="str">
            <v>Y</v>
          </cell>
          <cell r="AI29">
            <v>35.28</v>
          </cell>
          <cell r="AJ29">
            <v>16</v>
          </cell>
          <cell r="AK29" t="str">
            <v>TBD</v>
          </cell>
          <cell r="AL29" t="str">
            <v>Y</v>
          </cell>
          <cell r="AM29" t="str">
            <v>2000184TBD</v>
          </cell>
          <cell r="AN29" t="str">
            <v>2000284TBD</v>
          </cell>
          <cell r="AO29" t="str">
            <v>2000183TBD</v>
          </cell>
          <cell r="AP29" t="str">
            <v>2000283TBD</v>
          </cell>
          <cell r="AQ29" t="str">
            <v>2000182TBD</v>
          </cell>
          <cell r="AR29" t="str">
            <v>2000282TBD</v>
          </cell>
          <cell r="AS29" t="str">
            <v>TBD</v>
          </cell>
          <cell r="AT29" t="str">
            <v>NA</v>
          </cell>
          <cell r="AU29" t="str">
            <v>NA</v>
          </cell>
          <cell r="AV29" t="str">
            <v>NA</v>
          </cell>
          <cell r="AW29">
            <v>41123</v>
          </cell>
        </row>
        <row r="30">
          <cell r="C30" t="str">
            <v>CEEG -China Sunergy - SST205-250-60M  _S</v>
          </cell>
          <cell r="D30" t="str">
            <v>Standard Claw</v>
          </cell>
          <cell r="E30">
            <v>5000005</v>
          </cell>
          <cell r="F30">
            <v>38.976377952755911</v>
          </cell>
          <cell r="G30">
            <v>64.566929133858267</v>
          </cell>
          <cell r="H30">
            <v>1.9685039370078741</v>
          </cell>
          <cell r="I30">
            <v>200010704</v>
          </cell>
          <cell r="J30">
            <v>200010804</v>
          </cell>
          <cell r="K30">
            <v>200013804</v>
          </cell>
          <cell r="L30">
            <v>200016304</v>
          </cell>
          <cell r="M30">
            <v>500012568</v>
          </cell>
          <cell r="N30">
            <v>500012668</v>
          </cell>
          <cell r="O30">
            <v>500012569</v>
          </cell>
          <cell r="P30">
            <v>500012669</v>
          </cell>
          <cell r="Q30">
            <v>11.725279318414811</v>
          </cell>
          <cell r="R30">
            <v>10.478642249707667</v>
          </cell>
          <cell r="S30">
            <v>4.9440996728708777</v>
          </cell>
          <cell r="T30">
            <v>4.9440996728708777</v>
          </cell>
          <cell r="U30">
            <v>11.725279318414811</v>
          </cell>
          <cell r="V30">
            <v>10.478642249707667</v>
          </cell>
          <cell r="W30">
            <v>50</v>
          </cell>
          <cell r="X30">
            <v>35.220472440944881</v>
          </cell>
          <cell r="Y30">
            <v>66.038385826771659</v>
          </cell>
          <cell r="Z30">
            <v>35.220472440944881</v>
          </cell>
          <cell r="AA30">
            <v>66.038385826771659</v>
          </cell>
          <cell r="AB30">
            <v>35.220472440944881</v>
          </cell>
          <cell r="AC30">
            <v>66.038385826771659</v>
          </cell>
          <cell r="AD30">
            <v>66.038385826771659</v>
          </cell>
          <cell r="AE30">
            <v>65.066929133858267</v>
          </cell>
          <cell r="AF30">
            <v>23.066929133858274</v>
          </cell>
          <cell r="AG30">
            <v>39.846456692913392</v>
          </cell>
          <cell r="AH30" t="str">
            <v>N</v>
          </cell>
          <cell r="AI30">
            <v>43.659000000000006</v>
          </cell>
          <cell r="AJ30">
            <v>19.8</v>
          </cell>
          <cell r="AK30" t="str">
            <v>TBD</v>
          </cell>
          <cell r="AL30" t="str">
            <v>Y</v>
          </cell>
          <cell r="AM30">
            <v>200018403</v>
          </cell>
          <cell r="AN30">
            <v>200028403</v>
          </cell>
          <cell r="AO30">
            <v>200018303</v>
          </cell>
          <cell r="AP30">
            <v>200028303</v>
          </cell>
          <cell r="AQ30">
            <v>200018203</v>
          </cell>
          <cell r="AR30">
            <v>200028203</v>
          </cell>
          <cell r="AS30">
            <v>14.555555555555557</v>
          </cell>
          <cell r="AT30">
            <v>20.110973161651764</v>
          </cell>
          <cell r="AU30">
            <v>15.002886128524771</v>
          </cell>
          <cell r="AV30">
            <v>10.244439167746933</v>
          </cell>
          <cell r="AW30">
            <v>40617</v>
          </cell>
        </row>
        <row r="31">
          <cell r="C31" t="str">
            <v>CEEG -China Sunergy - SST255-280-72M _S</v>
          </cell>
          <cell r="D31" t="str">
            <v>Standard Claw</v>
          </cell>
          <cell r="E31">
            <v>5000005</v>
          </cell>
          <cell r="F31">
            <v>38.976377952755911</v>
          </cell>
          <cell r="G31">
            <v>77.00787401574803</v>
          </cell>
          <cell r="H31">
            <v>1.9685039370078741</v>
          </cell>
          <cell r="I31">
            <v>200010707</v>
          </cell>
          <cell r="J31">
            <v>200010807</v>
          </cell>
          <cell r="K31">
            <v>200013807</v>
          </cell>
          <cell r="L31">
            <v>200016307</v>
          </cell>
          <cell r="M31">
            <v>500012581</v>
          </cell>
          <cell r="N31">
            <v>500012681</v>
          </cell>
          <cell r="O31">
            <v>500012581</v>
          </cell>
          <cell r="P31">
            <v>500012681</v>
          </cell>
          <cell r="Q31">
            <v>11.725279318414811</v>
          </cell>
          <cell r="R31">
            <v>10.478642249707667</v>
          </cell>
          <cell r="S31">
            <v>4.9440996728708777</v>
          </cell>
          <cell r="T31">
            <v>4.9440996728708777</v>
          </cell>
          <cell r="U31">
            <v>11.725279318414811</v>
          </cell>
          <cell r="V31">
            <v>10.478642249707667</v>
          </cell>
          <cell r="W31">
            <v>50</v>
          </cell>
          <cell r="X31">
            <v>35.220472440944881</v>
          </cell>
          <cell r="Y31">
            <v>78.479330708661422</v>
          </cell>
          <cell r="Z31">
            <v>35.220472440944881</v>
          </cell>
          <cell r="AA31">
            <v>78.479330708661422</v>
          </cell>
          <cell r="AB31">
            <v>35.220472440944881</v>
          </cell>
          <cell r="AC31">
            <v>78.479330708661422</v>
          </cell>
          <cell r="AD31">
            <v>78.479330708661422</v>
          </cell>
          <cell r="AE31">
            <v>77.507874015748044</v>
          </cell>
          <cell r="AF31">
            <v>35.507874015748037</v>
          </cell>
          <cell r="AG31">
            <v>39.846456692913392</v>
          </cell>
          <cell r="AH31" t="str">
            <v>N</v>
          </cell>
          <cell r="AI31">
            <v>52.479000000000006</v>
          </cell>
          <cell r="AJ31">
            <v>23.8</v>
          </cell>
          <cell r="AK31" t="str">
            <v>TBD</v>
          </cell>
          <cell r="AL31" t="str">
            <v>Y</v>
          </cell>
          <cell r="AM31">
            <v>200018407</v>
          </cell>
          <cell r="AN31">
            <v>200028407</v>
          </cell>
          <cell r="AO31">
            <v>200018307</v>
          </cell>
          <cell r="AP31">
            <v>200028307</v>
          </cell>
          <cell r="AQ31">
            <v>200018207</v>
          </cell>
          <cell r="AR31">
            <v>200028207</v>
          </cell>
          <cell r="AS31">
            <v>17.222222222222221</v>
          </cell>
          <cell r="AT31">
            <v>20.110973161651764</v>
          </cell>
          <cell r="AU31">
            <v>15.002886128524771</v>
          </cell>
          <cell r="AV31">
            <v>10.244439167746933</v>
          </cell>
          <cell r="AW31">
            <v>40617</v>
          </cell>
        </row>
        <row r="32">
          <cell r="C32" t="str">
            <v>CEEG -China Sunergy - SST245-280-72P_S</v>
          </cell>
          <cell r="D32" t="str">
            <v>Standard Claw</v>
          </cell>
          <cell r="E32">
            <v>5000005</v>
          </cell>
          <cell r="F32">
            <v>38.976377952755911</v>
          </cell>
          <cell r="G32">
            <v>77.00787401574803</v>
          </cell>
          <cell r="H32">
            <v>1.9685039370078741</v>
          </cell>
          <cell r="I32">
            <v>200010707</v>
          </cell>
          <cell r="J32">
            <v>200010807</v>
          </cell>
          <cell r="K32">
            <v>200013807</v>
          </cell>
          <cell r="L32">
            <v>200016307</v>
          </cell>
          <cell r="M32">
            <v>500012581</v>
          </cell>
          <cell r="N32">
            <v>500012681</v>
          </cell>
          <cell r="O32">
            <v>500012581</v>
          </cell>
          <cell r="P32">
            <v>500012681</v>
          </cell>
          <cell r="Q32">
            <v>11.725279318414811</v>
          </cell>
          <cell r="R32">
            <v>10.478642249707667</v>
          </cell>
          <cell r="S32">
            <v>4.9440996728708777</v>
          </cell>
          <cell r="T32">
            <v>4.9440996728708777</v>
          </cell>
          <cell r="U32">
            <v>11.725279318414811</v>
          </cell>
          <cell r="V32">
            <v>10.478642249707667</v>
          </cell>
          <cell r="W32">
            <v>50</v>
          </cell>
          <cell r="X32">
            <v>35.220472440944881</v>
          </cell>
          <cell r="Y32">
            <v>78.479330708661422</v>
          </cell>
          <cell r="Z32">
            <v>35.220472440944881</v>
          </cell>
          <cell r="AA32">
            <v>78.479330708661422</v>
          </cell>
          <cell r="AB32">
            <v>35.220472440944881</v>
          </cell>
          <cell r="AC32">
            <v>78.479330708661422</v>
          </cell>
          <cell r="AD32">
            <v>78.479330708661422</v>
          </cell>
          <cell r="AE32">
            <v>77.507874015748044</v>
          </cell>
          <cell r="AF32">
            <v>35.507874015748037</v>
          </cell>
          <cell r="AG32">
            <v>39.846456692913392</v>
          </cell>
          <cell r="AH32" t="str">
            <v>N</v>
          </cell>
          <cell r="AI32">
            <v>52.479000000000006</v>
          </cell>
          <cell r="AJ32">
            <v>23.8</v>
          </cell>
          <cell r="AK32" t="str">
            <v>TBD</v>
          </cell>
          <cell r="AL32" t="str">
            <v>Y</v>
          </cell>
          <cell r="AM32">
            <v>200018407</v>
          </cell>
          <cell r="AN32">
            <v>200028407</v>
          </cell>
          <cell r="AO32">
            <v>200018307</v>
          </cell>
          <cell r="AP32">
            <v>200028307</v>
          </cell>
          <cell r="AQ32">
            <v>200018207</v>
          </cell>
          <cell r="AR32">
            <v>200028207</v>
          </cell>
          <cell r="AS32">
            <v>17.222222222222221</v>
          </cell>
          <cell r="AT32">
            <v>20.110973161651764</v>
          </cell>
          <cell r="AU32">
            <v>15.002886128524771</v>
          </cell>
          <cell r="AV32">
            <v>10.244439167746933</v>
          </cell>
          <cell r="AW32">
            <v>40617</v>
          </cell>
        </row>
        <row r="33">
          <cell r="C33" t="str">
            <v>CentroSolar  - BP6 235-245 BB-BW-SW_S</v>
          </cell>
          <cell r="D33" t="str">
            <v>Standard Claw</v>
          </cell>
          <cell r="E33">
            <v>5000005</v>
          </cell>
          <cell r="F33">
            <v>39.055118110236222</v>
          </cell>
          <cell r="G33">
            <v>64.960629921259851</v>
          </cell>
          <cell r="H33">
            <v>1.9685039370078741</v>
          </cell>
          <cell r="I33">
            <v>200010704</v>
          </cell>
          <cell r="J33">
            <v>200010804</v>
          </cell>
          <cell r="K33">
            <v>200013804</v>
          </cell>
          <cell r="L33">
            <v>200016304</v>
          </cell>
          <cell r="M33">
            <v>500012569</v>
          </cell>
          <cell r="N33">
            <v>500012669</v>
          </cell>
          <cell r="O33">
            <v>500012569</v>
          </cell>
          <cell r="P33">
            <v>500012669</v>
          </cell>
          <cell r="Q33">
            <v>11.698754267040043</v>
          </cell>
          <cell r="R33">
            <v>10.455004839041191</v>
          </cell>
          <cell r="S33">
            <v>4.9330437584696041</v>
          </cell>
          <cell r="T33">
            <v>4.9330437584696041</v>
          </cell>
          <cell r="U33">
            <v>11.698754267040043</v>
          </cell>
          <cell r="V33">
            <v>10.455004839041191</v>
          </cell>
          <cell r="W33">
            <v>30</v>
          </cell>
          <cell r="X33">
            <v>35.2992125984252</v>
          </cell>
          <cell r="Y33">
            <v>66.43208661417323</v>
          </cell>
          <cell r="Z33">
            <v>35.2992125984252</v>
          </cell>
          <cell r="AA33">
            <v>66.43208661417323</v>
          </cell>
          <cell r="AB33">
            <v>35.2992125984252</v>
          </cell>
          <cell r="AC33">
            <v>66.43208661417323</v>
          </cell>
          <cell r="AD33">
            <v>66.43208661417323</v>
          </cell>
          <cell r="AE33">
            <v>65.460629921259851</v>
          </cell>
          <cell r="AF33">
            <v>23.460629921259848</v>
          </cell>
          <cell r="AG33">
            <v>39.925196850393704</v>
          </cell>
          <cell r="AH33" t="str">
            <v>N</v>
          </cell>
          <cell r="AI33">
            <v>43.659000000000006</v>
          </cell>
          <cell r="AJ33">
            <v>19.8</v>
          </cell>
          <cell r="AK33" t="str">
            <v>TBD</v>
          </cell>
          <cell r="AL33" t="str">
            <v>Y</v>
          </cell>
          <cell r="AM33">
            <v>200018403</v>
          </cell>
          <cell r="AN33">
            <v>200028403</v>
          </cell>
          <cell r="AO33">
            <v>200018303</v>
          </cell>
          <cell r="AP33">
            <v>200028303</v>
          </cell>
          <cell r="AQ33">
            <v>200018203</v>
          </cell>
          <cell r="AR33">
            <v>200028203</v>
          </cell>
          <cell r="AS33">
            <v>14.555555555555557</v>
          </cell>
          <cell r="AT33">
            <v>20.069602586497279</v>
          </cell>
          <cell r="AU33">
            <v>14.97260437224279</v>
          </cell>
          <cell r="AV33">
            <v>10.224017732239455</v>
          </cell>
          <cell r="AW33">
            <v>41194</v>
          </cell>
        </row>
        <row r="34">
          <cell r="C34" t="str">
            <v>CentroSolar  - BP7 285-290 BW-SW_S</v>
          </cell>
          <cell r="D34" t="str">
            <v>Standard Claw</v>
          </cell>
          <cell r="E34">
            <v>5000005</v>
          </cell>
          <cell r="F34">
            <v>39.055118110236222</v>
          </cell>
          <cell r="G34">
            <v>77.401574803149614</v>
          </cell>
          <cell r="H34">
            <v>1.9685039370078741</v>
          </cell>
          <cell r="I34">
            <v>200010707</v>
          </cell>
          <cell r="J34">
            <v>200010807</v>
          </cell>
          <cell r="K34">
            <v>200013807</v>
          </cell>
          <cell r="L34">
            <v>200016307</v>
          </cell>
          <cell r="M34">
            <v>500012581</v>
          </cell>
          <cell r="N34">
            <v>500012681</v>
          </cell>
          <cell r="O34">
            <v>500012581</v>
          </cell>
          <cell r="P34">
            <v>500012681</v>
          </cell>
          <cell r="Q34">
            <v>11.698754267040043</v>
          </cell>
          <cell r="R34">
            <v>10.455004839041191</v>
          </cell>
          <cell r="S34">
            <v>4.9330437584696041</v>
          </cell>
          <cell r="T34">
            <v>4.9330437584696041</v>
          </cell>
          <cell r="U34">
            <v>11.698754267040043</v>
          </cell>
          <cell r="V34">
            <v>10.455004839041191</v>
          </cell>
          <cell r="W34">
            <v>30</v>
          </cell>
          <cell r="X34">
            <v>35.2992125984252</v>
          </cell>
          <cell r="Y34">
            <v>78.873031496062993</v>
          </cell>
          <cell r="Z34">
            <v>35.2992125984252</v>
          </cell>
          <cell r="AA34">
            <v>78.873031496062993</v>
          </cell>
          <cell r="AB34">
            <v>35.2992125984252</v>
          </cell>
          <cell r="AC34">
            <v>78.873031496062993</v>
          </cell>
          <cell r="AD34">
            <v>78.873031496062993</v>
          </cell>
          <cell r="AE34">
            <v>77.901574803149614</v>
          </cell>
          <cell r="AF34">
            <v>35.901574803149614</v>
          </cell>
          <cell r="AG34">
            <v>39.925196850393704</v>
          </cell>
          <cell r="AH34" t="str">
            <v>N</v>
          </cell>
          <cell r="AI34">
            <v>59.535000000000004</v>
          </cell>
          <cell r="AJ34">
            <v>27</v>
          </cell>
          <cell r="AK34" t="str">
            <v>TBD</v>
          </cell>
          <cell r="AL34" t="str">
            <v>Y</v>
          </cell>
          <cell r="AM34">
            <v>200018407</v>
          </cell>
          <cell r="AN34">
            <v>200028407</v>
          </cell>
          <cell r="AO34">
            <v>200018307</v>
          </cell>
          <cell r="AP34">
            <v>200028307</v>
          </cell>
          <cell r="AQ34">
            <v>200018207</v>
          </cell>
          <cell r="AR34">
            <v>200028207</v>
          </cell>
          <cell r="AS34">
            <v>17.222222222222221</v>
          </cell>
          <cell r="AT34">
            <v>20.069602586497279</v>
          </cell>
          <cell r="AU34">
            <v>14.97260437224279</v>
          </cell>
          <cell r="AV34">
            <v>10.224017732239455</v>
          </cell>
          <cell r="AW34">
            <v>41194</v>
          </cell>
        </row>
        <row r="35">
          <cell r="C35" t="str">
            <v>CentroSolar  - CM6 BW-SW_S</v>
          </cell>
          <cell r="D35" t="str">
            <v>Standard Claw</v>
          </cell>
          <cell r="E35">
            <v>5000005</v>
          </cell>
          <cell r="F35">
            <v>38.976377952755911</v>
          </cell>
          <cell r="G35">
            <v>65.354330708661422</v>
          </cell>
          <cell r="H35">
            <v>1.5748031496062993</v>
          </cell>
          <cell r="I35">
            <v>200010704</v>
          </cell>
          <cell r="J35">
            <v>200010804</v>
          </cell>
          <cell r="K35">
            <v>200013804</v>
          </cell>
          <cell r="L35">
            <v>200016304</v>
          </cell>
          <cell r="M35">
            <v>500012569</v>
          </cell>
          <cell r="N35">
            <v>500012669</v>
          </cell>
          <cell r="O35">
            <v>500012569</v>
          </cell>
          <cell r="P35">
            <v>500012669</v>
          </cell>
          <cell r="Q35">
            <v>11.725279318414811</v>
          </cell>
          <cell r="R35">
            <v>10.478642249707667</v>
          </cell>
          <cell r="S35">
            <v>4.9440996728708777</v>
          </cell>
          <cell r="T35">
            <v>4.9440996728708777</v>
          </cell>
          <cell r="U35">
            <v>11.725279318414811</v>
          </cell>
          <cell r="V35">
            <v>10.478642249707667</v>
          </cell>
          <cell r="W35">
            <v>30</v>
          </cell>
          <cell r="X35">
            <v>35.220472440944881</v>
          </cell>
          <cell r="Y35">
            <v>66.8257874015748</v>
          </cell>
          <cell r="Z35">
            <v>35.220472440944881</v>
          </cell>
          <cell r="AA35">
            <v>66.8257874015748</v>
          </cell>
          <cell r="AB35">
            <v>35.220472440944881</v>
          </cell>
          <cell r="AC35">
            <v>66.8257874015748</v>
          </cell>
          <cell r="AD35">
            <v>66.8257874015748</v>
          </cell>
          <cell r="AE35">
            <v>65.854330708661422</v>
          </cell>
          <cell r="AF35">
            <v>23.854330708661422</v>
          </cell>
          <cell r="AG35">
            <v>39.846456692913392</v>
          </cell>
          <cell r="AH35" t="str">
            <v>N</v>
          </cell>
          <cell r="AI35">
            <v>44.1</v>
          </cell>
          <cell r="AJ35">
            <v>20</v>
          </cell>
          <cell r="AK35" t="str">
            <v>TBD</v>
          </cell>
          <cell r="AL35" t="str">
            <v>Y</v>
          </cell>
          <cell r="AM35">
            <v>200018403</v>
          </cell>
          <cell r="AN35">
            <v>200028403</v>
          </cell>
          <cell r="AO35">
            <v>200018303</v>
          </cell>
          <cell r="AP35">
            <v>200028303</v>
          </cell>
          <cell r="AQ35">
            <v>200018203</v>
          </cell>
          <cell r="AR35">
            <v>200028203</v>
          </cell>
          <cell r="AS35">
            <v>14.555555555555557</v>
          </cell>
          <cell r="AT35">
            <v>20.110973161651764</v>
          </cell>
          <cell r="AU35">
            <v>15.002886128524771</v>
          </cell>
          <cell r="AV35">
            <v>10.244439167746933</v>
          </cell>
          <cell r="AW35">
            <v>41194</v>
          </cell>
        </row>
        <row r="36">
          <cell r="C36" t="str">
            <v>CentroSolar  - E-EB 225-245_S</v>
          </cell>
          <cell r="D36" t="str">
            <v>Standard Claw</v>
          </cell>
          <cell r="E36">
            <v>5000005</v>
          </cell>
          <cell r="F36">
            <v>39.055118110236222</v>
          </cell>
          <cell r="G36">
            <v>64.566929133858267</v>
          </cell>
          <cell r="H36">
            <v>1.5748031496062993</v>
          </cell>
          <cell r="I36">
            <v>200010704</v>
          </cell>
          <cell r="J36">
            <v>200010804</v>
          </cell>
          <cell r="K36">
            <v>200013804</v>
          </cell>
          <cell r="L36">
            <v>200016304</v>
          </cell>
          <cell r="M36">
            <v>500012568</v>
          </cell>
          <cell r="N36">
            <v>500012668</v>
          </cell>
          <cell r="O36">
            <v>500012569</v>
          </cell>
          <cell r="P36">
            <v>500012669</v>
          </cell>
          <cell r="Q36">
            <v>11.698754267040043</v>
          </cell>
          <cell r="R36">
            <v>10.455004839041191</v>
          </cell>
          <cell r="S36">
            <v>4.9330437584696041</v>
          </cell>
          <cell r="T36">
            <v>4.9330437584696041</v>
          </cell>
          <cell r="U36">
            <v>11.698754267040043</v>
          </cell>
          <cell r="V36">
            <v>10.455004839041191</v>
          </cell>
          <cell r="W36">
            <v>30</v>
          </cell>
          <cell r="X36">
            <v>35.2992125984252</v>
          </cell>
          <cell r="Y36">
            <v>66.038385826771659</v>
          </cell>
          <cell r="Z36">
            <v>35.2992125984252</v>
          </cell>
          <cell r="AA36">
            <v>66.038385826771659</v>
          </cell>
          <cell r="AB36">
            <v>35.2992125984252</v>
          </cell>
          <cell r="AC36">
            <v>66.038385826771659</v>
          </cell>
          <cell r="AD36">
            <v>66.038385826771659</v>
          </cell>
          <cell r="AE36">
            <v>65.066929133858267</v>
          </cell>
          <cell r="AF36">
            <v>23.066929133858274</v>
          </cell>
          <cell r="AG36">
            <v>39.925196850393704</v>
          </cell>
          <cell r="AH36" t="str">
            <v>N</v>
          </cell>
          <cell r="AI36">
            <v>44.563050000000004</v>
          </cell>
          <cell r="AJ36">
            <v>20.21</v>
          </cell>
          <cell r="AK36" t="str">
            <v>TBD</v>
          </cell>
          <cell r="AL36" t="str">
            <v>Y</v>
          </cell>
          <cell r="AM36">
            <v>200018403</v>
          </cell>
          <cell r="AN36">
            <v>200028403</v>
          </cell>
          <cell r="AO36">
            <v>200018303</v>
          </cell>
          <cell r="AP36">
            <v>200028303</v>
          </cell>
          <cell r="AQ36">
            <v>200018203</v>
          </cell>
          <cell r="AR36">
            <v>200028203</v>
          </cell>
          <cell r="AS36">
            <v>14.555555555555557</v>
          </cell>
          <cell r="AT36">
            <v>20.069602586497279</v>
          </cell>
          <cell r="AU36">
            <v>14.97260437224279</v>
          </cell>
          <cell r="AV36">
            <v>10.224017732239455</v>
          </cell>
          <cell r="AW36">
            <v>41194</v>
          </cell>
        </row>
        <row r="37">
          <cell r="C37" t="str">
            <v>CentroSolar  - E-EB 275-285_S</v>
          </cell>
          <cell r="D37" t="str">
            <v>Standard Claw</v>
          </cell>
          <cell r="E37">
            <v>5000005</v>
          </cell>
          <cell r="F37">
            <v>39.055118110236222</v>
          </cell>
          <cell r="G37">
            <v>77.00787401574803</v>
          </cell>
          <cell r="H37">
            <v>1.5748031496062993</v>
          </cell>
          <cell r="I37">
            <v>200010707</v>
          </cell>
          <cell r="J37">
            <v>200010807</v>
          </cell>
          <cell r="K37">
            <v>200013807</v>
          </cell>
          <cell r="L37">
            <v>200016307</v>
          </cell>
          <cell r="M37">
            <v>500012581</v>
          </cell>
          <cell r="N37">
            <v>500012681</v>
          </cell>
          <cell r="O37">
            <v>500012581</v>
          </cell>
          <cell r="P37">
            <v>500012681</v>
          </cell>
          <cell r="Q37">
            <v>11.698754267040043</v>
          </cell>
          <cell r="R37">
            <v>10.455004839041191</v>
          </cell>
          <cell r="S37">
            <v>4.9330437584696041</v>
          </cell>
          <cell r="T37">
            <v>4.9330437584696041</v>
          </cell>
          <cell r="U37">
            <v>11.698754267040043</v>
          </cell>
          <cell r="V37">
            <v>10.455004839041191</v>
          </cell>
          <cell r="W37">
            <v>30</v>
          </cell>
          <cell r="X37">
            <v>35.2992125984252</v>
          </cell>
          <cell r="Y37">
            <v>78.479330708661422</v>
          </cell>
          <cell r="Z37">
            <v>35.2992125984252</v>
          </cell>
          <cell r="AA37">
            <v>78.479330708661422</v>
          </cell>
          <cell r="AB37">
            <v>35.2992125984252</v>
          </cell>
          <cell r="AC37">
            <v>78.479330708661422</v>
          </cell>
          <cell r="AD37">
            <v>78.479330708661422</v>
          </cell>
          <cell r="AE37">
            <v>77.507874015748044</v>
          </cell>
          <cell r="AF37">
            <v>35.507874015748037</v>
          </cell>
          <cell r="AG37">
            <v>39.925196850393704</v>
          </cell>
          <cell r="AH37" t="str">
            <v>N</v>
          </cell>
          <cell r="AI37">
            <v>50.825250000000004</v>
          </cell>
          <cell r="AJ37">
            <v>23.05</v>
          </cell>
          <cell r="AK37" t="str">
            <v>TBD</v>
          </cell>
          <cell r="AL37" t="str">
            <v>Y</v>
          </cell>
          <cell r="AM37">
            <v>200018407</v>
          </cell>
          <cell r="AN37">
            <v>200028407</v>
          </cell>
          <cell r="AO37">
            <v>200018307</v>
          </cell>
          <cell r="AP37">
            <v>200028307</v>
          </cell>
          <cell r="AQ37">
            <v>200018207</v>
          </cell>
          <cell r="AR37">
            <v>200028207</v>
          </cell>
          <cell r="AS37">
            <v>17.222222222222221</v>
          </cell>
          <cell r="AT37">
            <v>20.069602586497279</v>
          </cell>
          <cell r="AU37">
            <v>14.97260437224279</v>
          </cell>
          <cell r="AV37">
            <v>10.224017732239455</v>
          </cell>
          <cell r="AW37">
            <v>41194</v>
          </cell>
        </row>
        <row r="38">
          <cell r="C38" t="str">
            <v>Chaori Solar - Sunperfect - CRM 210-255 S 156P-M-60_S</v>
          </cell>
          <cell r="D38" t="str">
            <v>Standard Claw</v>
          </cell>
          <cell r="E38">
            <v>5000005</v>
          </cell>
          <cell r="F38">
            <v>39.133858267716541</v>
          </cell>
          <cell r="G38">
            <v>64.409448818897644</v>
          </cell>
          <cell r="H38">
            <v>1.8110236220472442</v>
          </cell>
          <cell r="I38">
            <v>200010704</v>
          </cell>
          <cell r="J38">
            <v>200010804</v>
          </cell>
          <cell r="K38">
            <v>200013804</v>
          </cell>
          <cell r="L38">
            <v>200016304</v>
          </cell>
          <cell r="M38">
            <v>500012568</v>
          </cell>
          <cell r="N38">
            <v>500012668</v>
          </cell>
          <cell r="O38">
            <v>500012569</v>
          </cell>
          <cell r="P38">
            <v>500012669</v>
          </cell>
          <cell r="Q38">
            <v>11.542107859274854</v>
          </cell>
          <cell r="R38">
            <v>10.315402215766035</v>
          </cell>
          <cell r="S38">
            <v>4.8677341333410507</v>
          </cell>
          <cell r="T38">
            <v>4.8677341333410507</v>
          </cell>
          <cell r="U38">
            <v>11.542107859274854</v>
          </cell>
          <cell r="V38">
            <v>10.315402215766035</v>
          </cell>
          <cell r="W38">
            <v>30</v>
          </cell>
          <cell r="X38">
            <v>35.771653543307089</v>
          </cell>
          <cell r="Y38">
            <v>66.230511811023618</v>
          </cell>
          <cell r="Z38">
            <v>35.771653543307089</v>
          </cell>
          <cell r="AA38">
            <v>66.230511811023618</v>
          </cell>
          <cell r="AB38">
            <v>35.771653543307089</v>
          </cell>
          <cell r="AC38">
            <v>66.230511811023618</v>
          </cell>
          <cell r="AD38">
            <v>66.230511811023618</v>
          </cell>
          <cell r="AE38">
            <v>64.909448818897644</v>
          </cell>
          <cell r="AF38">
            <v>22.909448818897644</v>
          </cell>
          <cell r="AG38">
            <v>40.350393700787407</v>
          </cell>
          <cell r="AH38" t="str">
            <v>Y</v>
          </cell>
          <cell r="AI38">
            <v>41.895000000000003</v>
          </cell>
          <cell r="AJ38">
            <v>19</v>
          </cell>
          <cell r="AK38" t="str">
            <v>TBD</v>
          </cell>
          <cell r="AL38" t="str">
            <v>Y</v>
          </cell>
          <cell r="AM38">
            <v>200018403</v>
          </cell>
          <cell r="AN38">
            <v>200028403</v>
          </cell>
          <cell r="AO38">
            <v>200018303</v>
          </cell>
          <cell r="AP38">
            <v>200028303</v>
          </cell>
          <cell r="AQ38">
            <v>200018203</v>
          </cell>
          <cell r="AR38">
            <v>200028203</v>
          </cell>
          <cell r="AS38">
            <v>14.555555555555557</v>
          </cell>
          <cell r="AT38">
            <v>19.849175027736852</v>
          </cell>
          <cell r="AU38">
            <v>14.811197119599205</v>
          </cell>
          <cell r="AV38">
            <v>10.115141311657808</v>
          </cell>
          <cell r="AW38">
            <v>40966</v>
          </cell>
        </row>
        <row r="39">
          <cell r="C39" t="str">
            <v>Chaori Solar - Sunperfect - CRM 265-315 S 156P-M-72_S</v>
          </cell>
          <cell r="D39" t="str">
            <v>Standard Claw</v>
          </cell>
          <cell r="E39">
            <v>5000005</v>
          </cell>
          <cell r="F39">
            <v>39.133858267716541</v>
          </cell>
          <cell r="G39">
            <v>76.850393700787407</v>
          </cell>
          <cell r="H39">
            <v>1.8110236220472442</v>
          </cell>
          <cell r="I39">
            <v>200010707</v>
          </cell>
          <cell r="J39">
            <v>200010807</v>
          </cell>
          <cell r="K39">
            <v>200013807</v>
          </cell>
          <cell r="L39">
            <v>200016307</v>
          </cell>
          <cell r="M39">
            <v>500012581</v>
          </cell>
          <cell r="N39">
            <v>500012681</v>
          </cell>
          <cell r="O39">
            <v>500012581</v>
          </cell>
          <cell r="P39">
            <v>500012681</v>
          </cell>
          <cell r="Q39">
            <v>11.542107859274854</v>
          </cell>
          <cell r="R39">
            <v>10.315402215766035</v>
          </cell>
          <cell r="S39">
            <v>4.8677341333410507</v>
          </cell>
          <cell r="T39">
            <v>4.8677341333410507</v>
          </cell>
          <cell r="U39">
            <v>11.542107859274854</v>
          </cell>
          <cell r="V39">
            <v>10.315402215766035</v>
          </cell>
          <cell r="W39">
            <v>30</v>
          </cell>
          <cell r="X39">
            <v>35.771653543307089</v>
          </cell>
          <cell r="Y39">
            <v>78.671456692913381</v>
          </cell>
          <cell r="Z39">
            <v>35.771653543307089</v>
          </cell>
          <cell r="AA39">
            <v>78.671456692913381</v>
          </cell>
          <cell r="AB39">
            <v>35.771653543307089</v>
          </cell>
          <cell r="AC39">
            <v>78.671456692913381</v>
          </cell>
          <cell r="AD39">
            <v>78.671456692913381</v>
          </cell>
          <cell r="AE39">
            <v>77.350393700787407</v>
          </cell>
          <cell r="AF39">
            <v>35.350393700787407</v>
          </cell>
          <cell r="AG39">
            <v>40.350393700787407</v>
          </cell>
          <cell r="AH39" t="str">
            <v>Y</v>
          </cell>
          <cell r="AI39">
            <v>50.715000000000003</v>
          </cell>
          <cell r="AJ39">
            <v>23</v>
          </cell>
          <cell r="AK39" t="str">
            <v>TBD</v>
          </cell>
          <cell r="AL39" t="str">
            <v>Y</v>
          </cell>
          <cell r="AM39">
            <v>200018407</v>
          </cell>
          <cell r="AN39">
            <v>200028407</v>
          </cell>
          <cell r="AO39">
            <v>200018307</v>
          </cell>
          <cell r="AP39">
            <v>200028307</v>
          </cell>
          <cell r="AQ39">
            <v>200018207</v>
          </cell>
          <cell r="AR39">
            <v>200028207</v>
          </cell>
          <cell r="AS39">
            <v>17.222222222222221</v>
          </cell>
          <cell r="AT39">
            <v>19.849175027736852</v>
          </cell>
          <cell r="AU39">
            <v>14.811197119599205</v>
          </cell>
          <cell r="AV39">
            <v>10.115141311657808</v>
          </cell>
          <cell r="AW39">
            <v>40966</v>
          </cell>
        </row>
        <row r="40">
          <cell r="C40" t="str">
            <v>Chaori Solar - Sunperfect - CRM 180-200 S 125M-72_S</v>
          </cell>
          <cell r="D40" t="str">
            <v>Standard Claw</v>
          </cell>
          <cell r="E40">
            <v>5000005</v>
          </cell>
          <cell r="F40">
            <v>31.811023622047244</v>
          </cell>
          <cell r="G40">
            <v>62.204724409448822</v>
          </cell>
          <cell r="H40">
            <v>1.8110236220472442</v>
          </cell>
          <cell r="I40">
            <v>200010704</v>
          </cell>
          <cell r="J40">
            <v>200010804</v>
          </cell>
          <cell r="K40">
            <v>200013804</v>
          </cell>
          <cell r="L40">
            <v>200016304</v>
          </cell>
          <cell r="M40">
            <v>500012566</v>
          </cell>
          <cell r="N40">
            <v>500012666</v>
          </cell>
          <cell r="O40">
            <v>500012567</v>
          </cell>
          <cell r="P40">
            <v>500012667</v>
          </cell>
          <cell r="Q40">
            <v>14.571707491264988</v>
          </cell>
          <cell r="R40">
            <v>13.012236782891378</v>
          </cell>
          <cell r="S40">
            <v>6.1250064477535702</v>
          </cell>
          <cell r="T40">
            <v>6.1250064477535702</v>
          </cell>
          <cell r="U40">
            <v>14.571707491264988</v>
          </cell>
          <cell r="V40">
            <v>13.012236782891378</v>
          </cell>
          <cell r="W40">
            <v>30</v>
          </cell>
          <cell r="X40">
            <v>28.448818897637796</v>
          </cell>
          <cell r="Y40">
            <v>64.025787401574803</v>
          </cell>
          <cell r="Z40">
            <v>28.448818897637796</v>
          </cell>
          <cell r="AA40">
            <v>64.025787401574803</v>
          </cell>
          <cell r="AB40">
            <v>28.448818897637796</v>
          </cell>
          <cell r="AC40">
            <v>64.025787401574803</v>
          </cell>
          <cell r="AD40">
            <v>64.025787401574803</v>
          </cell>
          <cell r="AE40">
            <v>62.704724409448822</v>
          </cell>
          <cell r="AF40">
            <v>20.704724409448822</v>
          </cell>
          <cell r="AG40">
            <v>33.027559055118111</v>
          </cell>
          <cell r="AH40" t="str">
            <v>Y</v>
          </cell>
          <cell r="AI40">
            <v>33.075000000000003</v>
          </cell>
          <cell r="AJ40">
            <v>15</v>
          </cell>
          <cell r="AK40" t="str">
            <v>TBD</v>
          </cell>
          <cell r="AL40" t="str">
            <v>Y</v>
          </cell>
          <cell r="AM40">
            <v>200018402</v>
          </cell>
          <cell r="AN40">
            <v>200028402</v>
          </cell>
          <cell r="AO40">
            <v>200018302</v>
          </cell>
          <cell r="AP40">
            <v>200028302</v>
          </cell>
          <cell r="AQ40">
            <v>200018202</v>
          </cell>
          <cell r="AR40">
            <v>200028202</v>
          </cell>
          <cell r="AS40">
            <v>13.888888888888888</v>
          </cell>
          <cell r="AT40">
            <v>24.508544651474732</v>
          </cell>
          <cell r="AU40">
            <v>18.198722915144245</v>
          </cell>
          <cell r="AV40">
            <v>12.390107471990769</v>
          </cell>
          <cell r="AW40">
            <v>40966</v>
          </cell>
        </row>
        <row r="41">
          <cell r="C41" t="str">
            <v>Chaori Solar - Sunperfect - CRM 235-265 S 125M-96_S</v>
          </cell>
          <cell r="D41" t="str">
            <v>Standard Claw</v>
          </cell>
          <cell r="E41">
            <v>5000005</v>
          </cell>
          <cell r="F41">
            <v>42.519685039370081</v>
          </cell>
          <cell r="G41">
            <v>62.204724409448822</v>
          </cell>
          <cell r="H41">
            <v>1.8110236220472442</v>
          </cell>
          <cell r="I41">
            <v>200010704</v>
          </cell>
          <cell r="J41">
            <v>200010804</v>
          </cell>
          <cell r="K41">
            <v>200013804</v>
          </cell>
          <cell r="L41">
            <v>200016304</v>
          </cell>
          <cell r="M41">
            <v>500012566</v>
          </cell>
          <cell r="N41">
            <v>500012666</v>
          </cell>
          <cell r="O41">
            <v>500012567</v>
          </cell>
          <cell r="P41">
            <v>500012667</v>
          </cell>
          <cell r="Q41">
            <v>10.532139859951766</v>
          </cell>
          <cell r="R41">
            <v>9.4149482791642463</v>
          </cell>
          <cell r="S41">
            <v>4.4459489604995062</v>
          </cell>
          <cell r="T41">
            <v>4.4459489604995062</v>
          </cell>
          <cell r="U41">
            <v>10.532139859951766</v>
          </cell>
          <cell r="V41">
            <v>9.4149482791642463</v>
          </cell>
          <cell r="W41">
            <v>30</v>
          </cell>
          <cell r="X41">
            <v>39.15748031496063</v>
          </cell>
          <cell r="Y41">
            <v>64.025787401574803</v>
          </cell>
          <cell r="Z41">
            <v>39.15748031496063</v>
          </cell>
          <cell r="AA41">
            <v>64.025787401574803</v>
          </cell>
          <cell r="AB41">
            <v>39.15748031496063</v>
          </cell>
          <cell r="AC41">
            <v>64.025787401574803</v>
          </cell>
          <cell r="AD41">
            <v>64.025787401574803</v>
          </cell>
          <cell r="AE41">
            <v>62.704724409448822</v>
          </cell>
          <cell r="AF41">
            <v>20.704724409448822</v>
          </cell>
          <cell r="AG41">
            <v>43.736220472440948</v>
          </cell>
          <cell r="AH41" t="str">
            <v>Y</v>
          </cell>
          <cell r="AI41">
            <v>44.1</v>
          </cell>
          <cell r="AJ41">
            <v>20</v>
          </cell>
          <cell r="AK41" t="str">
            <v>TBD</v>
          </cell>
          <cell r="AL41" t="str">
            <v>Y</v>
          </cell>
          <cell r="AM41">
            <v>200018402</v>
          </cell>
          <cell r="AN41">
            <v>200028402</v>
          </cell>
          <cell r="AO41">
            <v>200018302</v>
          </cell>
          <cell r="AP41">
            <v>200028302</v>
          </cell>
          <cell r="AQ41">
            <v>200018202</v>
          </cell>
          <cell r="AR41">
            <v>200028202</v>
          </cell>
          <cell r="AS41">
            <v>13.888888888888888</v>
          </cell>
          <cell r="AT41">
            <v>18.255774494150902</v>
          </cell>
          <cell r="AU41">
            <v>13.641426683804378</v>
          </cell>
          <cell r="AV41">
            <v>9.3247899920590172</v>
          </cell>
          <cell r="AW41">
            <v>40966</v>
          </cell>
        </row>
        <row r="42">
          <cell r="C42" t="str">
            <v>Chint Solar-Astronergy - CHSM 6610M-MBL-P 220-260_S</v>
          </cell>
          <cell r="D42" t="str">
            <v>Standard Claw</v>
          </cell>
          <cell r="E42">
            <v>5000005</v>
          </cell>
          <cell r="F42">
            <v>39.133858267716541</v>
          </cell>
          <cell r="G42">
            <v>65.039370078740163</v>
          </cell>
          <cell r="H42">
            <v>1.7716535433070868</v>
          </cell>
          <cell r="I42">
            <v>200010704</v>
          </cell>
          <cell r="J42">
            <v>200010804</v>
          </cell>
          <cell r="K42">
            <v>200013804</v>
          </cell>
          <cell r="L42">
            <v>200016304</v>
          </cell>
          <cell r="M42">
            <v>500012569</v>
          </cell>
          <cell r="N42">
            <v>500012669</v>
          </cell>
          <cell r="O42">
            <v>500012569</v>
          </cell>
          <cell r="P42">
            <v>500012669</v>
          </cell>
          <cell r="Q42">
            <v>11.593851817515533</v>
          </cell>
          <cell r="R42">
            <v>10.361517999726759</v>
          </cell>
          <cell r="S42">
            <v>4.8893107769288457</v>
          </cell>
          <cell r="T42">
            <v>4.8893107769288457</v>
          </cell>
          <cell r="U42">
            <v>11.593851817515533</v>
          </cell>
          <cell r="V42">
            <v>10.361517999726759</v>
          </cell>
          <cell r="W42">
            <v>50</v>
          </cell>
          <cell r="X42">
            <v>35.614173228346459</v>
          </cell>
          <cell r="Y42">
            <v>66.747047244094489</v>
          </cell>
          <cell r="Z42">
            <v>35.614173228346459</v>
          </cell>
          <cell r="AA42">
            <v>66.747047244094489</v>
          </cell>
          <cell r="AB42">
            <v>35.614173228346459</v>
          </cell>
          <cell r="AC42">
            <v>66.747047244094489</v>
          </cell>
          <cell r="AD42">
            <v>66.747047244094489</v>
          </cell>
          <cell r="AE42">
            <v>65.539370078740163</v>
          </cell>
          <cell r="AF42">
            <v>23.539370078740163</v>
          </cell>
          <cell r="AG42">
            <v>40.240157480314963</v>
          </cell>
          <cell r="AH42" t="str">
            <v>N</v>
          </cell>
          <cell r="AI42">
            <v>44.1</v>
          </cell>
          <cell r="AJ42">
            <v>20</v>
          </cell>
          <cell r="AK42" t="str">
            <v>TBD</v>
          </cell>
          <cell r="AL42" t="str">
            <v>Y</v>
          </cell>
          <cell r="AM42">
            <v>200018403</v>
          </cell>
          <cell r="AN42">
            <v>200028403</v>
          </cell>
          <cell r="AO42">
            <v>200018303</v>
          </cell>
          <cell r="AP42">
            <v>200028303</v>
          </cell>
          <cell r="AQ42">
            <v>200018203</v>
          </cell>
          <cell r="AR42">
            <v>200028203</v>
          </cell>
          <cell r="AS42">
            <v>14.555555555555557</v>
          </cell>
          <cell r="AT42">
            <v>19.905846229389603</v>
          </cell>
          <cell r="AU42">
            <v>14.852704372847956</v>
          </cell>
          <cell r="AV42">
            <v>10.143144054640397</v>
          </cell>
          <cell r="AW42">
            <v>41255</v>
          </cell>
        </row>
        <row r="43">
          <cell r="C43" t="str">
            <v>Chint Solar-Astronergy - CHSM 6609M-MBL-P 195-220_S</v>
          </cell>
          <cell r="D43" t="str">
            <v>Standard Claw</v>
          </cell>
          <cell r="E43">
            <v>5000005</v>
          </cell>
          <cell r="F43">
            <v>39.133858267716541</v>
          </cell>
          <cell r="G43">
            <v>58.818897637795281</v>
          </cell>
          <cell r="H43">
            <v>1.7716535433070868</v>
          </cell>
          <cell r="I43">
            <v>200010703</v>
          </cell>
          <cell r="J43">
            <v>200010803</v>
          </cell>
          <cell r="K43">
            <v>200013803</v>
          </cell>
          <cell r="L43">
            <v>200016303</v>
          </cell>
          <cell r="M43">
            <v>500012563</v>
          </cell>
          <cell r="N43">
            <v>500012663</v>
          </cell>
          <cell r="O43">
            <v>500012563</v>
          </cell>
          <cell r="P43">
            <v>500012663</v>
          </cell>
          <cell r="Q43">
            <v>11.593851817515533</v>
          </cell>
          <cell r="R43">
            <v>10.361517999726759</v>
          </cell>
          <cell r="S43">
            <v>4.8893107769288457</v>
          </cell>
          <cell r="T43">
            <v>4.8893107769288457</v>
          </cell>
          <cell r="U43">
            <v>11.593851817515533</v>
          </cell>
          <cell r="V43">
            <v>10.361517999726759</v>
          </cell>
          <cell r="W43">
            <v>50</v>
          </cell>
          <cell r="X43">
            <v>35.614173228346459</v>
          </cell>
          <cell r="Y43">
            <v>60.526574803149607</v>
          </cell>
          <cell r="Z43">
            <v>35.614173228346459</v>
          </cell>
          <cell r="AA43">
            <v>60.526574803149607</v>
          </cell>
          <cell r="AB43">
            <v>35.614173228346459</v>
          </cell>
          <cell r="AC43">
            <v>60.526574803149607</v>
          </cell>
          <cell r="AD43">
            <v>60.526574803149607</v>
          </cell>
          <cell r="AE43">
            <v>59.318897637795281</v>
          </cell>
          <cell r="AF43">
            <v>17.318897637795281</v>
          </cell>
          <cell r="AG43">
            <v>40.240157480314963</v>
          </cell>
          <cell r="AH43" t="str">
            <v>N</v>
          </cell>
          <cell r="AI43">
            <v>39.69</v>
          </cell>
          <cell r="AJ43">
            <v>18</v>
          </cell>
          <cell r="AK43" t="str">
            <v>TBD</v>
          </cell>
          <cell r="AL43" t="str">
            <v>Y</v>
          </cell>
          <cell r="AM43">
            <v>200018401</v>
          </cell>
          <cell r="AN43">
            <v>200028401</v>
          </cell>
          <cell r="AO43">
            <v>200018301</v>
          </cell>
          <cell r="AP43">
            <v>200028301</v>
          </cell>
          <cell r="AQ43">
            <v>200018201</v>
          </cell>
          <cell r="AR43">
            <v>200028201</v>
          </cell>
          <cell r="AS43">
            <v>13.22222222222222</v>
          </cell>
          <cell r="AT43">
            <v>19.905846229389603</v>
          </cell>
          <cell r="AU43">
            <v>14.852704372847956</v>
          </cell>
          <cell r="AV43">
            <v>10.143144054640397</v>
          </cell>
          <cell r="AW43">
            <v>40808</v>
          </cell>
        </row>
        <row r="44">
          <cell r="C44" t="str">
            <v>Chint Solar-Astronergy - CHSM 5612M-MBL  175-195_S</v>
          </cell>
          <cell r="D44" t="str">
            <v>Standard Claw</v>
          </cell>
          <cell r="E44">
            <v>5000005</v>
          </cell>
          <cell r="F44">
            <v>31.811023622047244</v>
          </cell>
          <cell r="G44">
            <v>62.204724409448822</v>
          </cell>
          <cell r="H44">
            <v>1.7716535433070868</v>
          </cell>
          <cell r="I44">
            <v>200010704</v>
          </cell>
          <cell r="J44">
            <v>200010804</v>
          </cell>
          <cell r="K44">
            <v>200013804</v>
          </cell>
          <cell r="L44">
            <v>200016304</v>
          </cell>
          <cell r="M44">
            <v>500012566</v>
          </cell>
          <cell r="N44">
            <v>500012666</v>
          </cell>
          <cell r="O44">
            <v>500012567</v>
          </cell>
          <cell r="P44">
            <v>500012667</v>
          </cell>
          <cell r="Q44">
            <v>14.654630017902306</v>
          </cell>
          <cell r="R44">
            <v>13.085950308426501</v>
          </cell>
          <cell r="S44">
            <v>6.1592321259996137</v>
          </cell>
          <cell r="T44">
            <v>6.1592321259996137</v>
          </cell>
          <cell r="U44">
            <v>14.654630017902306</v>
          </cell>
          <cell r="V44">
            <v>13.085950308426501</v>
          </cell>
          <cell r="W44">
            <v>50</v>
          </cell>
          <cell r="X44">
            <v>28.291338582677167</v>
          </cell>
          <cell r="Y44">
            <v>63.912401574803155</v>
          </cell>
          <cell r="Z44">
            <v>28.291338582677167</v>
          </cell>
          <cell r="AA44">
            <v>63.912401574803155</v>
          </cell>
          <cell r="AB44">
            <v>28.291338582677167</v>
          </cell>
          <cell r="AC44">
            <v>63.912401574803155</v>
          </cell>
          <cell r="AD44">
            <v>63.912401574803155</v>
          </cell>
          <cell r="AE44">
            <v>62.704724409448822</v>
          </cell>
          <cell r="AF44">
            <v>20.704724409448822</v>
          </cell>
          <cell r="AG44">
            <v>32.917322834645674</v>
          </cell>
          <cell r="AH44" t="str">
            <v>N</v>
          </cell>
          <cell r="AI44">
            <v>34.177500000000002</v>
          </cell>
          <cell r="AJ44">
            <v>15.5</v>
          </cell>
          <cell r="AK44" t="str">
            <v>TBD</v>
          </cell>
          <cell r="AL44" t="str">
            <v>Y</v>
          </cell>
          <cell r="AM44">
            <v>200018402</v>
          </cell>
          <cell r="AN44">
            <v>200028402</v>
          </cell>
          <cell r="AO44">
            <v>200018302</v>
          </cell>
          <cell r="AP44">
            <v>200028302</v>
          </cell>
          <cell r="AQ44">
            <v>200018202</v>
          </cell>
          <cell r="AR44">
            <v>200028202</v>
          </cell>
          <cell r="AS44">
            <v>13.888888888888888</v>
          </cell>
          <cell r="AT44">
            <v>24.596053002504043</v>
          </cell>
          <cell r="AU44">
            <v>18.2618154872692</v>
          </cell>
          <cell r="AV44">
            <v>12.432263001540642</v>
          </cell>
          <cell r="AW44">
            <v>40808</v>
          </cell>
        </row>
        <row r="45">
          <cell r="C45" t="str">
            <v>Chint Solar-Astronergy - CHSM 5611M 160-175_S</v>
          </cell>
          <cell r="D45" t="str">
            <v>Standard Claw</v>
          </cell>
          <cell r="E45">
            <v>5000005</v>
          </cell>
          <cell r="F45">
            <v>31.811023622047244</v>
          </cell>
          <cell r="G45">
            <v>57.204724409448822</v>
          </cell>
          <cell r="H45">
            <v>1.7716535433070868</v>
          </cell>
          <cell r="I45">
            <v>200010702</v>
          </cell>
          <cell r="J45">
            <v>200010802</v>
          </cell>
          <cell r="K45">
            <v>200013802</v>
          </cell>
          <cell r="L45">
            <v>200016302</v>
          </cell>
          <cell r="M45">
            <v>500012561</v>
          </cell>
          <cell r="N45">
            <v>500012661</v>
          </cell>
          <cell r="O45">
            <v>500012562</v>
          </cell>
          <cell r="P45">
            <v>500012662</v>
          </cell>
          <cell r="Q45">
            <v>14.654630017902306</v>
          </cell>
          <cell r="R45">
            <v>13.085950308426501</v>
          </cell>
          <cell r="S45">
            <v>6.1592321259996137</v>
          </cell>
          <cell r="T45">
            <v>6.1592321259996137</v>
          </cell>
          <cell r="U45">
            <v>14.654630017902306</v>
          </cell>
          <cell r="V45">
            <v>13.085950308426501</v>
          </cell>
          <cell r="W45">
            <v>50</v>
          </cell>
          <cell r="X45">
            <v>28.291338582677167</v>
          </cell>
          <cell r="Y45">
            <v>58.912401574803155</v>
          </cell>
          <cell r="Z45">
            <v>28.291338582677167</v>
          </cell>
          <cell r="AA45">
            <v>58.912401574803155</v>
          </cell>
          <cell r="AB45">
            <v>28.291338582677167</v>
          </cell>
          <cell r="AC45">
            <v>58.912401574803155</v>
          </cell>
          <cell r="AD45">
            <v>58.912401574803155</v>
          </cell>
          <cell r="AE45" t="str">
            <v>NA</v>
          </cell>
          <cell r="AF45" t="str">
            <v>NA</v>
          </cell>
          <cell r="AG45" t="str">
            <v>NA</v>
          </cell>
          <cell r="AH45" t="str">
            <v>N</v>
          </cell>
          <cell r="AI45">
            <v>31.531500000000001</v>
          </cell>
          <cell r="AJ45">
            <v>14.3</v>
          </cell>
          <cell r="AK45" t="str">
            <v>TBD</v>
          </cell>
          <cell r="AL45" t="str">
            <v>Y</v>
          </cell>
          <cell r="AM45" t="str">
            <v>2000184TBD</v>
          </cell>
          <cell r="AN45" t="str">
            <v>2000284TBD</v>
          </cell>
          <cell r="AO45" t="str">
            <v>2000183TBD</v>
          </cell>
          <cell r="AP45" t="str">
            <v>2000283TBD</v>
          </cell>
          <cell r="AQ45" t="str">
            <v>2000182TBD</v>
          </cell>
          <cell r="AR45" t="str">
            <v>2000282TBD</v>
          </cell>
          <cell r="AS45" t="str">
            <v>TBD</v>
          </cell>
          <cell r="AT45" t="str">
            <v>NA</v>
          </cell>
          <cell r="AU45" t="str">
            <v>NA</v>
          </cell>
          <cell r="AV45" t="str">
            <v>NA</v>
          </cell>
          <cell r="AW45">
            <v>40808</v>
          </cell>
        </row>
        <row r="46">
          <cell r="C46" t="str">
            <v>Chint Solar-Astronergy - CHSM 6606P 130-145_S</v>
          </cell>
          <cell r="D46" t="str">
            <v>Standard Claw</v>
          </cell>
          <cell r="E46">
            <v>5000005</v>
          </cell>
          <cell r="F46">
            <v>39.133858267716541</v>
          </cell>
          <cell r="G46">
            <v>40.15748031496063</v>
          </cell>
          <cell r="H46">
            <v>1.7716535433070868</v>
          </cell>
          <cell r="I46" t="str">
            <v>2000107TBD</v>
          </cell>
          <cell r="J46" t="str">
            <v>2000108TBD</v>
          </cell>
          <cell r="K46" t="str">
            <v>2000138TBD</v>
          </cell>
          <cell r="L46" t="str">
            <v>2000163TBD</v>
          </cell>
          <cell r="M46" t="str">
            <v>5000125TBD</v>
          </cell>
          <cell r="N46" t="str">
            <v>5000126TBD</v>
          </cell>
          <cell r="O46" t="str">
            <v>5000125TBD</v>
          </cell>
          <cell r="P46" t="str">
            <v>5000126TBD</v>
          </cell>
          <cell r="Q46">
            <v>11.593851817515533</v>
          </cell>
          <cell r="R46">
            <v>10.361517999726759</v>
          </cell>
          <cell r="S46">
            <v>4.8893107769288457</v>
          </cell>
          <cell r="T46">
            <v>4.8893107769288457</v>
          </cell>
          <cell r="U46">
            <v>11.593851817515533</v>
          </cell>
          <cell r="V46">
            <v>10.361517999726759</v>
          </cell>
          <cell r="W46">
            <v>50</v>
          </cell>
          <cell r="X46">
            <v>35.614173228346459</v>
          </cell>
          <cell r="Y46">
            <v>41.865157480314963</v>
          </cell>
          <cell r="Z46">
            <v>35.614173228346459</v>
          </cell>
          <cell r="AA46">
            <v>41.865157480314963</v>
          </cell>
          <cell r="AB46">
            <v>35.614173228346459</v>
          </cell>
          <cell r="AC46">
            <v>41.865157480314963</v>
          </cell>
          <cell r="AD46">
            <v>41.865157480314963</v>
          </cell>
          <cell r="AE46" t="str">
            <v>NA</v>
          </cell>
          <cell r="AF46" t="str">
            <v>NA</v>
          </cell>
          <cell r="AG46" t="str">
            <v>NA</v>
          </cell>
          <cell r="AH46" t="str">
            <v>N</v>
          </cell>
          <cell r="AI46">
            <v>26.46</v>
          </cell>
          <cell r="AJ46">
            <v>12</v>
          </cell>
          <cell r="AK46" t="str">
            <v>TBD</v>
          </cell>
          <cell r="AL46" t="str">
            <v>Y</v>
          </cell>
          <cell r="AM46" t="str">
            <v>2000184TBD</v>
          </cell>
          <cell r="AN46" t="str">
            <v>2000284TBD</v>
          </cell>
          <cell r="AO46" t="str">
            <v>2000183TBD</v>
          </cell>
          <cell r="AP46" t="str">
            <v>2000283TBD</v>
          </cell>
          <cell r="AQ46" t="str">
            <v>2000182TBD</v>
          </cell>
          <cell r="AR46" t="str">
            <v>2000282TBD</v>
          </cell>
          <cell r="AS46" t="str">
            <v>TBD</v>
          </cell>
          <cell r="AT46" t="str">
            <v>NA</v>
          </cell>
          <cell r="AU46" t="str">
            <v>NA</v>
          </cell>
          <cell r="AV46" t="str">
            <v>NA</v>
          </cell>
          <cell r="AW46">
            <v>40808</v>
          </cell>
        </row>
        <row r="47">
          <cell r="C47" t="str">
            <v>Chint Solar-Astronergy - CHSM 6612P 245-275_S</v>
          </cell>
          <cell r="D47" t="str">
            <v>Standard Claw</v>
          </cell>
          <cell r="E47">
            <v>5000005</v>
          </cell>
          <cell r="F47">
            <v>39.133858267716541</v>
          </cell>
          <cell r="G47">
            <v>77.00787401574803</v>
          </cell>
          <cell r="H47">
            <v>1.9685039370078741</v>
          </cell>
          <cell r="I47">
            <v>200010707</v>
          </cell>
          <cell r="J47">
            <v>200010807</v>
          </cell>
          <cell r="K47">
            <v>200013807</v>
          </cell>
          <cell r="L47">
            <v>200016307</v>
          </cell>
          <cell r="M47">
            <v>500012581</v>
          </cell>
          <cell r="N47">
            <v>500012681</v>
          </cell>
          <cell r="O47">
            <v>500012581</v>
          </cell>
          <cell r="P47">
            <v>500012681</v>
          </cell>
          <cell r="Q47">
            <v>11.672349814003409</v>
          </cell>
          <cell r="R47">
            <v>10.431474434518069</v>
          </cell>
          <cell r="S47">
            <v>4.9220372409246478</v>
          </cell>
          <cell r="T47">
            <v>4.9220372409246478</v>
          </cell>
          <cell r="U47">
            <v>11.672349814003409</v>
          </cell>
          <cell r="V47">
            <v>10.431474434518069</v>
          </cell>
          <cell r="W47">
            <v>40</v>
          </cell>
          <cell r="X47">
            <v>35.377952755905511</v>
          </cell>
          <cell r="Y47">
            <v>78.479330708661422</v>
          </cell>
          <cell r="Z47">
            <v>35.377952755905511</v>
          </cell>
          <cell r="AA47">
            <v>78.479330708661422</v>
          </cell>
          <cell r="AB47">
            <v>35.377952755905511</v>
          </cell>
          <cell r="AC47">
            <v>78.479330708661422</v>
          </cell>
          <cell r="AD47">
            <v>78.479330708661422</v>
          </cell>
          <cell r="AE47">
            <v>77.507874015748044</v>
          </cell>
          <cell r="AF47">
            <v>35.507874015748037</v>
          </cell>
          <cell r="AG47">
            <v>40.003937007874022</v>
          </cell>
          <cell r="AH47" t="str">
            <v>N</v>
          </cell>
          <cell r="AI47">
            <v>51.817500000000003</v>
          </cell>
          <cell r="AJ47">
            <v>23.5</v>
          </cell>
          <cell r="AK47" t="str">
            <v>TBD</v>
          </cell>
          <cell r="AL47" t="str">
            <v>Y</v>
          </cell>
          <cell r="AM47">
            <v>200018407</v>
          </cell>
          <cell r="AN47">
            <v>200028407</v>
          </cell>
          <cell r="AO47">
            <v>200018307</v>
          </cell>
          <cell r="AP47">
            <v>200028307</v>
          </cell>
          <cell r="AQ47">
            <v>200018207</v>
          </cell>
          <cell r="AR47">
            <v>200028207</v>
          </cell>
          <cell r="AS47">
            <v>17.222222222222221</v>
          </cell>
          <cell r="AT47">
            <v>20.028405717951866</v>
          </cell>
          <cell r="AU47">
            <v>14.942446078078534</v>
          </cell>
          <cell r="AV47">
            <v>10.203677993133164</v>
          </cell>
          <cell r="AW47">
            <v>40808</v>
          </cell>
        </row>
        <row r="48">
          <cell r="C48" t="str">
            <v>Chint Solar-Astronergy - CHSM 6611P 265-295_S</v>
          </cell>
          <cell r="D48" t="str">
            <v>Standard Claw</v>
          </cell>
          <cell r="E48">
            <v>5000005</v>
          </cell>
          <cell r="F48">
            <v>39.133858267716541</v>
          </cell>
          <cell r="G48">
            <v>70.787401574803155</v>
          </cell>
          <cell r="H48">
            <v>1.9685039370078741</v>
          </cell>
          <cell r="I48">
            <v>200010706</v>
          </cell>
          <cell r="J48">
            <v>200010806</v>
          </cell>
          <cell r="K48">
            <v>200013806</v>
          </cell>
          <cell r="L48">
            <v>200016306</v>
          </cell>
          <cell r="M48">
            <v>500012574</v>
          </cell>
          <cell r="N48">
            <v>500012674</v>
          </cell>
          <cell r="O48">
            <v>500012575</v>
          </cell>
          <cell r="P48">
            <v>500012675</v>
          </cell>
          <cell r="Q48">
            <v>11.672349814003409</v>
          </cell>
          <cell r="R48">
            <v>10.431474434518069</v>
          </cell>
          <cell r="S48">
            <v>4.9220372409246478</v>
          </cell>
          <cell r="T48">
            <v>4.9220372409246478</v>
          </cell>
          <cell r="U48">
            <v>11.672349814003409</v>
          </cell>
          <cell r="V48">
            <v>10.431474434518069</v>
          </cell>
          <cell r="W48">
            <v>40</v>
          </cell>
          <cell r="X48">
            <v>35.377952755905511</v>
          </cell>
          <cell r="Y48">
            <v>72.258858267716533</v>
          </cell>
          <cell r="Z48">
            <v>35.377952755905511</v>
          </cell>
          <cell r="AA48">
            <v>72.258858267716533</v>
          </cell>
          <cell r="AB48">
            <v>35.377952755905511</v>
          </cell>
          <cell r="AC48">
            <v>72.258858267716533</v>
          </cell>
          <cell r="AD48">
            <v>72.258858267716533</v>
          </cell>
          <cell r="AE48">
            <v>71.287401574803155</v>
          </cell>
          <cell r="AF48">
            <v>29.287401574803155</v>
          </cell>
          <cell r="AG48">
            <v>40.003937007874022</v>
          </cell>
          <cell r="AH48" t="str">
            <v>N</v>
          </cell>
          <cell r="AI48">
            <v>48.510000000000005</v>
          </cell>
          <cell r="AJ48">
            <v>22</v>
          </cell>
          <cell r="AK48" t="str">
            <v>TBD</v>
          </cell>
          <cell r="AL48" t="str">
            <v>Y</v>
          </cell>
          <cell r="AM48">
            <v>200018405</v>
          </cell>
          <cell r="AN48">
            <v>200028405</v>
          </cell>
          <cell r="AO48">
            <v>200018305</v>
          </cell>
          <cell r="AP48">
            <v>200028305</v>
          </cell>
          <cell r="AQ48">
            <v>200018205</v>
          </cell>
          <cell r="AR48">
            <v>200028205</v>
          </cell>
          <cell r="AS48">
            <v>15.888888888888888</v>
          </cell>
          <cell r="AT48">
            <v>20.028405717951866</v>
          </cell>
          <cell r="AU48">
            <v>14.942446078078534</v>
          </cell>
          <cell r="AV48">
            <v>10.203677993133164</v>
          </cell>
          <cell r="AW48">
            <v>40808</v>
          </cell>
        </row>
        <row r="49">
          <cell r="C49" t="str">
            <v>CNPV - CNPV-160-210M_S</v>
          </cell>
          <cell r="D49" t="str">
            <v>Standard Claw</v>
          </cell>
          <cell r="E49">
            <v>5000005</v>
          </cell>
          <cell r="F49">
            <v>31.850393700787404</v>
          </cell>
          <cell r="G49">
            <v>62.244094488188978</v>
          </cell>
          <cell r="H49">
            <v>1.5748031496062993</v>
          </cell>
          <cell r="I49">
            <v>200010704</v>
          </cell>
          <cell r="J49">
            <v>200010804</v>
          </cell>
          <cell r="K49">
            <v>200013804</v>
          </cell>
          <cell r="L49">
            <v>200016304</v>
          </cell>
          <cell r="M49">
            <v>500012566</v>
          </cell>
          <cell r="N49">
            <v>500012666</v>
          </cell>
          <cell r="O49">
            <v>500012566</v>
          </cell>
          <cell r="P49">
            <v>500012666</v>
          </cell>
          <cell r="Q49">
            <v>14.974281783352525</v>
          </cell>
          <cell r="R49">
            <v>13.370047881683151</v>
          </cell>
          <cell r="S49">
            <v>6.2910650043569554</v>
          </cell>
          <cell r="T49">
            <v>6.2910650043569554</v>
          </cell>
          <cell r="U49">
            <v>14.974281783352525</v>
          </cell>
          <cell r="V49">
            <v>13.370047881683151</v>
          </cell>
          <cell r="W49">
            <v>30</v>
          </cell>
          <cell r="X49">
            <v>27.700787401574807</v>
          </cell>
          <cell r="Y49">
            <v>63.321850393700792</v>
          </cell>
          <cell r="Z49">
            <v>27.700787401574807</v>
          </cell>
          <cell r="AA49">
            <v>63.321850393700792</v>
          </cell>
          <cell r="AB49">
            <v>27.700787401574807</v>
          </cell>
          <cell r="AC49">
            <v>63.321850393700792</v>
          </cell>
          <cell r="AD49">
            <v>63.321850393700792</v>
          </cell>
          <cell r="AE49">
            <v>62.744094488188985</v>
          </cell>
          <cell r="AF49">
            <v>20.744094488188981</v>
          </cell>
          <cell r="AG49">
            <v>32.326771653543311</v>
          </cell>
          <cell r="AH49" t="str">
            <v>Y</v>
          </cell>
          <cell r="AI49">
            <v>34.177500000000002</v>
          </cell>
          <cell r="AJ49">
            <v>15.5</v>
          </cell>
          <cell r="AK49" t="str">
            <v>TBD</v>
          </cell>
          <cell r="AL49" t="str">
            <v>Y</v>
          </cell>
          <cell r="AM49">
            <v>200018402</v>
          </cell>
          <cell r="AN49">
            <v>200028402</v>
          </cell>
          <cell r="AO49">
            <v>200018302</v>
          </cell>
          <cell r="AP49">
            <v>200028302</v>
          </cell>
          <cell r="AQ49">
            <v>200018202</v>
          </cell>
          <cell r="AR49">
            <v>200028202</v>
          </cell>
          <cell r="AS49">
            <v>13.888888888888888</v>
          </cell>
          <cell r="AT49">
            <v>25.076103795423887</v>
          </cell>
          <cell r="AU49">
            <v>18.607547533034456</v>
          </cell>
          <cell r="AV49">
            <v>12.663113701532669</v>
          </cell>
          <cell r="AW49">
            <v>40862</v>
          </cell>
        </row>
        <row r="50">
          <cell r="C50" t="str">
            <v>CNPV - CNPV-190-230M-54_S</v>
          </cell>
          <cell r="D50" t="str">
            <v>Standard Claw</v>
          </cell>
          <cell r="E50">
            <v>5000005</v>
          </cell>
          <cell r="F50">
            <v>39.055118110236222</v>
          </cell>
          <cell r="G50">
            <v>58.346456692913392</v>
          </cell>
          <cell r="H50">
            <v>1.8110236220472442</v>
          </cell>
          <cell r="I50">
            <v>200010703</v>
          </cell>
          <cell r="J50">
            <v>200010803</v>
          </cell>
          <cell r="K50">
            <v>200013803</v>
          </cell>
          <cell r="L50">
            <v>200016303</v>
          </cell>
          <cell r="M50">
            <v>500012562</v>
          </cell>
          <cell r="N50">
            <v>500012662</v>
          </cell>
          <cell r="O50">
            <v>500012562</v>
          </cell>
          <cell r="P50">
            <v>500012662</v>
          </cell>
          <cell r="Q50">
            <v>11.778694560772582</v>
          </cell>
          <cell r="R50">
            <v>10.526241039665905</v>
          </cell>
          <cell r="S50">
            <v>4.9663610300746015</v>
          </cell>
          <cell r="T50">
            <v>4.9663610300746015</v>
          </cell>
          <cell r="U50">
            <v>11.778694560772582</v>
          </cell>
          <cell r="V50">
            <v>10.526241039665905</v>
          </cell>
          <cell r="W50">
            <v>30</v>
          </cell>
          <cell r="X50">
            <v>35.062992125984252</v>
          </cell>
          <cell r="Y50">
            <v>59.58169291338583</v>
          </cell>
          <cell r="Z50">
            <v>35.062992125984252</v>
          </cell>
          <cell r="AA50">
            <v>59.58169291338583</v>
          </cell>
          <cell r="AB50">
            <v>35.062992125984252</v>
          </cell>
          <cell r="AC50">
            <v>59.58169291338583</v>
          </cell>
          <cell r="AD50">
            <v>59.58169291338583</v>
          </cell>
          <cell r="AE50">
            <v>58.846456692913392</v>
          </cell>
          <cell r="AF50">
            <v>16.846456692913389</v>
          </cell>
          <cell r="AG50">
            <v>39.688976377952756</v>
          </cell>
          <cell r="AH50" t="str">
            <v>Y</v>
          </cell>
          <cell r="AI50">
            <v>39.69</v>
          </cell>
          <cell r="AJ50">
            <v>18</v>
          </cell>
          <cell r="AK50" t="str">
            <v>TBD</v>
          </cell>
          <cell r="AL50" t="str">
            <v>Y</v>
          </cell>
          <cell r="AM50">
            <v>200018401</v>
          </cell>
          <cell r="AN50">
            <v>200028401</v>
          </cell>
          <cell r="AO50">
            <v>200018301</v>
          </cell>
          <cell r="AP50">
            <v>200028301</v>
          </cell>
          <cell r="AQ50">
            <v>200018201</v>
          </cell>
          <cell r="AR50">
            <v>200028201</v>
          </cell>
          <cell r="AS50">
            <v>13.22222222222222</v>
          </cell>
          <cell r="AT50">
            <v>20.19423994993074</v>
          </cell>
          <cell r="AU50">
            <v>15.063823110425394</v>
          </cell>
          <cell r="AV50">
            <v>10.285529115768481</v>
          </cell>
          <cell r="AW50">
            <v>40862</v>
          </cell>
        </row>
        <row r="51">
          <cell r="C51" t="str">
            <v>CNPV - CNPV-200-255M_S</v>
          </cell>
          <cell r="D51" t="str">
            <v>Standard Claw</v>
          </cell>
          <cell r="E51">
            <v>5000005</v>
          </cell>
          <cell r="F51">
            <v>39.055118110236222</v>
          </cell>
          <cell r="G51">
            <v>64.960629921259851</v>
          </cell>
          <cell r="H51">
            <v>1.8110236220472442</v>
          </cell>
          <cell r="I51">
            <v>200010704</v>
          </cell>
          <cell r="J51">
            <v>200010804</v>
          </cell>
          <cell r="K51">
            <v>200013804</v>
          </cell>
          <cell r="L51">
            <v>200016304</v>
          </cell>
          <cell r="M51">
            <v>500012568</v>
          </cell>
          <cell r="N51">
            <v>500012668</v>
          </cell>
          <cell r="O51">
            <v>500012569</v>
          </cell>
          <cell r="P51">
            <v>500012669</v>
          </cell>
          <cell r="Q51">
            <v>11.778694560772582</v>
          </cell>
          <cell r="R51">
            <v>10.526241039665905</v>
          </cell>
          <cell r="S51">
            <v>4.9663610300746015</v>
          </cell>
          <cell r="T51">
            <v>4.9663610300746015</v>
          </cell>
          <cell r="U51">
            <v>11.778694560772582</v>
          </cell>
          <cell r="V51">
            <v>10.526241039665905</v>
          </cell>
          <cell r="W51">
            <v>30</v>
          </cell>
          <cell r="X51">
            <v>35.062992125984252</v>
          </cell>
          <cell r="Y51">
            <v>66.195866141732282</v>
          </cell>
          <cell r="Z51">
            <v>35.062992125984252</v>
          </cell>
          <cell r="AA51">
            <v>66.195866141732282</v>
          </cell>
          <cell r="AB51">
            <v>35.062992125984252</v>
          </cell>
          <cell r="AC51">
            <v>66.195866141732282</v>
          </cell>
          <cell r="AD51">
            <v>66.195866141732282</v>
          </cell>
          <cell r="AE51">
            <v>65.460629921259851</v>
          </cell>
          <cell r="AF51">
            <v>23.460629921259848</v>
          </cell>
          <cell r="AG51">
            <v>39.688976377952756</v>
          </cell>
          <cell r="AH51" t="str">
            <v>Y</v>
          </cell>
          <cell r="AI51">
            <v>44.1</v>
          </cell>
          <cell r="AJ51">
            <v>20</v>
          </cell>
          <cell r="AK51" t="str">
            <v>TBD</v>
          </cell>
          <cell r="AL51" t="str">
            <v>Y</v>
          </cell>
          <cell r="AM51">
            <v>200018403</v>
          </cell>
          <cell r="AN51">
            <v>200028403</v>
          </cell>
          <cell r="AO51">
            <v>200018303</v>
          </cell>
          <cell r="AP51">
            <v>200028303</v>
          </cell>
          <cell r="AQ51">
            <v>200018203</v>
          </cell>
          <cell r="AR51">
            <v>200028203</v>
          </cell>
          <cell r="AS51">
            <v>14.555555555555557</v>
          </cell>
          <cell r="AT51">
            <v>20.19423994993074</v>
          </cell>
          <cell r="AU51">
            <v>15.063823110425394</v>
          </cell>
          <cell r="AV51">
            <v>10.285529115768481</v>
          </cell>
          <cell r="AW51">
            <v>40862</v>
          </cell>
        </row>
        <row r="52">
          <cell r="C52" t="str">
            <v>CNPV - CNPV-255-320M_S</v>
          </cell>
          <cell r="D52" t="str">
            <v>Standard Claw</v>
          </cell>
          <cell r="E52">
            <v>5000005</v>
          </cell>
          <cell r="F52">
            <v>39.055118110236222</v>
          </cell>
          <cell r="G52">
            <v>77.362204724409452</v>
          </cell>
          <cell r="H52">
            <v>1.8110236220472442</v>
          </cell>
          <cell r="I52">
            <v>200010707</v>
          </cell>
          <cell r="J52">
            <v>200010807</v>
          </cell>
          <cell r="K52">
            <v>200013807</v>
          </cell>
          <cell r="L52">
            <v>200016307</v>
          </cell>
          <cell r="M52">
            <v>500012581</v>
          </cell>
          <cell r="N52">
            <v>500012681</v>
          </cell>
          <cell r="O52">
            <v>500012581</v>
          </cell>
          <cell r="P52">
            <v>500012681</v>
          </cell>
          <cell r="Q52">
            <v>11.778694560772582</v>
          </cell>
          <cell r="R52">
            <v>10.526241039665905</v>
          </cell>
          <cell r="S52">
            <v>4.9663610300746015</v>
          </cell>
          <cell r="T52">
            <v>4.9663610300746015</v>
          </cell>
          <cell r="U52">
            <v>11.778694560772582</v>
          </cell>
          <cell r="V52">
            <v>10.526241039665905</v>
          </cell>
          <cell r="W52">
            <v>30</v>
          </cell>
          <cell r="X52">
            <v>35.062992125984252</v>
          </cell>
          <cell r="Y52">
            <v>78.597440944881896</v>
          </cell>
          <cell r="Z52">
            <v>35.062992125984252</v>
          </cell>
          <cell r="AA52">
            <v>78.597440944881896</v>
          </cell>
          <cell r="AB52">
            <v>35.062992125984252</v>
          </cell>
          <cell r="AC52">
            <v>78.597440944881896</v>
          </cell>
          <cell r="AD52">
            <v>78.597440944881896</v>
          </cell>
          <cell r="AE52">
            <v>77.862204724409452</v>
          </cell>
          <cell r="AF52">
            <v>35.862204724409452</v>
          </cell>
          <cell r="AG52">
            <v>39.688976377952756</v>
          </cell>
          <cell r="AH52" t="str">
            <v>Y</v>
          </cell>
          <cell r="AI52">
            <v>55.125</v>
          </cell>
          <cell r="AJ52">
            <v>25</v>
          </cell>
          <cell r="AK52" t="str">
            <v>TBD</v>
          </cell>
          <cell r="AL52" t="str">
            <v>Y</v>
          </cell>
          <cell r="AM52">
            <v>200018407</v>
          </cell>
          <cell r="AN52">
            <v>200028407</v>
          </cell>
          <cell r="AO52">
            <v>200018307</v>
          </cell>
          <cell r="AP52">
            <v>200028307</v>
          </cell>
          <cell r="AQ52">
            <v>200018207</v>
          </cell>
          <cell r="AR52">
            <v>200028207</v>
          </cell>
          <cell r="AS52">
            <v>17.222222222222221</v>
          </cell>
          <cell r="AT52">
            <v>20.19423994993074</v>
          </cell>
          <cell r="AU52">
            <v>15.063823110425394</v>
          </cell>
          <cell r="AV52">
            <v>10.285529115768481</v>
          </cell>
          <cell r="AW52">
            <v>40862</v>
          </cell>
        </row>
        <row r="53">
          <cell r="C53" t="str">
            <v>CNPV - CNPV-115-145P_S</v>
          </cell>
          <cell r="D53" t="str">
            <v>Standard Claw</v>
          </cell>
          <cell r="E53">
            <v>5000005</v>
          </cell>
          <cell r="F53">
            <v>26.535433070866144</v>
          </cell>
          <cell r="G53">
            <v>58.740157480314963</v>
          </cell>
          <cell r="H53">
            <v>1.5748031496062993</v>
          </cell>
          <cell r="I53">
            <v>200010703</v>
          </cell>
          <cell r="J53">
            <v>200010803</v>
          </cell>
          <cell r="K53">
            <v>200013803</v>
          </cell>
          <cell r="L53">
            <v>200016303</v>
          </cell>
          <cell r="M53">
            <v>500012562</v>
          </cell>
          <cell r="N53">
            <v>500012662</v>
          </cell>
          <cell r="O53">
            <v>500012563</v>
          </cell>
          <cell r="P53">
            <v>500012663</v>
          </cell>
          <cell r="Q53">
            <v>18.646759082927325</v>
          </cell>
          <cell r="R53">
            <v>16.627087624346455</v>
          </cell>
          <cell r="S53">
            <v>7.7930967180026212</v>
          </cell>
          <cell r="T53">
            <v>7.7930967180026212</v>
          </cell>
          <cell r="U53">
            <v>18.646759082927325</v>
          </cell>
          <cell r="V53">
            <v>16.627087624346455</v>
          </cell>
          <cell r="W53">
            <v>30</v>
          </cell>
          <cell r="X53">
            <v>22.385826771653544</v>
          </cell>
          <cell r="Y53">
            <v>59.817913385826778</v>
          </cell>
          <cell r="Z53">
            <v>22.385826771653544</v>
          </cell>
          <cell r="AA53">
            <v>59.817913385826778</v>
          </cell>
          <cell r="AB53">
            <v>22.385826771653544</v>
          </cell>
          <cell r="AC53">
            <v>59.817913385826778</v>
          </cell>
          <cell r="AD53">
            <v>59.817913385826778</v>
          </cell>
          <cell r="AE53">
            <v>59.240157480314963</v>
          </cell>
          <cell r="AF53">
            <v>17.240157480314966</v>
          </cell>
          <cell r="AG53">
            <v>27.011811023622048</v>
          </cell>
          <cell r="AH53" t="str">
            <v>Y</v>
          </cell>
          <cell r="AI53">
            <v>28.664999999999999</v>
          </cell>
          <cell r="AJ53">
            <v>13</v>
          </cell>
          <cell r="AK53" t="str">
            <v>TBD</v>
          </cell>
          <cell r="AL53" t="str">
            <v>Y</v>
          </cell>
          <cell r="AM53">
            <v>200018401</v>
          </cell>
          <cell r="AN53">
            <v>200028401</v>
          </cell>
          <cell r="AO53">
            <v>200018301</v>
          </cell>
          <cell r="AP53">
            <v>200028301</v>
          </cell>
          <cell r="AQ53">
            <v>200018201</v>
          </cell>
          <cell r="AR53">
            <v>200028201</v>
          </cell>
          <cell r="AS53">
            <v>13.22222222222222</v>
          </cell>
          <cell r="AT53">
            <v>30.478479205322657</v>
          </cell>
          <cell r="AU53">
            <v>22.449471967224024</v>
          </cell>
          <cell r="AV53">
            <v>15.209692728873973</v>
          </cell>
          <cell r="AW53">
            <v>40862</v>
          </cell>
        </row>
        <row r="54">
          <cell r="C54" t="str">
            <v>CNPV - CNPV-190-220P-54_S</v>
          </cell>
          <cell r="D54" t="str">
            <v>Standard Claw</v>
          </cell>
          <cell r="E54">
            <v>5000005</v>
          </cell>
          <cell r="F54">
            <v>39.055118110236222</v>
          </cell>
          <cell r="G54">
            <v>58.346456692913392</v>
          </cell>
          <cell r="H54">
            <v>1.8110236220472442</v>
          </cell>
          <cell r="I54">
            <v>200010703</v>
          </cell>
          <cell r="J54">
            <v>200010803</v>
          </cell>
          <cell r="K54">
            <v>200013803</v>
          </cell>
          <cell r="L54">
            <v>200016303</v>
          </cell>
          <cell r="M54">
            <v>500012562</v>
          </cell>
          <cell r="N54">
            <v>500012662</v>
          </cell>
          <cell r="O54">
            <v>500012562</v>
          </cell>
          <cell r="P54">
            <v>500012662</v>
          </cell>
          <cell r="Q54">
            <v>11.778694560772582</v>
          </cell>
          <cell r="R54">
            <v>10.526241039665905</v>
          </cell>
          <cell r="S54">
            <v>4.9663610300746015</v>
          </cell>
          <cell r="T54">
            <v>4.9663610300746015</v>
          </cell>
          <cell r="U54">
            <v>11.778694560772582</v>
          </cell>
          <cell r="V54">
            <v>10.526241039665905</v>
          </cell>
          <cell r="W54">
            <v>30</v>
          </cell>
          <cell r="X54">
            <v>35.062992125984252</v>
          </cell>
          <cell r="Y54">
            <v>59.58169291338583</v>
          </cell>
          <cell r="Z54">
            <v>35.062992125984252</v>
          </cell>
          <cell r="AA54">
            <v>59.58169291338583</v>
          </cell>
          <cell r="AB54">
            <v>35.062992125984252</v>
          </cell>
          <cell r="AC54">
            <v>59.58169291338583</v>
          </cell>
          <cell r="AD54">
            <v>59.58169291338583</v>
          </cell>
          <cell r="AE54">
            <v>58.846456692913392</v>
          </cell>
          <cell r="AF54">
            <v>16.846456692913389</v>
          </cell>
          <cell r="AG54">
            <v>39.688976377952756</v>
          </cell>
          <cell r="AH54" t="str">
            <v>Y</v>
          </cell>
          <cell r="AI54">
            <v>39.69</v>
          </cell>
          <cell r="AJ54">
            <v>18</v>
          </cell>
          <cell r="AK54" t="str">
            <v>TBD</v>
          </cell>
          <cell r="AL54" t="str">
            <v>Y</v>
          </cell>
          <cell r="AM54">
            <v>200018401</v>
          </cell>
          <cell r="AN54">
            <v>200028401</v>
          </cell>
          <cell r="AO54">
            <v>200018301</v>
          </cell>
          <cell r="AP54">
            <v>200028301</v>
          </cell>
          <cell r="AQ54">
            <v>200018201</v>
          </cell>
          <cell r="AR54">
            <v>200028201</v>
          </cell>
          <cell r="AS54">
            <v>13.22222222222222</v>
          </cell>
          <cell r="AT54">
            <v>20.19423994993074</v>
          </cell>
          <cell r="AU54">
            <v>15.063823110425394</v>
          </cell>
          <cell r="AV54">
            <v>10.285529115768481</v>
          </cell>
          <cell r="AW54">
            <v>40862</v>
          </cell>
        </row>
        <row r="55">
          <cell r="C55" t="str">
            <v>CNPV - CNPV-190-245P_S</v>
          </cell>
          <cell r="D55" t="str">
            <v>Standard Claw</v>
          </cell>
          <cell r="E55">
            <v>5000005</v>
          </cell>
          <cell r="F55">
            <v>39.055118110236222</v>
          </cell>
          <cell r="G55">
            <v>64.960629921259851</v>
          </cell>
          <cell r="H55">
            <v>1.8110236220472442</v>
          </cell>
          <cell r="I55">
            <v>200010704</v>
          </cell>
          <cell r="J55">
            <v>200010804</v>
          </cell>
          <cell r="K55">
            <v>200013804</v>
          </cell>
          <cell r="L55">
            <v>200016304</v>
          </cell>
          <cell r="M55">
            <v>500012568</v>
          </cell>
          <cell r="N55">
            <v>500012668</v>
          </cell>
          <cell r="O55">
            <v>500012569</v>
          </cell>
          <cell r="P55">
            <v>500012669</v>
          </cell>
          <cell r="Q55">
            <v>11.778694560772582</v>
          </cell>
          <cell r="R55">
            <v>10.526241039665905</v>
          </cell>
          <cell r="S55">
            <v>4.9663610300746015</v>
          </cell>
          <cell r="T55">
            <v>4.9663610300746015</v>
          </cell>
          <cell r="U55">
            <v>11.778694560772582</v>
          </cell>
          <cell r="V55">
            <v>10.526241039665905</v>
          </cell>
          <cell r="W55">
            <v>30</v>
          </cell>
          <cell r="X55">
            <v>35.062992125984252</v>
          </cell>
          <cell r="Y55">
            <v>66.195866141732282</v>
          </cell>
          <cell r="Z55">
            <v>35.062992125984252</v>
          </cell>
          <cell r="AA55">
            <v>66.195866141732282</v>
          </cell>
          <cell r="AB55">
            <v>35.062992125984252</v>
          </cell>
          <cell r="AC55">
            <v>66.195866141732282</v>
          </cell>
          <cell r="AD55">
            <v>66.195866141732282</v>
          </cell>
          <cell r="AE55">
            <v>65.460629921259851</v>
          </cell>
          <cell r="AF55">
            <v>23.460629921259848</v>
          </cell>
          <cell r="AG55">
            <v>39.688976377952756</v>
          </cell>
          <cell r="AH55" t="str">
            <v>Y</v>
          </cell>
          <cell r="AI55">
            <v>44.1</v>
          </cell>
          <cell r="AJ55">
            <v>20</v>
          </cell>
          <cell r="AK55" t="str">
            <v>TBD</v>
          </cell>
          <cell r="AL55" t="str">
            <v>Y</v>
          </cell>
          <cell r="AM55">
            <v>200018403</v>
          </cell>
          <cell r="AN55">
            <v>200028403</v>
          </cell>
          <cell r="AO55">
            <v>200018303</v>
          </cell>
          <cell r="AP55">
            <v>200028303</v>
          </cell>
          <cell r="AQ55">
            <v>200018203</v>
          </cell>
          <cell r="AR55">
            <v>200028203</v>
          </cell>
          <cell r="AS55">
            <v>14.555555555555557</v>
          </cell>
          <cell r="AT55">
            <v>20.19423994993074</v>
          </cell>
          <cell r="AU55">
            <v>15.063823110425394</v>
          </cell>
          <cell r="AV55">
            <v>10.285529115768481</v>
          </cell>
          <cell r="AW55">
            <v>40862</v>
          </cell>
        </row>
        <row r="56">
          <cell r="C56" t="str">
            <v>CNPV - CNPV-250-295P_S</v>
          </cell>
          <cell r="D56" t="str">
            <v>Standard Claw</v>
          </cell>
          <cell r="E56">
            <v>5000005</v>
          </cell>
          <cell r="F56">
            <v>39.055118110236222</v>
          </cell>
          <cell r="G56">
            <v>77.362204724409452</v>
          </cell>
          <cell r="H56">
            <v>1.8110236220472442</v>
          </cell>
          <cell r="I56">
            <v>200010707</v>
          </cell>
          <cell r="J56">
            <v>200010807</v>
          </cell>
          <cell r="K56">
            <v>200013807</v>
          </cell>
          <cell r="L56">
            <v>200016307</v>
          </cell>
          <cell r="M56">
            <v>500012581</v>
          </cell>
          <cell r="N56">
            <v>500012681</v>
          </cell>
          <cell r="O56">
            <v>500012581</v>
          </cell>
          <cell r="P56">
            <v>500012681</v>
          </cell>
          <cell r="Q56">
            <v>11.778694560772582</v>
          </cell>
          <cell r="R56">
            <v>10.526241039665905</v>
          </cell>
          <cell r="S56">
            <v>4.9663610300746015</v>
          </cell>
          <cell r="T56">
            <v>4.9663610300746015</v>
          </cell>
          <cell r="U56">
            <v>11.778694560772582</v>
          </cell>
          <cell r="V56">
            <v>10.526241039665905</v>
          </cell>
          <cell r="W56">
            <v>30</v>
          </cell>
          <cell r="X56">
            <v>35.062992125984252</v>
          </cell>
          <cell r="Y56">
            <v>78.597440944881896</v>
          </cell>
          <cell r="Z56">
            <v>35.062992125984252</v>
          </cell>
          <cell r="AA56">
            <v>78.597440944881896</v>
          </cell>
          <cell r="AB56">
            <v>35.062992125984252</v>
          </cell>
          <cell r="AC56">
            <v>78.597440944881896</v>
          </cell>
          <cell r="AD56">
            <v>78.597440944881896</v>
          </cell>
          <cell r="AE56">
            <v>77.862204724409452</v>
          </cell>
          <cell r="AF56">
            <v>35.862204724409452</v>
          </cell>
          <cell r="AG56">
            <v>39.688976377952756</v>
          </cell>
          <cell r="AH56" t="str">
            <v>Y</v>
          </cell>
          <cell r="AI56">
            <v>55.125</v>
          </cell>
          <cell r="AJ56">
            <v>25</v>
          </cell>
          <cell r="AK56" t="str">
            <v>TBD</v>
          </cell>
          <cell r="AL56" t="str">
            <v>Y</v>
          </cell>
          <cell r="AM56">
            <v>200018407</v>
          </cell>
          <cell r="AN56">
            <v>200028407</v>
          </cell>
          <cell r="AO56">
            <v>200018307</v>
          </cell>
          <cell r="AP56">
            <v>200028307</v>
          </cell>
          <cell r="AQ56">
            <v>200018207</v>
          </cell>
          <cell r="AR56">
            <v>200028207</v>
          </cell>
          <cell r="AS56">
            <v>17.222222222222221</v>
          </cell>
          <cell r="AT56">
            <v>20.19423994993074</v>
          </cell>
          <cell r="AU56">
            <v>15.063823110425394</v>
          </cell>
          <cell r="AV56">
            <v>10.285529115768481</v>
          </cell>
          <cell r="AW56">
            <v>40862</v>
          </cell>
        </row>
        <row r="57">
          <cell r="C57" t="str">
            <v>Conergy - P 210-235PA_S</v>
          </cell>
          <cell r="D57" t="str">
            <v>Standard Claw</v>
          </cell>
          <cell r="E57">
            <v>5000005</v>
          </cell>
          <cell r="F57">
            <v>39.370078740157481</v>
          </cell>
          <cell r="G57">
            <v>65.039370078740163</v>
          </cell>
          <cell r="H57">
            <v>1.9685039370078741</v>
          </cell>
          <cell r="I57">
            <v>200010704</v>
          </cell>
          <cell r="J57">
            <v>200010804</v>
          </cell>
          <cell r="K57">
            <v>200013804</v>
          </cell>
          <cell r="L57">
            <v>200016304</v>
          </cell>
          <cell r="M57">
            <v>500012568</v>
          </cell>
          <cell r="N57">
            <v>500012668</v>
          </cell>
          <cell r="O57">
            <v>500012569</v>
          </cell>
          <cell r="P57">
            <v>500012669</v>
          </cell>
          <cell r="Q57">
            <v>11.725279318414811</v>
          </cell>
          <cell r="R57">
            <v>10.478642249707667</v>
          </cell>
          <cell r="S57">
            <v>4.9440996728708777</v>
          </cell>
          <cell r="T57">
            <v>4.9440996728708777</v>
          </cell>
          <cell r="U57">
            <v>11.725279318414811</v>
          </cell>
          <cell r="V57">
            <v>10.478642249707667</v>
          </cell>
          <cell r="W57">
            <v>50</v>
          </cell>
          <cell r="X57">
            <v>35.220472440944881</v>
          </cell>
          <cell r="Y57">
            <v>66.11712598425197</v>
          </cell>
          <cell r="Z57">
            <v>35.220472440944881</v>
          </cell>
          <cell r="AA57">
            <v>66.11712598425197</v>
          </cell>
          <cell r="AB57">
            <v>35.220472440944881</v>
          </cell>
          <cell r="AC57">
            <v>66.11712598425197</v>
          </cell>
          <cell r="AD57">
            <v>66.11712598425197</v>
          </cell>
          <cell r="AE57">
            <v>65.539370078740163</v>
          </cell>
          <cell r="AF57">
            <v>23.539370078740163</v>
          </cell>
          <cell r="AG57">
            <v>39.846456692913392</v>
          </cell>
          <cell r="AH57" t="str">
            <v>N</v>
          </cell>
          <cell r="AI57">
            <v>48.510000000000005</v>
          </cell>
          <cell r="AJ57">
            <v>22</v>
          </cell>
          <cell r="AK57" t="str">
            <v>TBD</v>
          </cell>
          <cell r="AL57" t="str">
            <v>Y</v>
          </cell>
          <cell r="AM57">
            <v>200018403</v>
          </cell>
          <cell r="AN57">
            <v>200028403</v>
          </cell>
          <cell r="AO57">
            <v>200018303</v>
          </cell>
          <cell r="AP57">
            <v>200028303</v>
          </cell>
          <cell r="AQ57">
            <v>200018203</v>
          </cell>
          <cell r="AR57">
            <v>200028203</v>
          </cell>
          <cell r="AS57">
            <v>14.555555555555557</v>
          </cell>
          <cell r="AT57">
            <v>20.110973161651764</v>
          </cell>
          <cell r="AU57">
            <v>15.002886128524771</v>
          </cell>
          <cell r="AV57">
            <v>10.244439167746933</v>
          </cell>
          <cell r="AW57">
            <v>40617</v>
          </cell>
        </row>
        <row r="58">
          <cell r="C58" t="str">
            <v>Conergy - PM 225-245 P_L</v>
          </cell>
          <cell r="D58" t="str">
            <v>2nd Gen Long Claw (Conergy PM / AUO PM)</v>
          </cell>
          <cell r="E58">
            <v>500014410</v>
          </cell>
          <cell r="F58">
            <v>39.370078740157481</v>
          </cell>
          <cell r="G58">
            <v>65.669291338582681</v>
          </cell>
          <cell r="H58">
            <v>1.5748031496062993</v>
          </cell>
          <cell r="I58">
            <v>200010704</v>
          </cell>
          <cell r="J58">
            <v>200010804</v>
          </cell>
          <cell r="K58">
            <v>200013804</v>
          </cell>
          <cell r="L58">
            <v>200016304</v>
          </cell>
          <cell r="M58">
            <v>500012569</v>
          </cell>
          <cell r="N58">
            <v>500012669</v>
          </cell>
          <cell r="O58">
            <v>500012569</v>
          </cell>
          <cell r="P58">
            <v>500012669</v>
          </cell>
          <cell r="Q58">
            <v>10.41563801751966</v>
          </cell>
          <cell r="R58">
            <v>9.3110390770937794</v>
          </cell>
          <cell r="S58">
            <v>4.3972196268899051</v>
          </cell>
          <cell r="T58">
            <v>4.3972196268899051</v>
          </cell>
          <cell r="U58">
            <v>10.41563801751966</v>
          </cell>
          <cell r="V58">
            <v>9.3110390770937794</v>
          </cell>
          <cell r="W58">
            <v>50</v>
          </cell>
          <cell r="X58">
            <v>39.590551181102363</v>
          </cell>
          <cell r="Y58">
            <v>66.4242125984252</v>
          </cell>
          <cell r="Z58">
            <v>39.590551181102363</v>
          </cell>
          <cell r="AA58">
            <v>66.4242125984252</v>
          </cell>
          <cell r="AB58">
            <v>39.590551181102363</v>
          </cell>
          <cell r="AC58">
            <v>66.4242125984252</v>
          </cell>
          <cell r="AD58">
            <v>66.4242125984252</v>
          </cell>
          <cell r="AE58">
            <v>66.169291338582681</v>
          </cell>
          <cell r="AF58">
            <v>24.169291338582681</v>
          </cell>
          <cell r="AG58">
            <v>40.240157480314963</v>
          </cell>
          <cell r="AH58" t="str">
            <v>Y</v>
          </cell>
          <cell r="AI58">
            <v>44.1</v>
          </cell>
          <cell r="AJ58">
            <v>20</v>
          </cell>
          <cell r="AK58" t="str">
            <v>TBD</v>
          </cell>
          <cell r="AL58" t="str">
            <v>Y</v>
          </cell>
          <cell r="AM58">
            <v>200018403</v>
          </cell>
          <cell r="AN58">
            <v>200028403</v>
          </cell>
          <cell r="AO58">
            <v>200018303</v>
          </cell>
          <cell r="AP58">
            <v>200028303</v>
          </cell>
          <cell r="AQ58">
            <v>200018203</v>
          </cell>
          <cell r="AR58">
            <v>200028203</v>
          </cell>
          <cell r="AS58">
            <v>14.555555555555557</v>
          </cell>
          <cell r="AT58">
            <v>19.905846229389603</v>
          </cell>
          <cell r="AU58">
            <v>14.852704372847956</v>
          </cell>
          <cell r="AV58">
            <v>10.143144054640397</v>
          </cell>
          <cell r="AW58">
            <v>41284</v>
          </cell>
        </row>
        <row r="59">
          <cell r="C59" t="str">
            <v>Eclipsall Energy Corp - NRG-60 230-250_S</v>
          </cell>
          <cell r="D59" t="str">
            <v>Standard Claw</v>
          </cell>
          <cell r="E59">
            <v>5000005</v>
          </cell>
          <cell r="F59">
            <v>39.251968503937007</v>
          </cell>
          <cell r="G59">
            <v>65.472440944881896</v>
          </cell>
          <cell r="H59">
            <v>1.6535433070866143</v>
          </cell>
          <cell r="I59">
            <v>200010704</v>
          </cell>
          <cell r="J59">
            <v>200010804</v>
          </cell>
          <cell r="K59">
            <v>200013804</v>
          </cell>
          <cell r="L59">
            <v>200016304</v>
          </cell>
          <cell r="M59">
            <v>500012569</v>
          </cell>
          <cell r="N59">
            <v>500012669</v>
          </cell>
          <cell r="O59">
            <v>500012569</v>
          </cell>
          <cell r="P59">
            <v>500012669</v>
          </cell>
          <cell r="Q59">
            <v>11.685537017566332</v>
          </cell>
          <cell r="R59">
            <v>10.443226306738659</v>
          </cell>
          <cell r="S59">
            <v>4.9275343458296801</v>
          </cell>
          <cell r="T59">
            <v>4.9275343458296801</v>
          </cell>
          <cell r="U59">
            <v>11.685537017566332</v>
          </cell>
          <cell r="V59">
            <v>10.443226306738659</v>
          </cell>
          <cell r="W59">
            <v>50</v>
          </cell>
          <cell r="X59">
            <v>35.338582677165356</v>
          </cell>
          <cell r="Y59">
            <v>66.786417322834652</v>
          </cell>
          <cell r="Z59">
            <v>35.338582677165356</v>
          </cell>
          <cell r="AA59">
            <v>66.786417322834652</v>
          </cell>
          <cell r="AB59">
            <v>35.338582677165356</v>
          </cell>
          <cell r="AC59">
            <v>66.786417322834652</v>
          </cell>
          <cell r="AD59">
            <v>66.786417322834652</v>
          </cell>
          <cell r="AE59">
            <v>65.972440944881896</v>
          </cell>
          <cell r="AF59">
            <v>23.972440944881896</v>
          </cell>
          <cell r="AG59">
            <v>39.964566929133859</v>
          </cell>
          <cell r="AH59" t="str">
            <v>N</v>
          </cell>
          <cell r="AI59">
            <v>48.510000000000005</v>
          </cell>
          <cell r="AJ59">
            <v>22</v>
          </cell>
          <cell r="AK59" t="str">
            <v>TBD</v>
          </cell>
          <cell r="AL59" t="str">
            <v>Y</v>
          </cell>
          <cell r="AM59">
            <v>200018403</v>
          </cell>
          <cell r="AN59">
            <v>200028403</v>
          </cell>
          <cell r="AO59">
            <v>200018303</v>
          </cell>
          <cell r="AP59">
            <v>200028303</v>
          </cell>
          <cell r="AQ59">
            <v>200018203</v>
          </cell>
          <cell r="AR59">
            <v>200028203</v>
          </cell>
          <cell r="AS59">
            <v>14.555555555555557</v>
          </cell>
          <cell r="AT59">
            <v>20.048982508950235</v>
          </cell>
          <cell r="AU59">
            <v>14.957509840214923</v>
          </cell>
          <cell r="AV59">
            <v>10.213837681475505</v>
          </cell>
          <cell r="AW59">
            <v>40862</v>
          </cell>
        </row>
        <row r="60">
          <cell r="C60" t="str">
            <v>Eclipsall Energy Corp - NRG-72 280-300_S</v>
          </cell>
          <cell r="D60" t="str">
            <v>Standard Claw</v>
          </cell>
          <cell r="E60">
            <v>5000005</v>
          </cell>
          <cell r="F60">
            <v>39.251968503937007</v>
          </cell>
          <cell r="G60">
            <v>78.070866141732282</v>
          </cell>
          <cell r="H60">
            <v>1.6535433070866143</v>
          </cell>
          <cell r="I60">
            <v>200010708</v>
          </cell>
          <cell r="J60">
            <v>200010808</v>
          </cell>
          <cell r="K60">
            <v>200013808</v>
          </cell>
          <cell r="L60">
            <v>200016308</v>
          </cell>
          <cell r="M60">
            <v>500012582</v>
          </cell>
          <cell r="N60">
            <v>500012682</v>
          </cell>
          <cell r="O60">
            <v>500012582</v>
          </cell>
          <cell r="P60">
            <v>500012682</v>
          </cell>
          <cell r="Q60">
            <v>11.685537017566332</v>
          </cell>
          <cell r="R60">
            <v>10.443226306738659</v>
          </cell>
          <cell r="S60">
            <v>4.9275343458296801</v>
          </cell>
          <cell r="T60">
            <v>4.9275343458296801</v>
          </cell>
          <cell r="U60">
            <v>11.685537017566332</v>
          </cell>
          <cell r="V60">
            <v>10.443226306738659</v>
          </cell>
          <cell r="W60">
            <v>50</v>
          </cell>
          <cell r="X60">
            <v>35.338582677165356</v>
          </cell>
          <cell r="Y60">
            <v>79.384842519685037</v>
          </cell>
          <cell r="Z60">
            <v>35.338582677165356</v>
          </cell>
          <cell r="AA60">
            <v>79.384842519685037</v>
          </cell>
          <cell r="AB60">
            <v>35.338582677165356</v>
          </cell>
          <cell r="AC60">
            <v>79.384842519685037</v>
          </cell>
          <cell r="AD60">
            <v>79.384842519685037</v>
          </cell>
          <cell r="AE60">
            <v>78.570866141732296</v>
          </cell>
          <cell r="AF60">
            <v>36.570866141732289</v>
          </cell>
          <cell r="AG60">
            <v>39.964566929133859</v>
          </cell>
          <cell r="AH60" t="str">
            <v>N</v>
          </cell>
          <cell r="AI60">
            <v>55.125</v>
          </cell>
          <cell r="AJ60">
            <v>25</v>
          </cell>
          <cell r="AK60" t="str">
            <v>TBD</v>
          </cell>
          <cell r="AL60" t="str">
            <v>Y</v>
          </cell>
          <cell r="AM60">
            <v>200018407</v>
          </cell>
          <cell r="AN60">
            <v>200028407</v>
          </cell>
          <cell r="AO60">
            <v>200018307</v>
          </cell>
          <cell r="AP60">
            <v>200028307</v>
          </cell>
          <cell r="AQ60">
            <v>200018207</v>
          </cell>
          <cell r="AR60">
            <v>200028207</v>
          </cell>
          <cell r="AS60">
            <v>17.222222222222221</v>
          </cell>
          <cell r="AT60">
            <v>20.048982508950235</v>
          </cell>
          <cell r="AU60">
            <v>14.957509840214923</v>
          </cell>
          <cell r="AV60">
            <v>10.213837681475505</v>
          </cell>
          <cell r="AW60">
            <v>41254</v>
          </cell>
        </row>
        <row r="61">
          <cell r="C61" t="str">
            <v>Eging - EG-175-185 M48-C_S</v>
          </cell>
          <cell r="D61" t="str">
            <v>Standard Claw</v>
          </cell>
          <cell r="E61">
            <v>5000005</v>
          </cell>
          <cell r="F61">
            <v>38.976377952755911</v>
          </cell>
          <cell r="G61">
            <v>52.559055118110237</v>
          </cell>
          <cell r="H61">
            <v>1.7716535433070868</v>
          </cell>
          <cell r="I61">
            <v>200010701</v>
          </cell>
          <cell r="J61">
            <v>200010801</v>
          </cell>
          <cell r="K61">
            <v>200013801</v>
          </cell>
          <cell r="L61">
            <v>200016301</v>
          </cell>
          <cell r="M61">
            <v>500012556</v>
          </cell>
          <cell r="N61">
            <v>500012656</v>
          </cell>
          <cell r="O61">
            <v>500012557</v>
          </cell>
          <cell r="P61">
            <v>500012657</v>
          </cell>
          <cell r="Q61">
            <v>11.725279318414811</v>
          </cell>
          <cell r="R61">
            <v>10.478642249707667</v>
          </cell>
          <cell r="S61">
            <v>4.9440996728708777</v>
          </cell>
          <cell r="T61">
            <v>4.9440996728708777</v>
          </cell>
          <cell r="U61">
            <v>11.725279318414811</v>
          </cell>
          <cell r="V61">
            <v>10.478642249707667</v>
          </cell>
          <cell r="W61">
            <v>50</v>
          </cell>
          <cell r="X61">
            <v>35.220472440944881</v>
          </cell>
          <cell r="Y61">
            <v>54.030511811023622</v>
          </cell>
          <cell r="Z61">
            <v>35.220472440944881</v>
          </cell>
          <cell r="AA61">
            <v>54.030511811023622</v>
          </cell>
          <cell r="AB61">
            <v>35.220472440944881</v>
          </cell>
          <cell r="AC61">
            <v>54.030511811023622</v>
          </cell>
          <cell r="AD61">
            <v>54.030511811023622</v>
          </cell>
          <cell r="AE61" t="str">
            <v>NA</v>
          </cell>
          <cell r="AF61" t="str">
            <v>NA</v>
          </cell>
          <cell r="AG61" t="str">
            <v>NA</v>
          </cell>
          <cell r="AH61" t="str">
            <v>N</v>
          </cell>
          <cell r="AI61">
            <v>35.720999999999997</v>
          </cell>
          <cell r="AJ61">
            <v>16.2</v>
          </cell>
          <cell r="AK61" t="str">
            <v>TBD</v>
          </cell>
          <cell r="AL61" t="str">
            <v>Y</v>
          </cell>
          <cell r="AM61" t="str">
            <v>2000184TBD</v>
          </cell>
          <cell r="AN61" t="str">
            <v>2000284TBD</v>
          </cell>
          <cell r="AO61" t="str">
            <v>2000183TBD</v>
          </cell>
          <cell r="AP61" t="str">
            <v>2000283TBD</v>
          </cell>
          <cell r="AQ61" t="str">
            <v>2000182TBD</v>
          </cell>
          <cell r="AR61" t="str">
            <v>2000282TBD</v>
          </cell>
          <cell r="AS61" t="str">
            <v>TBD</v>
          </cell>
          <cell r="AT61" t="str">
            <v>NA</v>
          </cell>
          <cell r="AU61" t="str">
            <v>NA</v>
          </cell>
          <cell r="AV61" t="str">
            <v>NA</v>
          </cell>
          <cell r="AW61">
            <v>40617</v>
          </cell>
        </row>
        <row r="62">
          <cell r="C62" t="str">
            <v>Eging - EG-200-210 M54-C_S</v>
          </cell>
          <cell r="D62" t="str">
            <v>Standard Claw</v>
          </cell>
          <cell r="E62">
            <v>5000005</v>
          </cell>
          <cell r="F62">
            <v>38.976377952755911</v>
          </cell>
          <cell r="G62">
            <v>58.661417322834652</v>
          </cell>
          <cell r="H62">
            <v>1.9685039370078741</v>
          </cell>
          <cell r="I62">
            <v>200010703</v>
          </cell>
          <cell r="J62">
            <v>200010803</v>
          </cell>
          <cell r="K62">
            <v>200013803</v>
          </cell>
          <cell r="L62">
            <v>200016303</v>
          </cell>
          <cell r="M62">
            <v>500012562</v>
          </cell>
          <cell r="N62">
            <v>500012662</v>
          </cell>
          <cell r="O62">
            <v>500012563</v>
          </cell>
          <cell r="P62">
            <v>500012663</v>
          </cell>
          <cell r="Q62">
            <v>11.725279318414811</v>
          </cell>
          <cell r="R62">
            <v>10.478642249707667</v>
          </cell>
          <cell r="S62">
            <v>4.9440996728708777</v>
          </cell>
          <cell r="T62">
            <v>4.9440996728708777</v>
          </cell>
          <cell r="U62">
            <v>11.725279318414811</v>
          </cell>
          <cell r="V62">
            <v>10.478642249707667</v>
          </cell>
          <cell r="W62">
            <v>50</v>
          </cell>
          <cell r="X62">
            <v>35.220472440944881</v>
          </cell>
          <cell r="Y62">
            <v>60.132874015748037</v>
          </cell>
          <cell r="Z62">
            <v>35.220472440944881</v>
          </cell>
          <cell r="AA62">
            <v>60.132874015748037</v>
          </cell>
          <cell r="AB62">
            <v>35.220472440944881</v>
          </cell>
          <cell r="AC62">
            <v>60.132874015748037</v>
          </cell>
          <cell r="AD62">
            <v>60.132874015748037</v>
          </cell>
          <cell r="AE62">
            <v>59.161417322834652</v>
          </cell>
          <cell r="AF62">
            <v>17.161417322834652</v>
          </cell>
          <cell r="AG62">
            <v>39.846456692913392</v>
          </cell>
          <cell r="AH62" t="str">
            <v>N</v>
          </cell>
          <cell r="AI62">
            <v>40.351500000000001</v>
          </cell>
          <cell r="AJ62">
            <v>18.3</v>
          </cell>
          <cell r="AK62" t="str">
            <v>TBD</v>
          </cell>
          <cell r="AL62" t="str">
            <v>Y</v>
          </cell>
          <cell r="AM62">
            <v>200018401</v>
          </cell>
          <cell r="AN62">
            <v>200028401</v>
          </cell>
          <cell r="AO62">
            <v>200018301</v>
          </cell>
          <cell r="AP62">
            <v>200028301</v>
          </cell>
          <cell r="AQ62">
            <v>200018201</v>
          </cell>
          <cell r="AR62">
            <v>200028201</v>
          </cell>
          <cell r="AS62">
            <v>13.22222222222222</v>
          </cell>
          <cell r="AT62">
            <v>20.110973161651764</v>
          </cell>
          <cell r="AU62">
            <v>15.002886128524771</v>
          </cell>
          <cell r="AV62">
            <v>10.244439167746933</v>
          </cell>
          <cell r="AW62">
            <v>40617</v>
          </cell>
        </row>
        <row r="63">
          <cell r="C63" t="str">
            <v>Eging - EG-210-235 M60-C_S</v>
          </cell>
          <cell r="D63" t="str">
            <v>Standard Claw</v>
          </cell>
          <cell r="E63">
            <v>5000005</v>
          </cell>
          <cell r="F63">
            <v>38.976377952755911</v>
          </cell>
          <cell r="G63">
            <v>64.960629921259851</v>
          </cell>
          <cell r="H63">
            <v>1.9685039370078741</v>
          </cell>
          <cell r="I63">
            <v>200010704</v>
          </cell>
          <cell r="J63">
            <v>200010804</v>
          </cell>
          <cell r="K63">
            <v>200013804</v>
          </cell>
          <cell r="L63">
            <v>200016304</v>
          </cell>
          <cell r="M63">
            <v>500012569</v>
          </cell>
          <cell r="N63">
            <v>500012669</v>
          </cell>
          <cell r="O63">
            <v>500012569</v>
          </cell>
          <cell r="P63">
            <v>500012669</v>
          </cell>
          <cell r="Q63">
            <v>11.725279318414811</v>
          </cell>
          <cell r="R63">
            <v>10.478642249707667</v>
          </cell>
          <cell r="S63">
            <v>4.9440996728708777</v>
          </cell>
          <cell r="T63">
            <v>4.9440996728708777</v>
          </cell>
          <cell r="U63">
            <v>11.725279318414811</v>
          </cell>
          <cell r="V63">
            <v>10.478642249707667</v>
          </cell>
          <cell r="W63">
            <v>50</v>
          </cell>
          <cell r="X63">
            <v>35.220472440944881</v>
          </cell>
          <cell r="Y63">
            <v>66.43208661417323</v>
          </cell>
          <cell r="Z63">
            <v>35.220472440944881</v>
          </cell>
          <cell r="AA63">
            <v>66.43208661417323</v>
          </cell>
          <cell r="AB63">
            <v>35.220472440944881</v>
          </cell>
          <cell r="AC63">
            <v>66.43208661417323</v>
          </cell>
          <cell r="AD63">
            <v>66.43208661417323</v>
          </cell>
          <cell r="AE63">
            <v>65.460629921259851</v>
          </cell>
          <cell r="AF63">
            <v>23.460629921259848</v>
          </cell>
          <cell r="AG63">
            <v>39.846456692913392</v>
          </cell>
          <cell r="AH63" t="str">
            <v>N</v>
          </cell>
          <cell r="AI63">
            <v>42.997500000000002</v>
          </cell>
          <cell r="AJ63">
            <v>19.5</v>
          </cell>
          <cell r="AK63" t="str">
            <v>TBD</v>
          </cell>
          <cell r="AL63" t="str">
            <v>Y</v>
          </cell>
          <cell r="AM63">
            <v>200018403</v>
          </cell>
          <cell r="AN63">
            <v>200028403</v>
          </cell>
          <cell r="AO63">
            <v>200018303</v>
          </cell>
          <cell r="AP63">
            <v>200028303</v>
          </cell>
          <cell r="AQ63">
            <v>200018203</v>
          </cell>
          <cell r="AR63">
            <v>200028203</v>
          </cell>
          <cell r="AS63">
            <v>14.555555555555557</v>
          </cell>
          <cell r="AT63">
            <v>20.110973161651764</v>
          </cell>
          <cell r="AU63">
            <v>15.002886128524771</v>
          </cell>
          <cell r="AV63">
            <v>10.244439167746933</v>
          </cell>
          <cell r="AW63">
            <v>40617</v>
          </cell>
        </row>
        <row r="64">
          <cell r="C64" t="str">
            <v>Eging - EG-240-285 M72-C_S</v>
          </cell>
          <cell r="D64" t="str">
            <v>Standard Claw</v>
          </cell>
          <cell r="E64">
            <v>5000005</v>
          </cell>
          <cell r="F64">
            <v>38.976377952755911</v>
          </cell>
          <cell r="G64">
            <v>77.480314960629926</v>
          </cell>
          <cell r="H64">
            <v>1.9685039370078741</v>
          </cell>
          <cell r="I64">
            <v>200010707</v>
          </cell>
          <cell r="J64">
            <v>200010807</v>
          </cell>
          <cell r="K64">
            <v>200013807</v>
          </cell>
          <cell r="L64">
            <v>200016307</v>
          </cell>
          <cell r="M64">
            <v>500012581</v>
          </cell>
          <cell r="N64">
            <v>500012681</v>
          </cell>
          <cell r="O64">
            <v>500012581</v>
          </cell>
          <cell r="P64">
            <v>500012681</v>
          </cell>
          <cell r="Q64">
            <v>11.725279318414811</v>
          </cell>
          <cell r="R64">
            <v>10.478642249707667</v>
          </cell>
          <cell r="S64">
            <v>4.9440996728708777</v>
          </cell>
          <cell r="T64">
            <v>4.9440996728708777</v>
          </cell>
          <cell r="U64">
            <v>11.725279318414811</v>
          </cell>
          <cell r="V64">
            <v>10.478642249707667</v>
          </cell>
          <cell r="W64">
            <v>50</v>
          </cell>
          <cell r="X64">
            <v>35.220472440944881</v>
          </cell>
          <cell r="Y64">
            <v>78.951771653543318</v>
          </cell>
          <cell r="Z64">
            <v>35.220472440944881</v>
          </cell>
          <cell r="AA64">
            <v>78.951771653543318</v>
          </cell>
          <cell r="AB64">
            <v>35.220472440944881</v>
          </cell>
          <cell r="AC64">
            <v>78.951771653543318</v>
          </cell>
          <cell r="AD64">
            <v>78.951771653543318</v>
          </cell>
          <cell r="AE64">
            <v>77.980314960629926</v>
          </cell>
          <cell r="AF64">
            <v>35.980314960629926</v>
          </cell>
          <cell r="AG64">
            <v>39.846456692913392</v>
          </cell>
          <cell r="AH64" t="str">
            <v>N</v>
          </cell>
          <cell r="AI64">
            <v>60.637500000000003</v>
          </cell>
          <cell r="AJ64">
            <v>27.5</v>
          </cell>
          <cell r="AK64" t="str">
            <v>TBD</v>
          </cell>
          <cell r="AL64" t="str">
            <v>Y</v>
          </cell>
          <cell r="AM64">
            <v>200018407</v>
          </cell>
          <cell r="AN64">
            <v>200028407</v>
          </cell>
          <cell r="AO64">
            <v>200018307</v>
          </cell>
          <cell r="AP64">
            <v>200028307</v>
          </cell>
          <cell r="AQ64">
            <v>200018207</v>
          </cell>
          <cell r="AR64">
            <v>200028207</v>
          </cell>
          <cell r="AS64">
            <v>17.222222222222221</v>
          </cell>
          <cell r="AT64">
            <v>20.110973161651764</v>
          </cell>
          <cell r="AU64">
            <v>15.002886128524771</v>
          </cell>
          <cell r="AV64">
            <v>10.244439167746933</v>
          </cell>
          <cell r="AW64">
            <v>40617</v>
          </cell>
        </row>
        <row r="65">
          <cell r="C65" t="str">
            <v>ET Solar - ET-P654 190-215_S</v>
          </cell>
          <cell r="D65" t="str">
            <v>Standard Claw</v>
          </cell>
          <cell r="E65">
            <v>5000005</v>
          </cell>
          <cell r="F65">
            <v>39.055118110236222</v>
          </cell>
          <cell r="G65">
            <v>58.346456692913392</v>
          </cell>
          <cell r="H65">
            <v>1.9685039370078741</v>
          </cell>
          <cell r="I65">
            <v>200010703</v>
          </cell>
          <cell r="J65">
            <v>200010803</v>
          </cell>
          <cell r="K65">
            <v>200013803</v>
          </cell>
          <cell r="L65">
            <v>200016303</v>
          </cell>
          <cell r="M65">
            <v>500012562</v>
          </cell>
          <cell r="N65">
            <v>500012662</v>
          </cell>
          <cell r="O65">
            <v>500012563</v>
          </cell>
          <cell r="P65">
            <v>500012663</v>
          </cell>
          <cell r="Q65">
            <v>11.698754267040043</v>
          </cell>
          <cell r="R65">
            <v>10.455004839041191</v>
          </cell>
          <cell r="S65">
            <v>4.9330437584696041</v>
          </cell>
          <cell r="T65">
            <v>4.9330437584696041</v>
          </cell>
          <cell r="U65">
            <v>11.698754267040043</v>
          </cell>
          <cell r="V65">
            <v>10.455004839041191</v>
          </cell>
          <cell r="W65">
            <v>50</v>
          </cell>
          <cell r="X65">
            <v>35.2992125984252</v>
          </cell>
          <cell r="Y65">
            <v>59.817913385826778</v>
          </cell>
          <cell r="Z65">
            <v>35.2992125984252</v>
          </cell>
          <cell r="AA65">
            <v>59.817913385826778</v>
          </cell>
          <cell r="AB65">
            <v>35.2992125984252</v>
          </cell>
          <cell r="AC65">
            <v>59.817913385826778</v>
          </cell>
          <cell r="AD65">
            <v>59.817913385826778</v>
          </cell>
          <cell r="AE65">
            <v>58.846456692913392</v>
          </cell>
          <cell r="AF65">
            <v>16.846456692913389</v>
          </cell>
          <cell r="AG65">
            <v>39.925196850393704</v>
          </cell>
          <cell r="AH65" t="str">
            <v>Y</v>
          </cell>
          <cell r="AI65">
            <v>39.249000000000002</v>
          </cell>
          <cell r="AJ65">
            <v>17.8</v>
          </cell>
          <cell r="AK65" t="str">
            <v>TBD</v>
          </cell>
          <cell r="AL65" t="str">
            <v>Y</v>
          </cell>
          <cell r="AM65">
            <v>200018401</v>
          </cell>
          <cell r="AN65">
            <v>200028401</v>
          </cell>
          <cell r="AO65">
            <v>200018301</v>
          </cell>
          <cell r="AP65">
            <v>200028301</v>
          </cell>
          <cell r="AQ65">
            <v>200018201</v>
          </cell>
          <cell r="AR65">
            <v>200028201</v>
          </cell>
          <cell r="AS65">
            <v>13.22222222222222</v>
          </cell>
          <cell r="AT65">
            <v>20.069602586497279</v>
          </cell>
          <cell r="AU65">
            <v>14.97260437224279</v>
          </cell>
          <cell r="AV65">
            <v>10.224017732239455</v>
          </cell>
          <cell r="AW65">
            <v>40617</v>
          </cell>
        </row>
        <row r="66">
          <cell r="C66" t="str">
            <v>ET Solar - ET-P660 220-240_S</v>
          </cell>
          <cell r="D66" t="str">
            <v>Standard Claw</v>
          </cell>
          <cell r="E66">
            <v>5000005</v>
          </cell>
          <cell r="F66">
            <v>39.055118110236222</v>
          </cell>
          <cell r="G66">
            <v>64.566929133858267</v>
          </cell>
          <cell r="H66">
            <v>1.9685039370078741</v>
          </cell>
          <cell r="I66">
            <v>200010704</v>
          </cell>
          <cell r="J66">
            <v>200010804</v>
          </cell>
          <cell r="K66">
            <v>200013804</v>
          </cell>
          <cell r="L66">
            <v>200016304</v>
          </cell>
          <cell r="M66">
            <v>500012568</v>
          </cell>
          <cell r="N66">
            <v>500012668</v>
          </cell>
          <cell r="O66">
            <v>500012569</v>
          </cell>
          <cell r="P66">
            <v>500012669</v>
          </cell>
          <cell r="Q66">
            <v>11.698754267040043</v>
          </cell>
          <cell r="R66">
            <v>10.455004839041191</v>
          </cell>
          <cell r="S66">
            <v>4.9330437584696041</v>
          </cell>
          <cell r="T66">
            <v>4.9330437584696041</v>
          </cell>
          <cell r="U66">
            <v>11.698754267040043</v>
          </cell>
          <cell r="V66">
            <v>10.455004839041191</v>
          </cell>
          <cell r="W66">
            <v>50</v>
          </cell>
          <cell r="X66">
            <v>35.2992125984252</v>
          </cell>
          <cell r="Y66">
            <v>66.038385826771659</v>
          </cell>
          <cell r="Z66">
            <v>35.2992125984252</v>
          </cell>
          <cell r="AA66">
            <v>66.038385826771659</v>
          </cell>
          <cell r="AB66">
            <v>35.2992125984252</v>
          </cell>
          <cell r="AC66">
            <v>66.038385826771659</v>
          </cell>
          <cell r="AD66">
            <v>66.038385826771659</v>
          </cell>
          <cell r="AE66">
            <v>65.066929133858267</v>
          </cell>
          <cell r="AF66">
            <v>23.066929133858274</v>
          </cell>
          <cell r="AG66">
            <v>39.925196850393704</v>
          </cell>
          <cell r="AH66" t="str">
            <v>Y</v>
          </cell>
          <cell r="AI66">
            <v>42.5565</v>
          </cell>
          <cell r="AJ66">
            <v>19.3</v>
          </cell>
          <cell r="AK66" t="str">
            <v>TBD</v>
          </cell>
          <cell r="AL66" t="str">
            <v>Y</v>
          </cell>
          <cell r="AM66">
            <v>200018403</v>
          </cell>
          <cell r="AN66">
            <v>200028403</v>
          </cell>
          <cell r="AO66">
            <v>200018303</v>
          </cell>
          <cell r="AP66">
            <v>200028303</v>
          </cell>
          <cell r="AQ66">
            <v>200018203</v>
          </cell>
          <cell r="AR66">
            <v>200028203</v>
          </cell>
          <cell r="AS66">
            <v>14.555555555555557</v>
          </cell>
          <cell r="AT66">
            <v>20.069602586497279</v>
          </cell>
          <cell r="AU66">
            <v>14.97260437224279</v>
          </cell>
          <cell r="AV66">
            <v>10.224017732239455</v>
          </cell>
          <cell r="AW66">
            <v>40617</v>
          </cell>
        </row>
        <row r="67">
          <cell r="C67" t="str">
            <v>ET Solar - ET-P672 255-280_S</v>
          </cell>
          <cell r="D67" t="str">
            <v>Standard Claw</v>
          </cell>
          <cell r="E67">
            <v>5000005</v>
          </cell>
          <cell r="F67">
            <v>39.055118110236222</v>
          </cell>
          <cell r="G67">
            <v>77.00787401574803</v>
          </cell>
          <cell r="H67">
            <v>1.9685039370078741</v>
          </cell>
          <cell r="I67">
            <v>200010707</v>
          </cell>
          <cell r="J67">
            <v>200010807</v>
          </cell>
          <cell r="K67">
            <v>200013807</v>
          </cell>
          <cell r="L67">
            <v>200016307</v>
          </cell>
          <cell r="M67">
            <v>500012581</v>
          </cell>
          <cell r="N67">
            <v>500012681</v>
          </cell>
          <cell r="O67">
            <v>500012581</v>
          </cell>
          <cell r="P67">
            <v>500012681</v>
          </cell>
          <cell r="Q67">
            <v>11.698754267040043</v>
          </cell>
          <cell r="R67">
            <v>10.455004839041191</v>
          </cell>
          <cell r="S67">
            <v>4.9330437584696041</v>
          </cell>
          <cell r="T67">
            <v>4.9330437584696041</v>
          </cell>
          <cell r="U67">
            <v>11.698754267040043</v>
          </cell>
          <cell r="V67">
            <v>10.455004839041191</v>
          </cell>
          <cell r="W67">
            <v>50</v>
          </cell>
          <cell r="X67">
            <v>35.2992125984252</v>
          </cell>
          <cell r="Y67">
            <v>78.479330708661422</v>
          </cell>
          <cell r="Z67">
            <v>35.2992125984252</v>
          </cell>
          <cell r="AA67">
            <v>78.479330708661422</v>
          </cell>
          <cell r="AB67">
            <v>35.2992125984252</v>
          </cell>
          <cell r="AC67">
            <v>78.479330708661422</v>
          </cell>
          <cell r="AD67">
            <v>78.479330708661422</v>
          </cell>
          <cell r="AE67">
            <v>77.507874015748044</v>
          </cell>
          <cell r="AF67">
            <v>35.507874015748037</v>
          </cell>
          <cell r="AG67">
            <v>39.925196850393704</v>
          </cell>
          <cell r="AH67" t="str">
            <v>Y</v>
          </cell>
          <cell r="AI67">
            <v>50.715000000000003</v>
          </cell>
          <cell r="AJ67">
            <v>23</v>
          </cell>
          <cell r="AK67" t="str">
            <v>TBD</v>
          </cell>
          <cell r="AL67" t="str">
            <v>Y</v>
          </cell>
          <cell r="AM67">
            <v>200018407</v>
          </cell>
          <cell r="AN67">
            <v>200028407</v>
          </cell>
          <cell r="AO67">
            <v>200018307</v>
          </cell>
          <cell r="AP67">
            <v>200028307</v>
          </cell>
          <cell r="AQ67">
            <v>200018207</v>
          </cell>
          <cell r="AR67">
            <v>200028207</v>
          </cell>
          <cell r="AS67">
            <v>17.222222222222221</v>
          </cell>
          <cell r="AT67">
            <v>20.069602586497279</v>
          </cell>
          <cell r="AU67">
            <v>14.97260437224279</v>
          </cell>
          <cell r="AV67">
            <v>10.224017732239455</v>
          </cell>
          <cell r="AW67">
            <v>40617</v>
          </cell>
        </row>
        <row r="68">
          <cell r="C68" t="str">
            <v>ET Solar - ET-M572 165-185_S</v>
          </cell>
          <cell r="D68" t="str">
            <v>Standard Claw</v>
          </cell>
          <cell r="E68">
            <v>5000005</v>
          </cell>
          <cell r="F68">
            <v>31.811023622047244</v>
          </cell>
          <cell r="G68">
            <v>62.204724409448822</v>
          </cell>
          <cell r="H68">
            <v>1.9685039370078741</v>
          </cell>
          <cell r="I68">
            <v>200010704</v>
          </cell>
          <cell r="J68">
            <v>200010804</v>
          </cell>
          <cell r="K68">
            <v>200013804</v>
          </cell>
          <cell r="L68">
            <v>200016304</v>
          </cell>
          <cell r="M68">
            <v>500012566</v>
          </cell>
          <cell r="N68">
            <v>500012666</v>
          </cell>
          <cell r="O68">
            <v>500012566</v>
          </cell>
          <cell r="P68">
            <v>500012666</v>
          </cell>
          <cell r="Q68">
            <v>14.780819563929326</v>
          </cell>
          <cell r="R68">
            <v>13.198114568872393</v>
          </cell>
          <cell r="S68">
            <v>6.211295317501194</v>
          </cell>
          <cell r="T68">
            <v>6.211295317501194</v>
          </cell>
          <cell r="U68">
            <v>14.780819563929326</v>
          </cell>
          <cell r="V68">
            <v>13.198114568872393</v>
          </cell>
          <cell r="W68">
            <v>50</v>
          </cell>
          <cell r="X68">
            <v>28.055118110236222</v>
          </cell>
          <cell r="Y68">
            <v>63.676181102362207</v>
          </cell>
          <cell r="Z68">
            <v>28.055118110236222</v>
          </cell>
          <cell r="AA68">
            <v>63.676181102362207</v>
          </cell>
          <cell r="AB68">
            <v>28.055118110236222</v>
          </cell>
          <cell r="AC68">
            <v>63.676181102362207</v>
          </cell>
          <cell r="AD68">
            <v>63.676181102362207</v>
          </cell>
          <cell r="AE68">
            <v>62.704724409448822</v>
          </cell>
          <cell r="AF68">
            <v>20.704724409448822</v>
          </cell>
          <cell r="AG68">
            <v>32.681102362204726</v>
          </cell>
          <cell r="AH68" t="str">
            <v>Y</v>
          </cell>
          <cell r="AI68">
            <v>34.177500000000002</v>
          </cell>
          <cell r="AJ68">
            <v>15.5</v>
          </cell>
          <cell r="AK68" t="str">
            <v>TBD</v>
          </cell>
          <cell r="AL68" t="str">
            <v>Y</v>
          </cell>
          <cell r="AM68">
            <v>200018402</v>
          </cell>
          <cell r="AN68">
            <v>200028402</v>
          </cell>
          <cell r="AO68">
            <v>200018302</v>
          </cell>
          <cell r="AP68">
            <v>200028302</v>
          </cell>
          <cell r="AQ68">
            <v>200018202</v>
          </cell>
          <cell r="AR68">
            <v>200028202</v>
          </cell>
          <cell r="AS68">
            <v>13.888888888888888</v>
          </cell>
          <cell r="AT68">
            <v>24.785769092963804</v>
          </cell>
          <cell r="AU68">
            <v>18.39852585667062</v>
          </cell>
          <cell r="AV68">
            <v>12.523577389800897</v>
          </cell>
          <cell r="AW68">
            <v>40617</v>
          </cell>
        </row>
        <row r="69">
          <cell r="C69" t="str">
            <v>Evergreen Solar - ES-ES-B 180-195 _S</v>
          </cell>
          <cell r="D69" t="str">
            <v>Standard Claw</v>
          </cell>
          <cell r="E69">
            <v>5000005</v>
          </cell>
          <cell r="F69">
            <v>37.480314960629926</v>
          </cell>
          <cell r="G69">
            <v>61.811023622047244</v>
          </cell>
          <cell r="H69">
            <v>1.6141732283464567</v>
          </cell>
          <cell r="I69">
            <v>200010703</v>
          </cell>
          <cell r="J69">
            <v>200010803</v>
          </cell>
          <cell r="K69">
            <v>200013803</v>
          </cell>
          <cell r="L69">
            <v>200016303</v>
          </cell>
          <cell r="M69">
            <v>500012565</v>
          </cell>
          <cell r="N69">
            <v>500012665</v>
          </cell>
          <cell r="O69">
            <v>500012566</v>
          </cell>
          <cell r="P69">
            <v>500012666</v>
          </cell>
          <cell r="Q69">
            <v>12.430184243800053</v>
          </cell>
          <cell r="R69">
            <v>11.106632994896712</v>
          </cell>
          <cell r="S69">
            <v>5.2375834396852632</v>
          </cell>
          <cell r="T69">
            <v>5.2375834396852632</v>
          </cell>
          <cell r="U69">
            <v>12.430184243800053</v>
          </cell>
          <cell r="V69">
            <v>11.106632994896712</v>
          </cell>
          <cell r="W69">
            <v>40</v>
          </cell>
          <cell r="X69">
            <v>33.251968503937007</v>
          </cell>
          <cell r="Y69">
            <v>62.810039370078741</v>
          </cell>
          <cell r="Z69">
            <v>33.251968503937007</v>
          </cell>
          <cell r="AA69">
            <v>62.810039370078741</v>
          </cell>
          <cell r="AB69">
            <v>33.251968503937007</v>
          </cell>
          <cell r="AC69">
            <v>62.810039370078741</v>
          </cell>
          <cell r="AD69">
            <v>62.810039370078741</v>
          </cell>
          <cell r="AE69">
            <v>62.311023622047252</v>
          </cell>
          <cell r="AF69">
            <v>20.311023622047248</v>
          </cell>
          <cell r="AG69">
            <v>37.877952755905518</v>
          </cell>
          <cell r="AH69" t="str">
            <v>N</v>
          </cell>
          <cell r="AI69">
            <v>40.131</v>
          </cell>
          <cell r="AJ69">
            <v>18.2</v>
          </cell>
          <cell r="AK69" t="str">
            <v>TBD</v>
          </cell>
          <cell r="AL69" t="str">
            <v>Y</v>
          </cell>
          <cell r="AM69">
            <v>200018402</v>
          </cell>
          <cell r="AN69">
            <v>200028402</v>
          </cell>
          <cell r="AO69">
            <v>200018302</v>
          </cell>
          <cell r="AP69">
            <v>200028302</v>
          </cell>
          <cell r="AQ69">
            <v>200018202</v>
          </cell>
          <cell r="AR69">
            <v>200028202</v>
          </cell>
          <cell r="AS69">
            <v>13.888888888888888</v>
          </cell>
          <cell r="AT69">
            <v>21.205174093809141</v>
          </cell>
          <cell r="AU69">
            <v>15.802424560557412</v>
          </cell>
          <cell r="AV69">
            <v>10.783051510926835</v>
          </cell>
          <cell r="AW69">
            <v>40617</v>
          </cell>
        </row>
        <row r="70">
          <cell r="C70" t="str">
            <v>Evergreen Solar - ES-A 190-210 _S</v>
          </cell>
          <cell r="D70" t="str">
            <v>Standard Claw</v>
          </cell>
          <cell r="E70">
            <v>5000005</v>
          </cell>
          <cell r="F70">
            <v>37.440944881889763</v>
          </cell>
          <cell r="G70">
            <v>64.960629921259851</v>
          </cell>
          <cell r="H70">
            <v>1.8110236220472442</v>
          </cell>
          <cell r="I70">
            <v>200010704</v>
          </cell>
          <cell r="J70">
            <v>200010804</v>
          </cell>
          <cell r="K70">
            <v>200013804</v>
          </cell>
          <cell r="L70">
            <v>200016304</v>
          </cell>
          <cell r="M70">
            <v>500012568</v>
          </cell>
          <cell r="N70">
            <v>500012668</v>
          </cell>
          <cell r="O70">
            <v>500012569</v>
          </cell>
          <cell r="P70">
            <v>500012669</v>
          </cell>
          <cell r="Q70">
            <v>12.415249784803859</v>
          </cell>
          <cell r="R70">
            <v>11.09333164994227</v>
          </cell>
          <cell r="S70">
            <v>5.2313722342562112</v>
          </cell>
          <cell r="T70">
            <v>5.2313722342562112</v>
          </cell>
          <cell r="U70">
            <v>12.415249784803859</v>
          </cell>
          <cell r="V70">
            <v>11.09333164994227</v>
          </cell>
          <cell r="W70">
            <v>40</v>
          </cell>
          <cell r="X70">
            <v>33.29133858267717</v>
          </cell>
          <cell r="Y70">
            <v>66.038385826771659</v>
          </cell>
          <cell r="Z70">
            <v>33.29133858267717</v>
          </cell>
          <cell r="AA70">
            <v>66.038385826771659</v>
          </cell>
          <cell r="AB70">
            <v>33.29133858267717</v>
          </cell>
          <cell r="AC70">
            <v>66.038385826771659</v>
          </cell>
          <cell r="AD70">
            <v>66.038385826771659</v>
          </cell>
          <cell r="AE70">
            <v>65.460629921259851</v>
          </cell>
          <cell r="AF70">
            <v>23.460629921259848</v>
          </cell>
          <cell r="AG70">
            <v>37.917322834645674</v>
          </cell>
          <cell r="AH70" t="str">
            <v>N</v>
          </cell>
          <cell r="AI70">
            <v>41.013000000000005</v>
          </cell>
          <cell r="AJ70">
            <v>18.600000000000001</v>
          </cell>
          <cell r="AK70" t="str">
            <v>TBD</v>
          </cell>
          <cell r="AL70" t="str">
            <v>Y</v>
          </cell>
          <cell r="AM70">
            <v>200018403</v>
          </cell>
          <cell r="AN70">
            <v>200028403</v>
          </cell>
          <cell r="AO70">
            <v>200018303</v>
          </cell>
          <cell r="AP70">
            <v>200028303</v>
          </cell>
          <cell r="AQ70">
            <v>200018203</v>
          </cell>
          <cell r="AR70">
            <v>200028203</v>
          </cell>
          <cell r="AS70">
            <v>14.555555555555557</v>
          </cell>
          <cell r="AT70">
            <v>21.182094678710879</v>
          </cell>
          <cell r="AU70">
            <v>15.785588285943929</v>
          </cell>
          <cell r="AV70">
            <v>10.771721446726827</v>
          </cell>
          <cell r="AW70">
            <v>40617</v>
          </cell>
        </row>
        <row r="71">
          <cell r="C71" t="str">
            <v>Evergreen Solar - ES-E 210-220_S</v>
          </cell>
          <cell r="D71" t="str">
            <v>Standard Claw</v>
          </cell>
          <cell r="E71">
            <v>5000005</v>
          </cell>
          <cell r="F71">
            <v>37.452755905511815</v>
          </cell>
          <cell r="G71">
            <v>67.814960629921259</v>
          </cell>
          <cell r="H71">
            <v>1.8110236220472442</v>
          </cell>
          <cell r="I71">
            <v>200010705</v>
          </cell>
          <cell r="J71">
            <v>200010805</v>
          </cell>
          <cell r="K71">
            <v>200013805</v>
          </cell>
          <cell r="L71">
            <v>200016305</v>
          </cell>
          <cell r="M71">
            <v>500012571</v>
          </cell>
          <cell r="N71">
            <v>500012671</v>
          </cell>
          <cell r="O71">
            <v>500012572</v>
          </cell>
          <cell r="P71">
            <v>500012672</v>
          </cell>
          <cell r="Q71">
            <v>12.410776499433517</v>
          </cell>
          <cell r="R71">
            <v>11.089347496878155</v>
          </cell>
          <cell r="S71">
            <v>5.2295117482898927</v>
          </cell>
          <cell r="T71">
            <v>5.2295117482898927</v>
          </cell>
          <cell r="U71">
            <v>12.410776499433517</v>
          </cell>
          <cell r="V71">
            <v>11.089347496878155</v>
          </cell>
          <cell r="W71">
            <v>40</v>
          </cell>
          <cell r="X71">
            <v>33.303149606299215</v>
          </cell>
          <cell r="Y71">
            <v>68.892716535433081</v>
          </cell>
          <cell r="Z71">
            <v>33.303149606299215</v>
          </cell>
          <cell r="AA71">
            <v>68.892716535433081</v>
          </cell>
          <cell r="AB71">
            <v>33.303149606299215</v>
          </cell>
          <cell r="AC71">
            <v>68.892716535433081</v>
          </cell>
          <cell r="AD71">
            <v>68.892716535433081</v>
          </cell>
          <cell r="AE71">
            <v>68.314960629921259</v>
          </cell>
          <cell r="AF71">
            <v>26.314960629921266</v>
          </cell>
          <cell r="AG71">
            <v>37.929133858267718</v>
          </cell>
          <cell r="AH71" t="str">
            <v>N</v>
          </cell>
          <cell r="AI71">
            <v>42.997500000000002</v>
          </cell>
          <cell r="AJ71">
            <v>19.5</v>
          </cell>
          <cell r="AK71" t="str">
            <v>TBD</v>
          </cell>
          <cell r="AL71" t="str">
            <v>Y</v>
          </cell>
          <cell r="AM71">
            <v>200018404</v>
          </cell>
          <cell r="AN71">
            <v>200028404</v>
          </cell>
          <cell r="AO71">
            <v>200018304</v>
          </cell>
          <cell r="AP71">
            <v>200028304</v>
          </cell>
          <cell r="AQ71">
            <v>200018204</v>
          </cell>
          <cell r="AR71">
            <v>200028204</v>
          </cell>
          <cell r="AS71">
            <v>15.222222222222221</v>
          </cell>
          <cell r="AT71">
            <v>21.175180898581257</v>
          </cell>
          <cell r="AU71">
            <v>15.78054449149221</v>
          </cell>
          <cell r="AV71">
            <v>10.768327097061066</v>
          </cell>
          <cell r="AW71">
            <v>40617</v>
          </cell>
        </row>
        <row r="72">
          <cell r="C72" t="str">
            <v>GCL Poly - GCL P6-60 235-245_S</v>
          </cell>
          <cell r="D72" t="str">
            <v>Standard Claw</v>
          </cell>
          <cell r="E72">
            <v>5000005</v>
          </cell>
          <cell r="F72">
            <v>37.007874015748037</v>
          </cell>
          <cell r="G72">
            <v>64.960629921259851</v>
          </cell>
          <cell r="H72">
            <v>1.5354330708661419</v>
          </cell>
          <cell r="I72">
            <v>200010704</v>
          </cell>
          <cell r="J72">
            <v>200010804</v>
          </cell>
          <cell r="K72">
            <v>200013804</v>
          </cell>
          <cell r="L72">
            <v>200016304</v>
          </cell>
          <cell r="M72">
            <v>500012568</v>
          </cell>
          <cell r="N72">
            <v>500012668</v>
          </cell>
          <cell r="O72">
            <v>500012569</v>
          </cell>
          <cell r="P72">
            <v>500012669</v>
          </cell>
          <cell r="Q72">
            <v>12.581545779377787</v>
          </cell>
          <cell r="R72">
            <v>11.241433881440189</v>
          </cell>
          <cell r="S72">
            <v>5.3005176223902808</v>
          </cell>
          <cell r="T72">
            <v>5.3005176223902808</v>
          </cell>
          <cell r="U72">
            <v>12.581545779377787</v>
          </cell>
          <cell r="V72">
            <v>11.241433881440189</v>
          </cell>
          <cell r="W72">
            <v>40</v>
          </cell>
          <cell r="X72">
            <v>32.858267716535437</v>
          </cell>
          <cell r="Y72">
            <v>66.038385826771659</v>
          </cell>
          <cell r="Z72">
            <v>32.858267716535437</v>
          </cell>
          <cell r="AA72">
            <v>66.038385826771659</v>
          </cell>
          <cell r="AB72">
            <v>32.858267716535437</v>
          </cell>
          <cell r="AC72">
            <v>66.038385826771659</v>
          </cell>
          <cell r="AD72">
            <v>66.038385826771659</v>
          </cell>
          <cell r="AE72">
            <v>65.460629921259851</v>
          </cell>
          <cell r="AF72">
            <v>23.460629921259848</v>
          </cell>
          <cell r="AG72">
            <v>37.484251968503941</v>
          </cell>
          <cell r="AH72" t="str">
            <v>N</v>
          </cell>
          <cell r="AI72">
            <v>42.997500000000002</v>
          </cell>
          <cell r="AJ72">
            <v>19.5</v>
          </cell>
          <cell r="AK72" t="str">
            <v>TBD</v>
          </cell>
          <cell r="AL72" t="str">
            <v>Y</v>
          </cell>
          <cell r="AM72">
            <v>200018403</v>
          </cell>
          <cell r="AN72">
            <v>200028403</v>
          </cell>
          <cell r="AO72">
            <v>200018303</v>
          </cell>
          <cell r="AP72">
            <v>200028303</v>
          </cell>
          <cell r="AQ72">
            <v>200018203</v>
          </cell>
          <cell r="AR72">
            <v>200028203</v>
          </cell>
          <cell r="AS72">
            <v>14.555555555555557</v>
          </cell>
          <cell r="AT72">
            <v>21.438838446501453</v>
          </cell>
          <cell r="AU72">
            <v>15.97281150287564</v>
          </cell>
          <cell r="AV72">
            <v>10.897685235861529</v>
          </cell>
          <cell r="AW72">
            <v>41122</v>
          </cell>
        </row>
        <row r="73">
          <cell r="C73" t="str">
            <v>GCL Poly - GCL P6-72 280-300_L</v>
          </cell>
          <cell r="D73" t="str">
            <v>2nd Gen Long Claw (GCL Poly P6 72 Cell)</v>
          </cell>
          <cell r="E73">
            <v>500014411</v>
          </cell>
          <cell r="F73">
            <v>38.937007874015748</v>
          </cell>
          <cell r="G73">
            <v>77.677165354330711</v>
          </cell>
          <cell r="H73">
            <v>1.5354330708661419</v>
          </cell>
          <cell r="I73">
            <v>200010707</v>
          </cell>
          <cell r="J73">
            <v>200010807</v>
          </cell>
          <cell r="K73">
            <v>200013807</v>
          </cell>
          <cell r="L73">
            <v>200016307</v>
          </cell>
          <cell r="M73">
            <v>500012581</v>
          </cell>
          <cell r="N73">
            <v>500012681</v>
          </cell>
          <cell r="O73">
            <v>500012581</v>
          </cell>
          <cell r="P73">
            <v>500012681</v>
          </cell>
          <cell r="Q73">
            <v>10.472504150178661</v>
          </cell>
          <cell r="R73">
            <v>9.3617595686706334</v>
          </cell>
          <cell r="S73">
            <v>4.4210069648361285</v>
          </cell>
          <cell r="T73">
            <v>4.4210069648361285</v>
          </cell>
          <cell r="U73">
            <v>10.472504150178661</v>
          </cell>
          <cell r="V73">
            <v>9.3617595686706334</v>
          </cell>
          <cell r="W73">
            <v>50</v>
          </cell>
          <cell r="X73">
            <v>39.377952755905518</v>
          </cell>
          <cell r="Y73">
            <v>78.43208661417323</v>
          </cell>
          <cell r="Z73">
            <v>39.377952755905518</v>
          </cell>
          <cell r="AA73">
            <v>78.43208661417323</v>
          </cell>
          <cell r="AB73">
            <v>39.377952755905518</v>
          </cell>
          <cell r="AC73">
            <v>78.43208661417323</v>
          </cell>
          <cell r="AD73">
            <v>78.43208661417323</v>
          </cell>
          <cell r="AE73">
            <v>78.177165354330711</v>
          </cell>
          <cell r="AF73">
            <v>36.177165354330711</v>
          </cell>
          <cell r="AG73">
            <v>39.413385826771659</v>
          </cell>
          <cell r="AH73" t="str">
            <v>Y</v>
          </cell>
          <cell r="AI73">
            <v>49.612500000000004</v>
          </cell>
          <cell r="AJ73">
            <v>22.5</v>
          </cell>
          <cell r="AK73" t="str">
            <v>TBD</v>
          </cell>
          <cell r="AL73" t="str">
            <v>Y</v>
          </cell>
          <cell r="AM73">
            <v>200018407</v>
          </cell>
          <cell r="AN73">
            <v>200028407</v>
          </cell>
          <cell r="AO73">
            <v>200018307</v>
          </cell>
          <cell r="AP73">
            <v>200028307</v>
          </cell>
          <cell r="AQ73">
            <v>200018207</v>
          </cell>
          <cell r="AR73">
            <v>200028207</v>
          </cell>
          <cell r="AS73">
            <v>17.222222222222221</v>
          </cell>
          <cell r="AT73">
            <v>20.341667202100606</v>
          </cell>
          <cell r="AU73">
            <v>15.171677372068142</v>
          </cell>
          <cell r="AV73">
            <v>10.358239753326892</v>
          </cell>
          <cell r="AW73">
            <v>41122</v>
          </cell>
        </row>
        <row r="74">
          <cell r="C74" t="str">
            <v>GE Energy - GE-CIGS 130-155_S</v>
          </cell>
          <cell r="D74" t="str">
            <v>Standard Claw</v>
          </cell>
          <cell r="E74">
            <v>5000005</v>
          </cell>
          <cell r="F74">
            <v>39.251968503937007</v>
          </cell>
          <cell r="G74">
            <v>49.409448818897637</v>
          </cell>
          <cell r="H74">
            <v>1.3779527559055118</v>
          </cell>
          <cell r="I74">
            <v>200010701</v>
          </cell>
          <cell r="J74">
            <v>200010801</v>
          </cell>
          <cell r="K74">
            <v>200013801</v>
          </cell>
          <cell r="L74">
            <v>200016301</v>
          </cell>
          <cell r="M74">
            <v>500012554</v>
          </cell>
          <cell r="N74">
            <v>500012654</v>
          </cell>
          <cell r="O74">
            <v>500012554</v>
          </cell>
          <cell r="P74">
            <v>500012654</v>
          </cell>
          <cell r="Q74">
            <v>11.50360408509002</v>
          </cell>
          <cell r="R74">
            <v>10.281085349492539</v>
          </cell>
          <cell r="S74">
            <v>4.8516763621064163</v>
          </cell>
          <cell r="T74">
            <v>4.8516763621064163</v>
          </cell>
          <cell r="U74">
            <v>11.50360408509002</v>
          </cell>
          <cell r="V74">
            <v>10.281085349492539</v>
          </cell>
          <cell r="W74">
            <v>30</v>
          </cell>
          <cell r="X74">
            <v>35.889763779527563</v>
          </cell>
          <cell r="Y74">
            <v>51.2746062992126</v>
          </cell>
          <cell r="Z74">
            <v>35.889763779527563</v>
          </cell>
          <cell r="AA74">
            <v>51.2746062992126</v>
          </cell>
          <cell r="AB74">
            <v>35.889763779527563</v>
          </cell>
          <cell r="AC74">
            <v>51.2746062992126</v>
          </cell>
          <cell r="AD74">
            <v>51.2746062992126</v>
          </cell>
          <cell r="AE74" t="str">
            <v>NA</v>
          </cell>
          <cell r="AF74" t="str">
            <v>NA</v>
          </cell>
          <cell r="AG74" t="str">
            <v>NA</v>
          </cell>
          <cell r="AH74" t="str">
            <v>Y</v>
          </cell>
          <cell r="AI74">
            <v>44.1</v>
          </cell>
          <cell r="AJ74">
            <v>20</v>
          </cell>
          <cell r="AK74" t="str">
            <v>TBD</v>
          </cell>
          <cell r="AL74" t="str">
            <v>Y</v>
          </cell>
          <cell r="AM74" t="str">
            <v>2000184TBD</v>
          </cell>
          <cell r="AN74" t="str">
            <v>2000284TBD</v>
          </cell>
          <cell r="AO74" t="str">
            <v>2000183TBD</v>
          </cell>
          <cell r="AP74" t="str">
            <v>2000283TBD</v>
          </cell>
          <cell r="AQ74" t="str">
            <v>2000182TBD</v>
          </cell>
          <cell r="AR74" t="str">
            <v>2000282TBD</v>
          </cell>
          <cell r="AS74" t="str">
            <v>TBD</v>
          </cell>
          <cell r="AT74" t="str">
            <v>NA</v>
          </cell>
          <cell r="AU74" t="str">
            <v>NA</v>
          </cell>
          <cell r="AV74" t="str">
            <v>NA</v>
          </cell>
          <cell r="AW74">
            <v>41122</v>
          </cell>
        </row>
        <row r="75">
          <cell r="C75" t="str">
            <v>Grape Solar - CS-S-DJ 180-185- GS-S-Fab3-Fab1 190-200_S</v>
          </cell>
          <cell r="D75" t="str">
            <v>Standard Claw</v>
          </cell>
          <cell r="E75">
            <v>5000005</v>
          </cell>
          <cell r="F75">
            <v>31.811023622047244</v>
          </cell>
          <cell r="G75">
            <v>62.204724409448822</v>
          </cell>
          <cell r="H75">
            <v>1.5748031496062993</v>
          </cell>
          <cell r="I75">
            <v>200010704</v>
          </cell>
          <cell r="J75">
            <v>200010804</v>
          </cell>
          <cell r="K75">
            <v>200013804</v>
          </cell>
          <cell r="L75">
            <v>200016304</v>
          </cell>
          <cell r="M75">
            <v>500012566</v>
          </cell>
          <cell r="N75">
            <v>500012666</v>
          </cell>
          <cell r="O75">
            <v>500012566</v>
          </cell>
          <cell r="P75">
            <v>500012666</v>
          </cell>
          <cell r="Q75">
            <v>14.780819563929326</v>
          </cell>
          <cell r="R75">
            <v>13.198114568872393</v>
          </cell>
          <cell r="S75">
            <v>6.211295317501194</v>
          </cell>
          <cell r="T75">
            <v>6.211295317501194</v>
          </cell>
          <cell r="U75">
            <v>14.780819563929326</v>
          </cell>
          <cell r="V75">
            <v>13.198114568872393</v>
          </cell>
          <cell r="W75">
            <v>30</v>
          </cell>
          <cell r="X75">
            <v>28.055118110236222</v>
          </cell>
          <cell r="Y75">
            <v>63.676181102362207</v>
          </cell>
          <cell r="Z75">
            <v>28.055118110236222</v>
          </cell>
          <cell r="AA75">
            <v>63.676181102362207</v>
          </cell>
          <cell r="AB75">
            <v>28.055118110236222</v>
          </cell>
          <cell r="AC75">
            <v>63.676181102362207</v>
          </cell>
          <cell r="AD75">
            <v>63.676181102362207</v>
          </cell>
          <cell r="AE75">
            <v>62.704724409448822</v>
          </cell>
          <cell r="AF75">
            <v>20.704724409448822</v>
          </cell>
          <cell r="AG75">
            <v>32.681102362204726</v>
          </cell>
          <cell r="AH75" t="str">
            <v>N</v>
          </cell>
          <cell r="AI75">
            <v>34.177500000000002</v>
          </cell>
          <cell r="AJ75">
            <v>15.5</v>
          </cell>
          <cell r="AK75" t="str">
            <v>TBD</v>
          </cell>
          <cell r="AL75" t="str">
            <v>Y</v>
          </cell>
          <cell r="AM75">
            <v>200018402</v>
          </cell>
          <cell r="AN75">
            <v>200028402</v>
          </cell>
          <cell r="AO75">
            <v>200018302</v>
          </cell>
          <cell r="AP75">
            <v>200028302</v>
          </cell>
          <cell r="AQ75">
            <v>200018202</v>
          </cell>
          <cell r="AR75">
            <v>200028202</v>
          </cell>
          <cell r="AS75">
            <v>13.888888888888888</v>
          </cell>
          <cell r="AT75">
            <v>24.785769092963804</v>
          </cell>
          <cell r="AU75">
            <v>18.39852585667062</v>
          </cell>
          <cell r="AV75">
            <v>12.523577389800897</v>
          </cell>
          <cell r="AW75">
            <v>40746</v>
          </cell>
        </row>
        <row r="76">
          <cell r="C76" t="str">
            <v>Grape Solar - GS-S-240-Fab1_S</v>
          </cell>
          <cell r="D76" t="str">
            <v>Standard Claw</v>
          </cell>
          <cell r="E76">
            <v>5000005</v>
          </cell>
          <cell r="F76">
            <v>39.370078740157481</v>
          </cell>
          <cell r="G76">
            <v>65.039370078740163</v>
          </cell>
          <cell r="H76">
            <v>1.9685039370078741</v>
          </cell>
          <cell r="I76">
            <v>200010704</v>
          </cell>
          <cell r="J76">
            <v>200010804</v>
          </cell>
          <cell r="K76">
            <v>200013804</v>
          </cell>
          <cell r="L76">
            <v>200016304</v>
          </cell>
          <cell r="M76">
            <v>500012569</v>
          </cell>
          <cell r="N76">
            <v>500012669</v>
          </cell>
          <cell r="O76">
            <v>500012569</v>
          </cell>
          <cell r="P76">
            <v>500012669</v>
          </cell>
          <cell r="Q76">
            <v>11.593851817515533</v>
          </cell>
          <cell r="R76">
            <v>10.361517999726759</v>
          </cell>
          <cell r="S76">
            <v>4.8893107769288457</v>
          </cell>
          <cell r="T76">
            <v>4.8893107769288457</v>
          </cell>
          <cell r="U76">
            <v>11.593851817515533</v>
          </cell>
          <cell r="V76">
            <v>10.361517999726759</v>
          </cell>
          <cell r="W76">
            <v>30</v>
          </cell>
          <cell r="X76">
            <v>35.614173228346459</v>
          </cell>
          <cell r="Y76">
            <v>66.510826771653541</v>
          </cell>
          <cell r="Z76">
            <v>35.614173228346459</v>
          </cell>
          <cell r="AA76">
            <v>66.510826771653541</v>
          </cell>
          <cell r="AB76">
            <v>35.614173228346459</v>
          </cell>
          <cell r="AC76">
            <v>66.510826771653541</v>
          </cell>
          <cell r="AD76">
            <v>66.510826771653541</v>
          </cell>
          <cell r="AE76">
            <v>65.539370078740163</v>
          </cell>
          <cell r="AF76">
            <v>23.539370078740163</v>
          </cell>
          <cell r="AG76">
            <v>40.240157480314963</v>
          </cell>
          <cell r="AH76" t="str">
            <v>N</v>
          </cell>
          <cell r="AI76">
            <v>44.1</v>
          </cell>
          <cell r="AJ76">
            <v>20</v>
          </cell>
          <cell r="AK76" t="str">
            <v>TBD</v>
          </cell>
          <cell r="AL76" t="str">
            <v>Y</v>
          </cell>
          <cell r="AM76">
            <v>200018403</v>
          </cell>
          <cell r="AN76">
            <v>200028403</v>
          </cell>
          <cell r="AO76">
            <v>200018303</v>
          </cell>
          <cell r="AP76">
            <v>200028303</v>
          </cell>
          <cell r="AQ76">
            <v>200018203</v>
          </cell>
          <cell r="AR76">
            <v>200028203</v>
          </cell>
          <cell r="AS76">
            <v>14.555555555555557</v>
          </cell>
          <cell r="AT76">
            <v>19.905846229389603</v>
          </cell>
          <cell r="AU76">
            <v>14.852704372847956</v>
          </cell>
          <cell r="AV76">
            <v>10.143144054640397</v>
          </cell>
          <cell r="AW76">
            <v>40746</v>
          </cell>
        </row>
        <row r="77">
          <cell r="C77" t="str">
            <v>Grape Solar - GS-S-250-Fab5_S</v>
          </cell>
          <cell r="D77" t="str">
            <v>Standard Claw</v>
          </cell>
          <cell r="E77">
            <v>5000005</v>
          </cell>
          <cell r="F77">
            <v>38.976377952755911</v>
          </cell>
          <cell r="G77">
            <v>64.566929133858267</v>
          </cell>
          <cell r="H77">
            <v>1.5748031496062993</v>
          </cell>
          <cell r="I77">
            <v>200010704</v>
          </cell>
          <cell r="J77">
            <v>200010804</v>
          </cell>
          <cell r="K77">
            <v>200013804</v>
          </cell>
          <cell r="L77">
            <v>200016304</v>
          </cell>
          <cell r="M77">
            <v>500012568</v>
          </cell>
          <cell r="N77">
            <v>500012668</v>
          </cell>
          <cell r="O77">
            <v>500012569</v>
          </cell>
          <cell r="P77">
            <v>500012669</v>
          </cell>
          <cell r="Q77">
            <v>11.725279318414811</v>
          </cell>
          <cell r="R77">
            <v>10.478642249707667</v>
          </cell>
          <cell r="S77">
            <v>4.9440996728708777</v>
          </cell>
          <cell r="T77">
            <v>4.9440996728708777</v>
          </cell>
          <cell r="U77">
            <v>11.725279318414811</v>
          </cell>
          <cell r="V77">
            <v>10.478642249707667</v>
          </cell>
          <cell r="W77">
            <v>30</v>
          </cell>
          <cell r="X77">
            <v>35.220472440944881</v>
          </cell>
          <cell r="Y77">
            <v>66.038385826771659</v>
          </cell>
          <cell r="Z77">
            <v>35.220472440944881</v>
          </cell>
          <cell r="AA77">
            <v>66.038385826771659</v>
          </cell>
          <cell r="AB77">
            <v>35.220472440944881</v>
          </cell>
          <cell r="AC77">
            <v>66.038385826771659</v>
          </cell>
          <cell r="AD77">
            <v>66.038385826771659</v>
          </cell>
          <cell r="AE77">
            <v>65.066929133858267</v>
          </cell>
          <cell r="AF77">
            <v>23.066929133858274</v>
          </cell>
          <cell r="AG77">
            <v>39.846456692913392</v>
          </cell>
          <cell r="AH77" t="str">
            <v>N</v>
          </cell>
          <cell r="AI77">
            <v>44.1</v>
          </cell>
          <cell r="AJ77">
            <v>20</v>
          </cell>
          <cell r="AK77" t="str">
            <v>TBD</v>
          </cell>
          <cell r="AL77" t="str">
            <v>Y</v>
          </cell>
          <cell r="AM77">
            <v>200018403</v>
          </cell>
          <cell r="AN77">
            <v>200028403</v>
          </cell>
          <cell r="AO77">
            <v>200018303</v>
          </cell>
          <cell r="AP77">
            <v>200028303</v>
          </cell>
          <cell r="AQ77">
            <v>200018203</v>
          </cell>
          <cell r="AR77">
            <v>200028203</v>
          </cell>
          <cell r="AS77">
            <v>14.555555555555557</v>
          </cell>
          <cell r="AT77">
            <v>20.110973161651764</v>
          </cell>
          <cell r="AU77">
            <v>15.002886128524771</v>
          </cell>
          <cell r="AV77">
            <v>10.244439167746933</v>
          </cell>
          <cell r="AW77">
            <v>40746</v>
          </cell>
        </row>
        <row r="78">
          <cell r="C78" t="str">
            <v>Grape Solar - GS-S-255-Fa3_S</v>
          </cell>
          <cell r="D78" t="str">
            <v>Standard Claw</v>
          </cell>
          <cell r="E78">
            <v>5000005</v>
          </cell>
          <cell r="F78">
            <v>42.047244094488192</v>
          </cell>
          <cell r="G78">
            <v>62.28346456692914</v>
          </cell>
          <cell r="H78">
            <v>1.9685039370078741</v>
          </cell>
          <cell r="I78">
            <v>200010704</v>
          </cell>
          <cell r="J78">
            <v>200010804</v>
          </cell>
          <cell r="K78">
            <v>200013804</v>
          </cell>
          <cell r="L78">
            <v>200016304</v>
          </cell>
          <cell r="M78">
            <v>500012566</v>
          </cell>
          <cell r="N78">
            <v>500012666</v>
          </cell>
          <cell r="O78">
            <v>500012566</v>
          </cell>
          <cell r="P78">
            <v>500012666</v>
          </cell>
          <cell r="Q78">
            <v>10.773189637539925</v>
          </cell>
          <cell r="R78">
            <v>9.6299174575486735</v>
          </cell>
          <cell r="S78">
            <v>4.5467246307897273</v>
          </cell>
          <cell r="T78">
            <v>4.5467246307897273</v>
          </cell>
          <cell r="U78">
            <v>10.773189637539925</v>
          </cell>
          <cell r="V78">
            <v>9.6299174575486735</v>
          </cell>
          <cell r="W78">
            <v>30</v>
          </cell>
          <cell r="X78">
            <v>38.29133858267717</v>
          </cell>
          <cell r="Y78">
            <v>63.754921259842526</v>
          </cell>
          <cell r="Z78">
            <v>38.29133858267717</v>
          </cell>
          <cell r="AA78">
            <v>63.754921259842526</v>
          </cell>
          <cell r="AB78">
            <v>38.29133858267717</v>
          </cell>
          <cell r="AC78">
            <v>63.754921259842526</v>
          </cell>
          <cell r="AD78">
            <v>63.754921259842526</v>
          </cell>
          <cell r="AE78">
            <v>62.78346456692914</v>
          </cell>
          <cell r="AF78">
            <v>20.783464566929137</v>
          </cell>
          <cell r="AG78">
            <v>42.917322834645667</v>
          </cell>
          <cell r="AH78" t="str">
            <v>N</v>
          </cell>
          <cell r="AI78">
            <v>44.1</v>
          </cell>
          <cell r="AJ78">
            <v>20</v>
          </cell>
          <cell r="AK78" t="str">
            <v>TBD</v>
          </cell>
          <cell r="AL78" t="str">
            <v>Y</v>
          </cell>
          <cell r="AM78">
            <v>200018402</v>
          </cell>
          <cell r="AN78">
            <v>200028402</v>
          </cell>
          <cell r="AO78">
            <v>200018302</v>
          </cell>
          <cell r="AP78">
            <v>200028302</v>
          </cell>
          <cell r="AQ78">
            <v>200018202</v>
          </cell>
          <cell r="AR78">
            <v>200028202</v>
          </cell>
          <cell r="AS78">
            <v>13.888888888888888</v>
          </cell>
          <cell r="AT78">
            <v>18.616774091610804</v>
          </cell>
          <cell r="AU78">
            <v>13.906898853604041</v>
          </cell>
          <cell r="AV78">
            <v>9.5043488290473714</v>
          </cell>
          <cell r="AW78">
            <v>40746</v>
          </cell>
        </row>
        <row r="79">
          <cell r="C79" t="str">
            <v>Grape Solar - GS-S-Fab1 270-300- GS-P-Fab1 290-295_S</v>
          </cell>
          <cell r="D79" t="str">
            <v>Standard Claw</v>
          </cell>
          <cell r="E79">
            <v>5000005</v>
          </cell>
          <cell r="F79">
            <v>39.370078740157481</v>
          </cell>
          <cell r="G79">
            <v>77.480314960629926</v>
          </cell>
          <cell r="H79">
            <v>1.9685039370078741</v>
          </cell>
          <cell r="I79">
            <v>200010707</v>
          </cell>
          <cell r="J79">
            <v>200010807</v>
          </cell>
          <cell r="K79">
            <v>200013807</v>
          </cell>
          <cell r="L79">
            <v>200016307</v>
          </cell>
          <cell r="M79">
            <v>500012581</v>
          </cell>
          <cell r="N79">
            <v>500012681</v>
          </cell>
          <cell r="O79">
            <v>500012581</v>
          </cell>
          <cell r="P79">
            <v>500012681</v>
          </cell>
          <cell r="Q79">
            <v>11.593851817515533</v>
          </cell>
          <cell r="R79">
            <v>10.361517999726759</v>
          </cell>
          <cell r="S79">
            <v>4.8893107769288457</v>
          </cell>
          <cell r="T79">
            <v>4.8893107769288457</v>
          </cell>
          <cell r="U79">
            <v>11.593851817515533</v>
          </cell>
          <cell r="V79">
            <v>10.361517999726759</v>
          </cell>
          <cell r="W79">
            <v>30</v>
          </cell>
          <cell r="X79">
            <v>35.614173228346459</v>
          </cell>
          <cell r="Y79">
            <v>78.951771653543318</v>
          </cell>
          <cell r="Z79">
            <v>35.614173228346459</v>
          </cell>
          <cell r="AA79">
            <v>78.951771653543318</v>
          </cell>
          <cell r="AB79">
            <v>35.614173228346459</v>
          </cell>
          <cell r="AC79">
            <v>78.951771653543318</v>
          </cell>
          <cell r="AD79">
            <v>78.951771653543318</v>
          </cell>
          <cell r="AE79">
            <v>77.980314960629926</v>
          </cell>
          <cell r="AF79">
            <v>35.980314960629926</v>
          </cell>
          <cell r="AG79">
            <v>40.240157480314963</v>
          </cell>
          <cell r="AH79" t="str">
            <v>N</v>
          </cell>
          <cell r="AI79">
            <v>52.92</v>
          </cell>
          <cell r="AJ79">
            <v>24</v>
          </cell>
          <cell r="AK79" t="str">
            <v>TBD</v>
          </cell>
          <cell r="AL79" t="str">
            <v>Y</v>
          </cell>
          <cell r="AM79">
            <v>200018407</v>
          </cell>
          <cell r="AN79">
            <v>200028407</v>
          </cell>
          <cell r="AO79">
            <v>200018307</v>
          </cell>
          <cell r="AP79">
            <v>200028307</v>
          </cell>
          <cell r="AQ79">
            <v>200018207</v>
          </cell>
          <cell r="AR79">
            <v>200028207</v>
          </cell>
          <cell r="AS79">
            <v>17.222222222222221</v>
          </cell>
          <cell r="AT79">
            <v>19.905846229389603</v>
          </cell>
          <cell r="AU79">
            <v>14.852704372847956</v>
          </cell>
          <cell r="AV79">
            <v>10.143144054640397</v>
          </cell>
          <cell r="AW79">
            <v>40746</v>
          </cell>
        </row>
        <row r="80">
          <cell r="C80" t="str">
            <v>Grape Solar - GS-S-TS-Platinum 385-410_S</v>
          </cell>
          <cell r="D80" t="str">
            <v>Standard Claw</v>
          </cell>
          <cell r="E80">
            <v>5000005</v>
          </cell>
          <cell r="F80">
            <v>51.496062992125985</v>
          </cell>
          <cell r="G80">
            <v>77.165354330708666</v>
          </cell>
          <cell r="H80">
            <v>1.5748031496062993</v>
          </cell>
          <cell r="I80">
            <v>200010707</v>
          </cell>
          <cell r="J80">
            <v>200010807</v>
          </cell>
          <cell r="K80">
            <v>200013807</v>
          </cell>
          <cell r="L80">
            <v>200016307</v>
          </cell>
          <cell r="M80">
            <v>500012581</v>
          </cell>
          <cell r="N80">
            <v>500012681</v>
          </cell>
          <cell r="O80">
            <v>500012581</v>
          </cell>
          <cell r="P80">
            <v>500012681</v>
          </cell>
          <cell r="Q80">
            <v>8.6226253875479095</v>
          </cell>
          <cell r="R80">
            <v>7.710888005830153</v>
          </cell>
          <cell r="S80">
            <v>3.6454613919061694</v>
          </cell>
          <cell r="T80">
            <v>3.6454613919061694</v>
          </cell>
          <cell r="U80">
            <v>8.6226253875479095</v>
          </cell>
          <cell r="V80">
            <v>7.710888005830153</v>
          </cell>
          <cell r="W80">
            <v>30</v>
          </cell>
          <cell r="X80">
            <v>47.740157480314963</v>
          </cell>
          <cell r="Y80">
            <v>78.636811023622045</v>
          </cell>
          <cell r="Z80">
            <v>47.740157480314963</v>
          </cell>
          <cell r="AA80">
            <v>78.636811023622045</v>
          </cell>
          <cell r="AB80">
            <v>47.740157480314963</v>
          </cell>
          <cell r="AC80">
            <v>78.636811023622045</v>
          </cell>
          <cell r="AD80">
            <v>78.636811023622045</v>
          </cell>
          <cell r="AE80">
            <v>77.665354330708666</v>
          </cell>
          <cell r="AF80">
            <v>35.665354330708666</v>
          </cell>
          <cell r="AG80">
            <v>52.366141732283467</v>
          </cell>
          <cell r="AH80" t="str">
            <v>N</v>
          </cell>
          <cell r="AI80">
            <v>78.277500000000003</v>
          </cell>
          <cell r="AJ80">
            <v>35.5</v>
          </cell>
          <cell r="AK80" t="str">
            <v>TBD</v>
          </cell>
          <cell r="AL80" t="str">
            <v>Y</v>
          </cell>
          <cell r="AM80">
            <v>200018407</v>
          </cell>
          <cell r="AN80">
            <v>200028407</v>
          </cell>
          <cell r="AO80">
            <v>200018307</v>
          </cell>
          <cell r="AP80">
            <v>200028307</v>
          </cell>
          <cell r="AQ80">
            <v>200018207</v>
          </cell>
          <cell r="AR80">
            <v>200028207</v>
          </cell>
          <cell r="AS80">
            <v>17.222222222222221</v>
          </cell>
          <cell r="AT80">
            <v>15.167067555207536</v>
          </cell>
          <cell r="AU80">
            <v>11.360276831802061</v>
          </cell>
          <cell r="AV80">
            <v>7.7775968384255716</v>
          </cell>
          <cell r="AW80">
            <v>40746</v>
          </cell>
        </row>
        <row r="81">
          <cell r="C81" t="str">
            <v>Grape Solar - CS-P-DJ 220-230_S</v>
          </cell>
          <cell r="D81" t="str">
            <v>Standard Claw</v>
          </cell>
          <cell r="E81">
            <v>5000005</v>
          </cell>
          <cell r="F81">
            <v>38.976377952755911</v>
          </cell>
          <cell r="G81">
            <v>64.960629921259851</v>
          </cell>
          <cell r="H81">
            <v>1.5748031496062993</v>
          </cell>
          <cell r="I81">
            <v>200010704</v>
          </cell>
          <cell r="J81">
            <v>200010804</v>
          </cell>
          <cell r="K81">
            <v>200013804</v>
          </cell>
          <cell r="L81">
            <v>200016304</v>
          </cell>
          <cell r="M81">
            <v>500012569</v>
          </cell>
          <cell r="N81">
            <v>500012669</v>
          </cell>
          <cell r="O81">
            <v>500012569</v>
          </cell>
          <cell r="P81">
            <v>500012669</v>
          </cell>
          <cell r="Q81">
            <v>11.725279318414811</v>
          </cell>
          <cell r="R81">
            <v>10.478642249707667</v>
          </cell>
          <cell r="S81">
            <v>4.9440996728708777</v>
          </cell>
          <cell r="T81">
            <v>4.9440996728708777</v>
          </cell>
          <cell r="U81">
            <v>11.725279318414811</v>
          </cell>
          <cell r="V81">
            <v>10.478642249707667</v>
          </cell>
          <cell r="W81">
            <v>30</v>
          </cell>
          <cell r="X81">
            <v>35.220472440944881</v>
          </cell>
          <cell r="Y81">
            <v>66.43208661417323</v>
          </cell>
          <cell r="Z81">
            <v>35.220472440944881</v>
          </cell>
          <cell r="AA81">
            <v>66.43208661417323</v>
          </cell>
          <cell r="AB81">
            <v>35.220472440944881</v>
          </cell>
          <cell r="AC81">
            <v>66.43208661417323</v>
          </cell>
          <cell r="AD81">
            <v>66.43208661417323</v>
          </cell>
          <cell r="AE81">
            <v>65.460629921259851</v>
          </cell>
          <cell r="AF81">
            <v>23.460629921259848</v>
          </cell>
          <cell r="AG81">
            <v>39.846456692913392</v>
          </cell>
          <cell r="AH81" t="str">
            <v>Y</v>
          </cell>
          <cell r="AI81">
            <v>42.997500000000002</v>
          </cell>
          <cell r="AJ81">
            <v>19.5</v>
          </cell>
          <cell r="AK81" t="str">
            <v>TBD</v>
          </cell>
          <cell r="AL81" t="str">
            <v>Y</v>
          </cell>
          <cell r="AM81">
            <v>200018403</v>
          </cell>
          <cell r="AN81">
            <v>200028403</v>
          </cell>
          <cell r="AO81">
            <v>200018303</v>
          </cell>
          <cell r="AP81">
            <v>200028303</v>
          </cell>
          <cell r="AQ81">
            <v>200018203</v>
          </cell>
          <cell r="AR81">
            <v>200028203</v>
          </cell>
          <cell r="AS81">
            <v>14.555555555555557</v>
          </cell>
          <cell r="AT81">
            <v>20.110973161651764</v>
          </cell>
          <cell r="AU81">
            <v>15.002886128524771</v>
          </cell>
          <cell r="AV81">
            <v>10.244439167746933</v>
          </cell>
          <cell r="AW81">
            <v>40746</v>
          </cell>
        </row>
        <row r="82">
          <cell r="C82" t="str">
            <v>Grape Solar - CS-P-240-DJ- GS-P-225-EUG_S</v>
          </cell>
          <cell r="D82" t="str">
            <v>Standard Claw</v>
          </cell>
          <cell r="E82">
            <v>5000005</v>
          </cell>
          <cell r="F82">
            <v>39.055118110236222</v>
          </cell>
          <cell r="G82">
            <v>64.566929133858267</v>
          </cell>
          <cell r="H82">
            <v>1.8110236220472442</v>
          </cell>
          <cell r="I82">
            <v>200010704</v>
          </cell>
          <cell r="J82">
            <v>200010804</v>
          </cell>
          <cell r="K82">
            <v>200013804</v>
          </cell>
          <cell r="L82">
            <v>200016304</v>
          </cell>
          <cell r="M82">
            <v>500012568</v>
          </cell>
          <cell r="N82">
            <v>500012668</v>
          </cell>
          <cell r="O82">
            <v>500012569</v>
          </cell>
          <cell r="P82">
            <v>500012669</v>
          </cell>
          <cell r="Q82">
            <v>11.698754267040043</v>
          </cell>
          <cell r="R82">
            <v>10.455004839041191</v>
          </cell>
          <cell r="S82">
            <v>4.9330437584696041</v>
          </cell>
          <cell r="T82">
            <v>4.9330437584696041</v>
          </cell>
          <cell r="U82">
            <v>11.698754267040043</v>
          </cell>
          <cell r="V82">
            <v>10.455004839041191</v>
          </cell>
          <cell r="W82">
            <v>30</v>
          </cell>
          <cell r="X82">
            <v>35.2992125984252</v>
          </cell>
          <cell r="Y82">
            <v>66.038385826771659</v>
          </cell>
          <cell r="Z82">
            <v>35.2992125984252</v>
          </cell>
          <cell r="AA82">
            <v>66.038385826771659</v>
          </cell>
          <cell r="AB82">
            <v>35.2992125984252</v>
          </cell>
          <cell r="AC82">
            <v>66.038385826771659</v>
          </cell>
          <cell r="AD82">
            <v>66.038385826771659</v>
          </cell>
          <cell r="AE82">
            <v>65.066929133858267</v>
          </cell>
          <cell r="AF82">
            <v>23.066929133858274</v>
          </cell>
          <cell r="AG82">
            <v>39.925196850393704</v>
          </cell>
          <cell r="AH82" t="str">
            <v>Y</v>
          </cell>
          <cell r="AI82">
            <v>42.997500000000002</v>
          </cell>
          <cell r="AJ82">
            <v>19.5</v>
          </cell>
          <cell r="AK82" t="str">
            <v>TBD</v>
          </cell>
          <cell r="AL82" t="str">
            <v>Y</v>
          </cell>
          <cell r="AM82">
            <v>200018403</v>
          </cell>
          <cell r="AN82">
            <v>200028403</v>
          </cell>
          <cell r="AO82">
            <v>200018303</v>
          </cell>
          <cell r="AP82">
            <v>200028303</v>
          </cell>
          <cell r="AQ82">
            <v>200018203</v>
          </cell>
          <cell r="AR82">
            <v>200028203</v>
          </cell>
          <cell r="AS82">
            <v>14.555555555555557</v>
          </cell>
          <cell r="AT82">
            <v>20.069602586497279</v>
          </cell>
          <cell r="AU82">
            <v>14.97260437224279</v>
          </cell>
          <cell r="AV82">
            <v>10.224017732239455</v>
          </cell>
          <cell r="AW82">
            <v>40746</v>
          </cell>
        </row>
        <row r="83">
          <cell r="C83" t="str">
            <v>Grape Solar - GS-P-235-Fab5_S</v>
          </cell>
          <cell r="D83" t="str">
            <v>Standard Claw</v>
          </cell>
          <cell r="E83">
            <v>5000005</v>
          </cell>
          <cell r="F83">
            <v>38.976377952755911</v>
          </cell>
          <cell r="G83">
            <v>64.960629921259851</v>
          </cell>
          <cell r="H83">
            <v>1.9685039370078741</v>
          </cell>
          <cell r="I83">
            <v>200010704</v>
          </cell>
          <cell r="J83">
            <v>200010804</v>
          </cell>
          <cell r="K83">
            <v>200013804</v>
          </cell>
          <cell r="L83">
            <v>200016304</v>
          </cell>
          <cell r="M83">
            <v>500012569</v>
          </cell>
          <cell r="N83">
            <v>500012669</v>
          </cell>
          <cell r="O83">
            <v>500012569</v>
          </cell>
          <cell r="P83">
            <v>500012669</v>
          </cell>
          <cell r="Q83">
            <v>11.725279318414811</v>
          </cell>
          <cell r="R83">
            <v>10.478642249707667</v>
          </cell>
          <cell r="S83">
            <v>4.9440996728708777</v>
          </cell>
          <cell r="T83">
            <v>4.9440996728708777</v>
          </cell>
          <cell r="U83">
            <v>11.725279318414811</v>
          </cell>
          <cell r="V83">
            <v>10.478642249707667</v>
          </cell>
          <cell r="W83">
            <v>30</v>
          </cell>
          <cell r="X83">
            <v>35.220472440944881</v>
          </cell>
          <cell r="Y83">
            <v>66.43208661417323</v>
          </cell>
          <cell r="Z83">
            <v>35.220472440944881</v>
          </cell>
          <cell r="AA83">
            <v>66.43208661417323</v>
          </cell>
          <cell r="AB83">
            <v>35.220472440944881</v>
          </cell>
          <cell r="AC83">
            <v>66.43208661417323</v>
          </cell>
          <cell r="AD83">
            <v>66.43208661417323</v>
          </cell>
          <cell r="AE83">
            <v>65.460629921259851</v>
          </cell>
          <cell r="AF83">
            <v>23.460629921259848</v>
          </cell>
          <cell r="AG83">
            <v>39.846456692913392</v>
          </cell>
          <cell r="AH83" t="str">
            <v>N</v>
          </cell>
          <cell r="AI83">
            <v>42.997500000000002</v>
          </cell>
          <cell r="AJ83">
            <v>19.5</v>
          </cell>
          <cell r="AK83" t="str">
            <v>TBD</v>
          </cell>
          <cell r="AL83" t="str">
            <v>Y</v>
          </cell>
          <cell r="AM83">
            <v>200018403</v>
          </cell>
          <cell r="AN83">
            <v>200028403</v>
          </cell>
          <cell r="AO83">
            <v>200018303</v>
          </cell>
          <cell r="AP83">
            <v>200028303</v>
          </cell>
          <cell r="AQ83">
            <v>200018203</v>
          </cell>
          <cell r="AR83">
            <v>200028203</v>
          </cell>
          <cell r="AS83">
            <v>14.555555555555557</v>
          </cell>
          <cell r="AT83">
            <v>20.110973161651764</v>
          </cell>
          <cell r="AU83">
            <v>15.002886128524771</v>
          </cell>
          <cell r="AV83">
            <v>10.244439167746933</v>
          </cell>
          <cell r="AW83">
            <v>40746</v>
          </cell>
        </row>
        <row r="84">
          <cell r="C84" t="str">
            <v>Grape Solar - CS-P-270-DJ_S</v>
          </cell>
          <cell r="D84" t="str">
            <v>Standard Claw</v>
          </cell>
          <cell r="E84">
            <v>5000005</v>
          </cell>
          <cell r="F84">
            <v>38.976377952755911</v>
          </cell>
          <cell r="G84">
            <v>77.047244094488192</v>
          </cell>
          <cell r="H84">
            <v>1.9685039370078741</v>
          </cell>
          <cell r="I84">
            <v>200010707</v>
          </cell>
          <cell r="J84">
            <v>200010807</v>
          </cell>
          <cell r="K84">
            <v>200013807</v>
          </cell>
          <cell r="L84">
            <v>200016307</v>
          </cell>
          <cell r="M84">
            <v>500012581</v>
          </cell>
          <cell r="N84">
            <v>500012681</v>
          </cell>
          <cell r="O84">
            <v>500012581</v>
          </cell>
          <cell r="P84">
            <v>500012681</v>
          </cell>
          <cell r="Q84">
            <v>11.725279318414811</v>
          </cell>
          <cell r="R84">
            <v>10.478642249707667</v>
          </cell>
          <cell r="S84">
            <v>4.9440996728708777</v>
          </cell>
          <cell r="T84">
            <v>4.9440996728708777</v>
          </cell>
          <cell r="U84">
            <v>11.725279318414811</v>
          </cell>
          <cell r="V84">
            <v>10.478642249707667</v>
          </cell>
          <cell r="W84">
            <v>30</v>
          </cell>
          <cell r="X84">
            <v>35.220472440944881</v>
          </cell>
          <cell r="Y84">
            <v>78.518700787401585</v>
          </cell>
          <cell r="Z84">
            <v>35.220472440944881</v>
          </cell>
          <cell r="AA84">
            <v>78.518700787401585</v>
          </cell>
          <cell r="AB84">
            <v>35.220472440944881</v>
          </cell>
          <cell r="AC84">
            <v>78.518700787401585</v>
          </cell>
          <cell r="AD84">
            <v>78.518700787401585</v>
          </cell>
          <cell r="AE84">
            <v>77.547244094488192</v>
          </cell>
          <cell r="AF84">
            <v>35.547244094488192</v>
          </cell>
          <cell r="AG84">
            <v>39.846456692913392</v>
          </cell>
          <cell r="AH84" t="str">
            <v>Y</v>
          </cell>
          <cell r="AI84">
            <v>55.125</v>
          </cell>
          <cell r="AJ84">
            <v>25</v>
          </cell>
          <cell r="AK84" t="str">
            <v>TBD</v>
          </cell>
          <cell r="AL84" t="str">
            <v>Y</v>
          </cell>
          <cell r="AM84">
            <v>200018407</v>
          </cell>
          <cell r="AN84">
            <v>200028407</v>
          </cell>
          <cell r="AO84">
            <v>200018307</v>
          </cell>
          <cell r="AP84">
            <v>200028307</v>
          </cell>
          <cell r="AQ84">
            <v>200018207</v>
          </cell>
          <cell r="AR84">
            <v>200028207</v>
          </cell>
          <cell r="AS84">
            <v>17.222222222222221</v>
          </cell>
          <cell r="AT84">
            <v>20.110973161651764</v>
          </cell>
          <cell r="AU84">
            <v>15.002886128524771</v>
          </cell>
          <cell r="AV84">
            <v>10.244439167746933</v>
          </cell>
          <cell r="AW84">
            <v>40746</v>
          </cell>
        </row>
        <row r="85">
          <cell r="C85" t="str">
            <v>Grape Solar - GS-P-EUG 275-280_S</v>
          </cell>
          <cell r="D85" t="str">
            <v>Standard Claw</v>
          </cell>
          <cell r="E85">
            <v>5000005</v>
          </cell>
          <cell r="F85">
            <v>39.055118110236222</v>
          </cell>
          <cell r="G85">
            <v>77.00787401574803</v>
          </cell>
          <cell r="H85">
            <v>1.9685039370078741</v>
          </cell>
          <cell r="I85">
            <v>200010707</v>
          </cell>
          <cell r="J85">
            <v>200010807</v>
          </cell>
          <cell r="K85">
            <v>200013807</v>
          </cell>
          <cell r="L85">
            <v>200016307</v>
          </cell>
          <cell r="M85">
            <v>500012581</v>
          </cell>
          <cell r="N85">
            <v>500012681</v>
          </cell>
          <cell r="O85">
            <v>500012581</v>
          </cell>
          <cell r="P85">
            <v>500012681</v>
          </cell>
          <cell r="Q85">
            <v>11.698754267040043</v>
          </cell>
          <cell r="R85">
            <v>10.455004839041191</v>
          </cell>
          <cell r="S85">
            <v>4.9330437584696041</v>
          </cell>
          <cell r="T85">
            <v>4.9330437584696041</v>
          </cell>
          <cell r="U85">
            <v>11.698754267040043</v>
          </cell>
          <cell r="V85">
            <v>10.455004839041191</v>
          </cell>
          <cell r="W85">
            <v>30</v>
          </cell>
          <cell r="X85">
            <v>35.2992125984252</v>
          </cell>
          <cell r="Y85">
            <v>78.479330708661422</v>
          </cell>
          <cell r="Z85">
            <v>35.2992125984252</v>
          </cell>
          <cell r="AA85">
            <v>78.479330708661422</v>
          </cell>
          <cell r="AB85">
            <v>35.2992125984252</v>
          </cell>
          <cell r="AC85">
            <v>78.479330708661422</v>
          </cell>
          <cell r="AD85">
            <v>78.479330708661422</v>
          </cell>
          <cell r="AE85">
            <v>77.507874015748044</v>
          </cell>
          <cell r="AF85">
            <v>35.507874015748037</v>
          </cell>
          <cell r="AG85">
            <v>39.925196850393704</v>
          </cell>
          <cell r="AH85" t="str">
            <v>N</v>
          </cell>
          <cell r="AI85">
            <v>51.155999999999999</v>
          </cell>
          <cell r="AJ85">
            <v>23.2</v>
          </cell>
          <cell r="AK85" t="str">
            <v>TBD</v>
          </cell>
          <cell r="AL85" t="str">
            <v>Y</v>
          </cell>
          <cell r="AM85">
            <v>200018407</v>
          </cell>
          <cell r="AN85">
            <v>200028407</v>
          </cell>
          <cell r="AO85">
            <v>200018307</v>
          </cell>
          <cell r="AP85">
            <v>200028307</v>
          </cell>
          <cell r="AQ85">
            <v>200018207</v>
          </cell>
          <cell r="AR85">
            <v>200028207</v>
          </cell>
          <cell r="AS85">
            <v>17.222222222222221</v>
          </cell>
          <cell r="AT85">
            <v>20.069602586497279</v>
          </cell>
          <cell r="AU85">
            <v>14.97260437224279</v>
          </cell>
          <cell r="AV85">
            <v>10.224017732239455</v>
          </cell>
          <cell r="AW85">
            <v>40746</v>
          </cell>
        </row>
        <row r="86">
          <cell r="C86" t="str">
            <v>Grape Solar - GS-P-285-Fab1_S</v>
          </cell>
          <cell r="D86" t="str">
            <v>Standard Claw</v>
          </cell>
          <cell r="E86">
            <v>5000005</v>
          </cell>
          <cell r="F86">
            <v>39.370078740157481</v>
          </cell>
          <cell r="G86">
            <v>77.480314960629926</v>
          </cell>
          <cell r="H86">
            <v>1.5748031496062993</v>
          </cell>
          <cell r="I86">
            <v>200010707</v>
          </cell>
          <cell r="J86">
            <v>200010807</v>
          </cell>
          <cell r="K86">
            <v>200013807</v>
          </cell>
          <cell r="L86">
            <v>200016307</v>
          </cell>
          <cell r="M86">
            <v>500012581</v>
          </cell>
          <cell r="N86">
            <v>500012681</v>
          </cell>
          <cell r="O86">
            <v>500012581</v>
          </cell>
          <cell r="P86">
            <v>500012681</v>
          </cell>
          <cell r="Q86">
            <v>11.593851817515533</v>
          </cell>
          <cell r="R86">
            <v>10.361517999726759</v>
          </cell>
          <cell r="S86">
            <v>4.8893107769288457</v>
          </cell>
          <cell r="T86">
            <v>4.8893107769288457</v>
          </cell>
          <cell r="U86">
            <v>11.593851817515533</v>
          </cell>
          <cell r="V86">
            <v>10.361517999726759</v>
          </cell>
          <cell r="W86">
            <v>30</v>
          </cell>
          <cell r="X86">
            <v>35.614173228346459</v>
          </cell>
          <cell r="Y86">
            <v>78.951771653543318</v>
          </cell>
          <cell r="Z86">
            <v>35.614173228346459</v>
          </cell>
          <cell r="AA86">
            <v>78.951771653543318</v>
          </cell>
          <cell r="AB86">
            <v>35.614173228346459</v>
          </cell>
          <cell r="AC86">
            <v>78.951771653543318</v>
          </cell>
          <cell r="AD86">
            <v>78.951771653543318</v>
          </cell>
          <cell r="AE86">
            <v>77.980314960629926</v>
          </cell>
          <cell r="AF86">
            <v>35.980314960629926</v>
          </cell>
          <cell r="AG86">
            <v>40.240157480314963</v>
          </cell>
          <cell r="AH86" t="str">
            <v>N</v>
          </cell>
          <cell r="AI86">
            <v>51.155999999999999</v>
          </cell>
          <cell r="AJ86">
            <v>23.2</v>
          </cell>
          <cell r="AK86" t="str">
            <v>TBD</v>
          </cell>
          <cell r="AL86" t="str">
            <v>Y</v>
          </cell>
          <cell r="AM86">
            <v>200018407</v>
          </cell>
          <cell r="AN86">
            <v>200028407</v>
          </cell>
          <cell r="AO86">
            <v>200018307</v>
          </cell>
          <cell r="AP86">
            <v>200028307</v>
          </cell>
          <cell r="AQ86">
            <v>200018207</v>
          </cell>
          <cell r="AR86">
            <v>200028207</v>
          </cell>
          <cell r="AS86">
            <v>17.222222222222221</v>
          </cell>
          <cell r="AT86">
            <v>19.905846229389603</v>
          </cell>
          <cell r="AU86">
            <v>14.852704372847956</v>
          </cell>
          <cell r="AV86">
            <v>10.143144054640397</v>
          </cell>
          <cell r="AW86">
            <v>40746</v>
          </cell>
        </row>
        <row r="87">
          <cell r="C87" t="str">
            <v>Hanwha SolarOne - SF220-30-P 200-255 L_S</v>
          </cell>
          <cell r="D87" t="str">
            <v>Standard Claw</v>
          </cell>
          <cell r="E87">
            <v>5000005</v>
          </cell>
          <cell r="F87">
            <v>39.370078740157481</v>
          </cell>
          <cell r="G87">
            <v>65.039370078740163</v>
          </cell>
          <cell r="H87">
            <v>1.9685039370078741</v>
          </cell>
          <cell r="I87">
            <v>200010704</v>
          </cell>
          <cell r="J87">
            <v>200010804</v>
          </cell>
          <cell r="K87">
            <v>200013804</v>
          </cell>
          <cell r="L87">
            <v>200016304</v>
          </cell>
          <cell r="M87">
            <v>500012568</v>
          </cell>
          <cell r="N87">
            <v>500012668</v>
          </cell>
          <cell r="O87">
            <v>500012569</v>
          </cell>
          <cell r="P87">
            <v>500012669</v>
          </cell>
          <cell r="Q87">
            <v>11.725279318414811</v>
          </cell>
          <cell r="R87">
            <v>10.478642249707667</v>
          </cell>
          <cell r="S87">
            <v>4.9440996728708777</v>
          </cell>
          <cell r="T87">
            <v>4.9440996728708777</v>
          </cell>
          <cell r="U87">
            <v>11.725279318414811</v>
          </cell>
          <cell r="V87">
            <v>10.478642249707667</v>
          </cell>
          <cell r="W87">
            <v>50</v>
          </cell>
          <cell r="X87">
            <v>35.220472440944881</v>
          </cell>
          <cell r="Y87">
            <v>66.11712598425197</v>
          </cell>
          <cell r="Z87">
            <v>35.220472440944881</v>
          </cell>
          <cell r="AA87">
            <v>66.11712598425197</v>
          </cell>
          <cell r="AB87">
            <v>35.220472440944881</v>
          </cell>
          <cell r="AC87">
            <v>66.11712598425197</v>
          </cell>
          <cell r="AD87">
            <v>66.11712598425197</v>
          </cell>
          <cell r="AE87">
            <v>65.539370078740163</v>
          </cell>
          <cell r="AF87">
            <v>23.539370078740163</v>
          </cell>
          <cell r="AG87">
            <v>39.846456692913392</v>
          </cell>
          <cell r="AH87" t="str">
            <v>Y</v>
          </cell>
          <cell r="AI87">
            <v>48.510000000000005</v>
          </cell>
          <cell r="AJ87">
            <v>22</v>
          </cell>
          <cell r="AK87" t="str">
            <v>TBD</v>
          </cell>
          <cell r="AL87" t="str">
            <v>Y</v>
          </cell>
          <cell r="AM87">
            <v>200018403</v>
          </cell>
          <cell r="AN87">
            <v>200028403</v>
          </cell>
          <cell r="AO87">
            <v>200018303</v>
          </cell>
          <cell r="AP87">
            <v>200028303</v>
          </cell>
          <cell r="AQ87">
            <v>200018203</v>
          </cell>
          <cell r="AR87">
            <v>200028203</v>
          </cell>
          <cell r="AS87">
            <v>14.555555555555557</v>
          </cell>
          <cell r="AT87">
            <v>20.110973161651764</v>
          </cell>
          <cell r="AU87">
            <v>15.002886128524771</v>
          </cell>
          <cell r="AV87">
            <v>10.244439167746933</v>
          </cell>
          <cell r="AW87">
            <v>41277</v>
          </cell>
        </row>
        <row r="88">
          <cell r="C88" t="str">
            <v>Hanwha SolarOne - SF260-36-P 270-295 L_S</v>
          </cell>
          <cell r="D88" t="str">
            <v>Standard Claw</v>
          </cell>
          <cell r="E88">
            <v>5000005</v>
          </cell>
          <cell r="F88">
            <v>39.370078740157481</v>
          </cell>
          <cell r="G88">
            <v>77.401574803149614</v>
          </cell>
          <cell r="H88">
            <v>1.9685039370078741</v>
          </cell>
          <cell r="I88">
            <v>200010707</v>
          </cell>
          <cell r="J88">
            <v>200010807</v>
          </cell>
          <cell r="K88">
            <v>200013807</v>
          </cell>
          <cell r="L88">
            <v>200016307</v>
          </cell>
          <cell r="M88">
            <v>500012581</v>
          </cell>
          <cell r="N88">
            <v>500012681</v>
          </cell>
          <cell r="O88">
            <v>500012581</v>
          </cell>
          <cell r="P88">
            <v>500012681</v>
          </cell>
          <cell r="Q88">
            <v>11.725279318414811</v>
          </cell>
          <cell r="R88">
            <v>10.478642249707667</v>
          </cell>
          <cell r="S88">
            <v>4.9440996728708777</v>
          </cell>
          <cell r="T88">
            <v>4.9440996728708777</v>
          </cell>
          <cell r="U88">
            <v>11.725279318414811</v>
          </cell>
          <cell r="V88">
            <v>10.478642249707667</v>
          </cell>
          <cell r="W88">
            <v>30</v>
          </cell>
          <cell r="X88">
            <v>35.220472440944881</v>
          </cell>
          <cell r="Y88">
            <v>78.479330708661422</v>
          </cell>
          <cell r="Z88">
            <v>35.220472440944881</v>
          </cell>
          <cell r="AA88">
            <v>78.479330708661422</v>
          </cell>
          <cell r="AB88">
            <v>35.220472440944881</v>
          </cell>
          <cell r="AC88">
            <v>78.479330708661422</v>
          </cell>
          <cell r="AD88">
            <v>78.479330708661422</v>
          </cell>
          <cell r="AE88">
            <v>77.901574803149614</v>
          </cell>
          <cell r="AF88">
            <v>35.901574803149614</v>
          </cell>
          <cell r="AG88">
            <v>39.846456692913392</v>
          </cell>
          <cell r="AH88" t="str">
            <v>Y</v>
          </cell>
          <cell r="AI88">
            <v>57.33</v>
          </cell>
          <cell r="AJ88">
            <v>26</v>
          </cell>
          <cell r="AK88" t="str">
            <v>TBD</v>
          </cell>
          <cell r="AL88" t="str">
            <v>Y</v>
          </cell>
          <cell r="AM88">
            <v>200018407</v>
          </cell>
          <cell r="AN88">
            <v>200028407</v>
          </cell>
          <cell r="AO88">
            <v>200018307</v>
          </cell>
          <cell r="AP88">
            <v>200028307</v>
          </cell>
          <cell r="AQ88">
            <v>200018207</v>
          </cell>
          <cell r="AR88">
            <v>200028207</v>
          </cell>
          <cell r="AS88">
            <v>17.222222222222221</v>
          </cell>
          <cell r="AT88">
            <v>20.110973161651764</v>
          </cell>
          <cell r="AU88">
            <v>15.002886128524771</v>
          </cell>
          <cell r="AV88">
            <v>10.244439167746933</v>
          </cell>
          <cell r="AW88">
            <v>41317</v>
          </cell>
        </row>
        <row r="89">
          <cell r="C89" t="str">
            <v>Helios Solar Works - 6T Series 240-255_S</v>
          </cell>
          <cell r="D89" t="str">
            <v>Standard Claw</v>
          </cell>
          <cell r="E89">
            <v>5000005</v>
          </cell>
          <cell r="F89">
            <v>38.976377952755911</v>
          </cell>
          <cell r="G89">
            <v>66.141732283464577</v>
          </cell>
          <cell r="H89">
            <v>1.5748031496062993</v>
          </cell>
          <cell r="I89">
            <v>200010705</v>
          </cell>
          <cell r="J89">
            <v>200010805</v>
          </cell>
          <cell r="K89">
            <v>200013805</v>
          </cell>
          <cell r="L89">
            <v>200016305</v>
          </cell>
          <cell r="M89">
            <v>500012570</v>
          </cell>
          <cell r="N89">
            <v>500012670</v>
          </cell>
          <cell r="O89">
            <v>500012571</v>
          </cell>
          <cell r="P89">
            <v>500012671</v>
          </cell>
          <cell r="Q89">
            <v>11.593851817515533</v>
          </cell>
          <cell r="R89">
            <v>10.361517999726759</v>
          </cell>
          <cell r="S89">
            <v>4.8893107769288457</v>
          </cell>
          <cell r="T89">
            <v>4.8893107769288457</v>
          </cell>
          <cell r="U89">
            <v>11.593851817515533</v>
          </cell>
          <cell r="V89">
            <v>10.361517999726759</v>
          </cell>
          <cell r="W89">
            <v>50</v>
          </cell>
          <cell r="X89">
            <v>35.614173228346459</v>
          </cell>
          <cell r="Y89">
            <v>68.006889763779526</v>
          </cell>
          <cell r="Z89">
            <v>35.614173228346459</v>
          </cell>
          <cell r="AA89">
            <v>68.006889763779526</v>
          </cell>
          <cell r="AB89">
            <v>35.614173228346459</v>
          </cell>
          <cell r="AC89">
            <v>68.006889763779526</v>
          </cell>
          <cell r="AD89">
            <v>68.006889763779526</v>
          </cell>
          <cell r="AE89">
            <v>66.641732283464577</v>
          </cell>
          <cell r="AF89">
            <v>24.64173228346457</v>
          </cell>
          <cell r="AG89">
            <v>40.240157480314963</v>
          </cell>
          <cell r="AH89" t="str">
            <v>Y</v>
          </cell>
          <cell r="AI89">
            <v>52.92</v>
          </cell>
          <cell r="AJ89">
            <v>24</v>
          </cell>
          <cell r="AK89" t="str">
            <v>TBD</v>
          </cell>
          <cell r="AL89" t="str">
            <v>Y</v>
          </cell>
          <cell r="AM89">
            <v>200018403</v>
          </cell>
          <cell r="AN89">
            <v>200028403</v>
          </cell>
          <cell r="AO89">
            <v>200018303</v>
          </cell>
          <cell r="AP89">
            <v>200028303</v>
          </cell>
          <cell r="AQ89">
            <v>200018203</v>
          </cell>
          <cell r="AR89">
            <v>200028203</v>
          </cell>
          <cell r="AS89">
            <v>14.555555555555557</v>
          </cell>
          <cell r="AT89">
            <v>19.905846229389603</v>
          </cell>
          <cell r="AU89">
            <v>14.852704372847956</v>
          </cell>
          <cell r="AV89">
            <v>10.143144054640397</v>
          </cell>
          <cell r="AW89">
            <v>40862</v>
          </cell>
        </row>
        <row r="90">
          <cell r="C90" t="str">
            <v>Helios Solar Works - 7T2 Series 280-305_S</v>
          </cell>
          <cell r="D90" t="str">
            <v>Standard Claw</v>
          </cell>
          <cell r="E90">
            <v>5000005</v>
          </cell>
          <cell r="F90">
            <v>38.740157480314963</v>
          </cell>
          <cell r="G90">
            <v>78.110236220472444</v>
          </cell>
          <cell r="H90">
            <v>1.5748031496062993</v>
          </cell>
          <cell r="I90">
            <v>200010708</v>
          </cell>
          <cell r="J90">
            <v>200010808</v>
          </cell>
          <cell r="K90">
            <v>200013808</v>
          </cell>
          <cell r="L90">
            <v>200016308</v>
          </cell>
          <cell r="M90">
            <v>500012582</v>
          </cell>
          <cell r="N90">
            <v>500012682</v>
          </cell>
          <cell r="O90">
            <v>500012582</v>
          </cell>
          <cell r="P90">
            <v>500012682</v>
          </cell>
          <cell r="Q90">
            <v>11.672349814003409</v>
          </cell>
          <cell r="R90">
            <v>10.431474434518069</v>
          </cell>
          <cell r="S90">
            <v>4.9220372409246478</v>
          </cell>
          <cell r="T90">
            <v>4.9220372409246478</v>
          </cell>
          <cell r="U90">
            <v>11.672349814003409</v>
          </cell>
          <cell r="V90">
            <v>10.431474434518069</v>
          </cell>
          <cell r="W90">
            <v>30</v>
          </cell>
          <cell r="X90">
            <v>35.377952755905511</v>
          </cell>
          <cell r="Y90">
            <v>79.975393700787407</v>
          </cell>
          <cell r="Z90">
            <v>35.377952755905511</v>
          </cell>
          <cell r="AA90">
            <v>79.975393700787407</v>
          </cell>
          <cell r="AB90">
            <v>35.377952755905511</v>
          </cell>
          <cell r="AC90">
            <v>79.975393700787407</v>
          </cell>
          <cell r="AD90">
            <v>79.975393700787407</v>
          </cell>
          <cell r="AE90">
            <v>78.610236220472444</v>
          </cell>
          <cell r="AF90">
            <v>36.610236220472444</v>
          </cell>
          <cell r="AG90">
            <v>40.003937007874022</v>
          </cell>
          <cell r="AH90" t="str">
            <v>Y</v>
          </cell>
          <cell r="AI90">
            <v>57.33</v>
          </cell>
          <cell r="AJ90">
            <v>26</v>
          </cell>
          <cell r="AK90" t="str">
            <v>TBD</v>
          </cell>
          <cell r="AL90" t="str">
            <v>Y</v>
          </cell>
          <cell r="AM90">
            <v>200018407</v>
          </cell>
          <cell r="AN90">
            <v>200028407</v>
          </cell>
          <cell r="AO90">
            <v>200018307</v>
          </cell>
          <cell r="AP90">
            <v>200028307</v>
          </cell>
          <cell r="AQ90">
            <v>200018207</v>
          </cell>
          <cell r="AR90">
            <v>200028207</v>
          </cell>
          <cell r="AS90">
            <v>17.222222222222221</v>
          </cell>
          <cell r="AT90">
            <v>20.028405717951866</v>
          </cell>
          <cell r="AU90">
            <v>14.942446078078534</v>
          </cell>
          <cell r="AV90">
            <v>10.203677993133164</v>
          </cell>
          <cell r="AW90">
            <v>40862</v>
          </cell>
        </row>
        <row r="91">
          <cell r="C91" t="str">
            <v>Helios Solar Works - 9T6 Series 390-420_S</v>
          </cell>
          <cell r="D91" t="str">
            <v>Standard Claw</v>
          </cell>
          <cell r="E91">
            <v>5000005</v>
          </cell>
          <cell r="F91">
            <v>51.574803149606304</v>
          </cell>
          <cell r="G91">
            <v>77.795275590551185</v>
          </cell>
          <cell r="H91">
            <v>1.5748031496062993</v>
          </cell>
          <cell r="I91">
            <v>200010708</v>
          </cell>
          <cell r="J91">
            <v>200010808</v>
          </cell>
          <cell r="K91">
            <v>200013808</v>
          </cell>
          <cell r="L91">
            <v>200016308</v>
          </cell>
          <cell r="M91">
            <v>500012582</v>
          </cell>
          <cell r="N91">
            <v>500012682</v>
          </cell>
          <cell r="O91">
            <v>500012582</v>
          </cell>
          <cell r="P91">
            <v>500012682</v>
          </cell>
          <cell r="Q91">
            <v>8.5374971094053489</v>
          </cell>
          <cell r="R91">
            <v>7.6348754019361866</v>
          </cell>
          <cell r="S91">
            <v>3.6096915127079598</v>
          </cell>
          <cell r="T91">
            <v>3.6096915127079598</v>
          </cell>
          <cell r="U91">
            <v>8.5374971094053489</v>
          </cell>
          <cell r="V91">
            <v>7.6348754019361866</v>
          </cell>
          <cell r="W91">
            <v>30</v>
          </cell>
          <cell r="X91">
            <v>48.212598425196852</v>
          </cell>
          <cell r="Y91">
            <v>79.660433070866148</v>
          </cell>
          <cell r="Z91">
            <v>48.212598425196852</v>
          </cell>
          <cell r="AA91">
            <v>79.660433070866148</v>
          </cell>
          <cell r="AB91">
            <v>48.212598425196852</v>
          </cell>
          <cell r="AC91">
            <v>79.660433070866148</v>
          </cell>
          <cell r="AD91">
            <v>79.660433070866148</v>
          </cell>
          <cell r="AE91">
            <v>78.295275590551185</v>
          </cell>
          <cell r="AF91">
            <v>36.295275590551185</v>
          </cell>
          <cell r="AG91">
            <v>52.838582677165356</v>
          </cell>
          <cell r="AH91" t="str">
            <v>N</v>
          </cell>
          <cell r="AI91">
            <v>76.425299999999993</v>
          </cell>
          <cell r="AJ91">
            <v>34.659999999999997</v>
          </cell>
          <cell r="AK91" t="str">
            <v>TBD</v>
          </cell>
          <cell r="AL91" t="str">
            <v>Y</v>
          </cell>
          <cell r="AM91">
            <v>200018407</v>
          </cell>
          <cell r="AN91">
            <v>200028407</v>
          </cell>
          <cell r="AO91">
            <v>200018307</v>
          </cell>
          <cell r="AP91">
            <v>200028307</v>
          </cell>
          <cell r="AQ91">
            <v>200018207</v>
          </cell>
          <cell r="AR91">
            <v>200028207</v>
          </cell>
          <cell r="AS91">
            <v>17.222222222222221</v>
          </cell>
          <cell r="AT91">
            <v>15.02824203938145</v>
          </cell>
          <cell r="AU91">
            <v>11.257368379765095</v>
          </cell>
          <cell r="AV91">
            <v>7.7076312092971628</v>
          </cell>
          <cell r="AW91">
            <v>40955</v>
          </cell>
        </row>
        <row r="92">
          <cell r="C92" t="str">
            <v>Hyundai - HiS-MSF 194-212 - HiS-SSF 197-215_S</v>
          </cell>
          <cell r="D92" t="str">
            <v>Standard Claw</v>
          </cell>
          <cell r="E92">
            <v>5000005</v>
          </cell>
          <cell r="F92">
            <v>38.700787401574807</v>
          </cell>
          <cell r="G92">
            <v>58.110236220472444</v>
          </cell>
          <cell r="H92">
            <v>1.3779527559055118</v>
          </cell>
          <cell r="I92">
            <v>200010703</v>
          </cell>
          <cell r="J92">
            <v>200010803</v>
          </cell>
          <cell r="K92">
            <v>200013803</v>
          </cell>
          <cell r="L92">
            <v>200016303</v>
          </cell>
          <cell r="M92">
            <v>500012562</v>
          </cell>
          <cell r="N92">
            <v>500012662</v>
          </cell>
          <cell r="O92">
            <v>500012563</v>
          </cell>
          <cell r="P92">
            <v>500012663</v>
          </cell>
          <cell r="Q92">
            <v>11.685537017566332</v>
          </cell>
          <cell r="R92">
            <v>10.443226306738659</v>
          </cell>
          <cell r="S92">
            <v>4.9275343458296801</v>
          </cell>
          <cell r="T92">
            <v>4.9275343458296801</v>
          </cell>
          <cell r="U92">
            <v>11.685537017566332</v>
          </cell>
          <cell r="V92">
            <v>10.443226306738659</v>
          </cell>
          <cell r="W92">
            <v>40</v>
          </cell>
          <cell r="X92">
            <v>35.338582677165356</v>
          </cell>
          <cell r="Y92">
            <v>59.975393700787407</v>
          </cell>
          <cell r="Z92">
            <v>35.338582677165356</v>
          </cell>
          <cell r="AA92">
            <v>59.975393700787407</v>
          </cell>
          <cell r="AB92">
            <v>35.338582677165356</v>
          </cell>
          <cell r="AC92">
            <v>59.975393700787407</v>
          </cell>
          <cell r="AD92">
            <v>59.975393700787407</v>
          </cell>
          <cell r="AE92">
            <v>58.610236220472444</v>
          </cell>
          <cell r="AF92">
            <v>16.610236220472444</v>
          </cell>
          <cell r="AG92">
            <v>39.964566929133859</v>
          </cell>
          <cell r="AH92" t="str">
            <v>Y</v>
          </cell>
          <cell r="AI92">
            <v>37.484999999999999</v>
          </cell>
          <cell r="AJ92">
            <v>17</v>
          </cell>
          <cell r="AK92" t="str">
            <v>TBD</v>
          </cell>
          <cell r="AL92" t="str">
            <v>Y</v>
          </cell>
          <cell r="AM92">
            <v>200018401</v>
          </cell>
          <cell r="AN92">
            <v>200028401</v>
          </cell>
          <cell r="AO92">
            <v>200018301</v>
          </cell>
          <cell r="AP92">
            <v>200028301</v>
          </cell>
          <cell r="AQ92">
            <v>200018201</v>
          </cell>
          <cell r="AR92">
            <v>200028201</v>
          </cell>
          <cell r="AS92">
            <v>13.22222222222222</v>
          </cell>
          <cell r="AT92">
            <v>20.048982508950235</v>
          </cell>
          <cell r="AU92">
            <v>14.957509840214923</v>
          </cell>
          <cell r="AV92">
            <v>10.213837681475505</v>
          </cell>
          <cell r="AW92">
            <v>40746</v>
          </cell>
        </row>
        <row r="93">
          <cell r="C93" t="str">
            <v>Hyundai - HiS-MSG-SSG-MMG-SMG 218-250_S</v>
          </cell>
          <cell r="D93" t="str">
            <v>Standard Claw</v>
          </cell>
          <cell r="E93">
            <v>5000005</v>
          </cell>
          <cell r="F93">
            <v>38.700787401574807</v>
          </cell>
          <cell r="G93">
            <v>64.763779527559052</v>
          </cell>
          <cell r="H93">
            <v>1.3779527559055118</v>
          </cell>
          <cell r="I93">
            <v>200010704</v>
          </cell>
          <cell r="J93">
            <v>200010804</v>
          </cell>
          <cell r="K93">
            <v>200013804</v>
          </cell>
          <cell r="L93">
            <v>200016304</v>
          </cell>
          <cell r="M93">
            <v>500012569</v>
          </cell>
          <cell r="N93">
            <v>500012669</v>
          </cell>
          <cell r="O93">
            <v>500012569</v>
          </cell>
          <cell r="P93">
            <v>500012669</v>
          </cell>
          <cell r="Q93">
            <v>11.685537017566332</v>
          </cell>
          <cell r="R93">
            <v>10.443226306738659</v>
          </cell>
          <cell r="S93">
            <v>4.9275343458296801</v>
          </cell>
          <cell r="T93">
            <v>4.9275343458296801</v>
          </cell>
          <cell r="U93">
            <v>11.685537017566332</v>
          </cell>
          <cell r="V93">
            <v>10.443226306738659</v>
          </cell>
          <cell r="W93">
            <v>40</v>
          </cell>
          <cell r="X93">
            <v>35.338582677165356</v>
          </cell>
          <cell r="Y93">
            <v>66.628937007874015</v>
          </cell>
          <cell r="Z93">
            <v>35.338582677165356</v>
          </cell>
          <cell r="AA93">
            <v>66.628937007874015</v>
          </cell>
          <cell r="AB93">
            <v>35.338582677165356</v>
          </cell>
          <cell r="AC93">
            <v>66.628937007874015</v>
          </cell>
          <cell r="AD93">
            <v>66.628937007874015</v>
          </cell>
          <cell r="AE93">
            <v>65.263779527559066</v>
          </cell>
          <cell r="AF93">
            <v>23.263779527559059</v>
          </cell>
          <cell r="AG93">
            <v>39.964566929133859</v>
          </cell>
          <cell r="AH93" t="str">
            <v>Y</v>
          </cell>
          <cell r="AI93">
            <v>41.895000000000003</v>
          </cell>
          <cell r="AJ93">
            <v>19</v>
          </cell>
          <cell r="AK93" t="str">
            <v>TBD</v>
          </cell>
          <cell r="AL93" t="str">
            <v>Y</v>
          </cell>
          <cell r="AM93">
            <v>200018403</v>
          </cell>
          <cell r="AN93">
            <v>200028403</v>
          </cell>
          <cell r="AO93">
            <v>200018303</v>
          </cell>
          <cell r="AP93">
            <v>200028303</v>
          </cell>
          <cell r="AQ93">
            <v>200018203</v>
          </cell>
          <cell r="AR93">
            <v>200028203</v>
          </cell>
          <cell r="AS93">
            <v>14.555555555555557</v>
          </cell>
          <cell r="AT93">
            <v>20.048982508950235</v>
          </cell>
          <cell r="AU93">
            <v>14.957509840214923</v>
          </cell>
          <cell r="AV93">
            <v>10.213837681475505</v>
          </cell>
          <cell r="AW93">
            <v>40746</v>
          </cell>
        </row>
        <row r="94">
          <cell r="C94" t="str">
            <v>Hyundai - HiS-MMI-SMI 275-295_S</v>
          </cell>
          <cell r="D94" t="str">
            <v>Standard Claw</v>
          </cell>
          <cell r="E94">
            <v>5000005</v>
          </cell>
          <cell r="F94">
            <v>38.858267716535437</v>
          </cell>
          <cell r="G94">
            <v>77.362204724409452</v>
          </cell>
          <cell r="H94">
            <v>1.9685039370078741</v>
          </cell>
          <cell r="I94">
            <v>200010708</v>
          </cell>
          <cell r="J94">
            <v>200010808</v>
          </cell>
          <cell r="K94">
            <v>200013808</v>
          </cell>
          <cell r="L94">
            <v>200016308</v>
          </cell>
          <cell r="M94">
            <v>500012581</v>
          </cell>
          <cell r="N94">
            <v>500012681</v>
          </cell>
          <cell r="O94">
            <v>500012582</v>
          </cell>
          <cell r="P94">
            <v>500012682</v>
          </cell>
          <cell r="Q94">
            <v>11.63296745038237</v>
          </cell>
          <cell r="R94">
            <v>10.396377871112776</v>
          </cell>
          <cell r="S94">
            <v>4.9056193610673633</v>
          </cell>
          <cell r="T94">
            <v>4.9056193610673633</v>
          </cell>
          <cell r="U94">
            <v>11.63296745038237</v>
          </cell>
          <cell r="V94">
            <v>10.396377871112776</v>
          </cell>
          <cell r="W94">
            <v>40</v>
          </cell>
          <cell r="X94">
            <v>35.496062992125985</v>
          </cell>
          <cell r="Y94">
            <v>79.227362204724415</v>
          </cell>
          <cell r="Z94">
            <v>35.496062992125985</v>
          </cell>
          <cell r="AA94">
            <v>79.227362204724415</v>
          </cell>
          <cell r="AB94">
            <v>35.496062992125985</v>
          </cell>
          <cell r="AC94">
            <v>79.227362204724415</v>
          </cell>
          <cell r="AD94">
            <v>79.227362204724415</v>
          </cell>
          <cell r="AE94">
            <v>77.862204724409452</v>
          </cell>
          <cell r="AF94">
            <v>35.862204724409452</v>
          </cell>
          <cell r="AG94">
            <v>40.122047244094489</v>
          </cell>
          <cell r="AH94" t="str">
            <v>Y</v>
          </cell>
          <cell r="AI94">
            <v>55.125</v>
          </cell>
          <cell r="AJ94">
            <v>25</v>
          </cell>
          <cell r="AK94" t="str">
            <v>TBD</v>
          </cell>
          <cell r="AL94" t="str">
            <v>Y</v>
          </cell>
          <cell r="AM94">
            <v>200018407</v>
          </cell>
          <cell r="AN94">
            <v>200028407</v>
          </cell>
          <cell r="AO94">
            <v>200018307</v>
          </cell>
          <cell r="AP94">
            <v>200028307</v>
          </cell>
          <cell r="AQ94">
            <v>200018207</v>
          </cell>
          <cell r="AR94">
            <v>200028207</v>
          </cell>
          <cell r="AS94">
            <v>17.222222222222221</v>
          </cell>
          <cell r="AT94">
            <v>19.966933673962352</v>
          </cell>
          <cell r="AU94">
            <v>14.897438461609681</v>
          </cell>
          <cell r="AV94">
            <v>10.173320490201343</v>
          </cell>
          <cell r="AW94">
            <v>40995</v>
          </cell>
        </row>
        <row r="95">
          <cell r="C95" t="str">
            <v>Innotech Solar (ITS) - EcoPlus- EcoFocus 210-250_S</v>
          </cell>
          <cell r="D95" t="str">
            <v>Standard Claw</v>
          </cell>
          <cell r="E95">
            <v>5000005</v>
          </cell>
          <cell r="F95">
            <v>39.015748031496067</v>
          </cell>
          <cell r="G95">
            <v>65.551181102362207</v>
          </cell>
          <cell r="H95">
            <v>1.6929133858267718</v>
          </cell>
          <cell r="I95">
            <v>200010705</v>
          </cell>
          <cell r="J95">
            <v>200010805</v>
          </cell>
          <cell r="K95">
            <v>200013805</v>
          </cell>
          <cell r="L95">
            <v>200016305</v>
          </cell>
          <cell r="M95">
            <v>500012570</v>
          </cell>
          <cell r="N95">
            <v>500012670</v>
          </cell>
          <cell r="O95">
            <v>500012570</v>
          </cell>
          <cell r="P95">
            <v>500012670</v>
          </cell>
          <cell r="Q95">
            <v>11.478078290031977</v>
          </cell>
          <cell r="R95">
            <v>10.258334702145449</v>
          </cell>
          <cell r="S95">
            <v>4.8410299798522196</v>
          </cell>
          <cell r="T95">
            <v>4.8410299798522196</v>
          </cell>
          <cell r="U95">
            <v>11.478078290031977</v>
          </cell>
          <cell r="V95">
            <v>10.258334702145449</v>
          </cell>
          <cell r="W95">
            <v>50</v>
          </cell>
          <cell r="X95">
            <v>35.968503937007874</v>
          </cell>
          <cell r="Y95">
            <v>67.647834645669292</v>
          </cell>
          <cell r="Z95">
            <v>35.968503937007874</v>
          </cell>
          <cell r="AA95">
            <v>67.647834645669292</v>
          </cell>
          <cell r="AB95">
            <v>35.968503937007874</v>
          </cell>
          <cell r="AC95">
            <v>67.647834645669292</v>
          </cell>
          <cell r="AD95">
            <v>67.647834645669292</v>
          </cell>
          <cell r="AE95">
            <v>66.051181102362207</v>
          </cell>
          <cell r="AF95">
            <v>24.051181102362211</v>
          </cell>
          <cell r="AG95">
            <v>40.507874015748037</v>
          </cell>
          <cell r="AH95" t="str">
            <v>N</v>
          </cell>
          <cell r="AI95">
            <v>48.510000000000005</v>
          </cell>
          <cell r="AJ95">
            <v>22</v>
          </cell>
          <cell r="AK95" t="str">
            <v>TBD</v>
          </cell>
          <cell r="AL95" t="str">
            <v>Y</v>
          </cell>
          <cell r="AM95">
            <v>200018403</v>
          </cell>
          <cell r="AN95">
            <v>200028403</v>
          </cell>
          <cell r="AO95">
            <v>200018303</v>
          </cell>
          <cell r="AP95">
            <v>200028303</v>
          </cell>
          <cell r="AQ95">
            <v>200018203</v>
          </cell>
          <cell r="AR95">
            <v>200028203</v>
          </cell>
          <cell r="AS95">
            <v>14.555555555555557</v>
          </cell>
          <cell r="AT95">
            <v>19.768785928187786</v>
          </cell>
          <cell r="AU95">
            <v>14.752306570454085</v>
          </cell>
          <cell r="AV95">
            <v>10.075405967947155</v>
          </cell>
          <cell r="AW95">
            <v>41026</v>
          </cell>
        </row>
        <row r="96">
          <cell r="C96" t="str">
            <v>Innotech Solar (ITS) - EcoClassic- EcoUp- EcoCut 200-230_S</v>
          </cell>
          <cell r="D96" t="str">
            <v>Standard Claw</v>
          </cell>
          <cell r="E96">
            <v>5000005</v>
          </cell>
          <cell r="F96">
            <v>38.858267716535437</v>
          </cell>
          <cell r="G96">
            <v>65.236220472440948</v>
          </cell>
          <cell r="H96">
            <v>1.5748031496062993</v>
          </cell>
          <cell r="I96">
            <v>200010705</v>
          </cell>
          <cell r="J96">
            <v>200010805</v>
          </cell>
          <cell r="K96">
            <v>200013805</v>
          </cell>
          <cell r="L96">
            <v>200016305</v>
          </cell>
          <cell r="M96">
            <v>500012570</v>
          </cell>
          <cell r="N96">
            <v>500012670</v>
          </cell>
          <cell r="O96">
            <v>500012570</v>
          </cell>
          <cell r="P96">
            <v>500012670</v>
          </cell>
          <cell r="Q96">
            <v>11.529244460694249</v>
          </cell>
          <cell r="R96">
            <v>10.303937693229198</v>
          </cell>
          <cell r="S96">
            <v>4.8623697312523513</v>
          </cell>
          <cell r="T96">
            <v>4.8623697312523513</v>
          </cell>
          <cell r="U96">
            <v>11.529244460694249</v>
          </cell>
          <cell r="V96">
            <v>10.303937693229198</v>
          </cell>
          <cell r="W96">
            <v>50</v>
          </cell>
          <cell r="X96">
            <v>35.811023622047244</v>
          </cell>
          <cell r="Y96">
            <v>67.332874015748033</v>
          </cell>
          <cell r="Z96">
            <v>35.811023622047244</v>
          </cell>
          <cell r="AA96">
            <v>67.332874015748033</v>
          </cell>
          <cell r="AB96">
            <v>35.811023622047244</v>
          </cell>
          <cell r="AC96">
            <v>67.332874015748033</v>
          </cell>
          <cell r="AD96">
            <v>67.332874015748033</v>
          </cell>
          <cell r="AE96">
            <v>65.736220472440948</v>
          </cell>
          <cell r="AF96">
            <v>23.736220472440948</v>
          </cell>
          <cell r="AG96">
            <v>40.350393700787407</v>
          </cell>
          <cell r="AH96" t="str">
            <v>N</v>
          </cell>
          <cell r="AI96">
            <v>40.792500000000004</v>
          </cell>
          <cell r="AJ96">
            <v>18.5</v>
          </cell>
          <cell r="AK96" t="str">
            <v>TBD</v>
          </cell>
          <cell r="AL96" t="str">
            <v>Y</v>
          </cell>
          <cell r="AM96">
            <v>200018403</v>
          </cell>
          <cell r="AN96">
            <v>200028403</v>
          </cell>
          <cell r="AO96">
            <v>200018303</v>
          </cell>
          <cell r="AP96">
            <v>200028303</v>
          </cell>
          <cell r="AQ96">
            <v>200018203</v>
          </cell>
          <cell r="AR96">
            <v>200028203</v>
          </cell>
          <cell r="AS96">
            <v>14.555555555555557</v>
          </cell>
          <cell r="AT96">
            <v>19.849175027736852</v>
          </cell>
          <cell r="AU96">
            <v>14.811197119599205</v>
          </cell>
          <cell r="AV96">
            <v>10.115141311657808</v>
          </cell>
          <cell r="AW96">
            <v>41026</v>
          </cell>
        </row>
        <row r="97">
          <cell r="C97" t="str">
            <v>JA Solar - JAP6 72 280-325_S</v>
          </cell>
          <cell r="D97" t="str">
            <v>Standard Claw</v>
          </cell>
          <cell r="E97">
            <v>5000005</v>
          </cell>
          <cell r="F97">
            <v>39.015748031496067</v>
          </cell>
          <cell r="G97">
            <v>77.00787401574803</v>
          </cell>
          <cell r="H97">
            <v>1.7716535433070868</v>
          </cell>
          <cell r="I97">
            <v>200010707</v>
          </cell>
          <cell r="J97">
            <v>200010807</v>
          </cell>
          <cell r="K97">
            <v>200013807</v>
          </cell>
          <cell r="L97">
            <v>200016307</v>
          </cell>
          <cell r="M97">
            <v>500012581</v>
          </cell>
          <cell r="N97">
            <v>500012681</v>
          </cell>
          <cell r="O97">
            <v>500012581</v>
          </cell>
          <cell r="P97">
            <v>500012681</v>
          </cell>
          <cell r="Q97">
            <v>11.712001665978303</v>
          </cell>
          <cell r="R97">
            <v>10.466810122774502</v>
          </cell>
          <cell r="S97">
            <v>4.9385655202770034</v>
          </cell>
          <cell r="T97">
            <v>4.9385655202770034</v>
          </cell>
          <cell r="U97">
            <v>11.712001665978303</v>
          </cell>
          <cell r="V97">
            <v>10.466810122774502</v>
          </cell>
          <cell r="W97">
            <v>30</v>
          </cell>
          <cell r="X97">
            <v>35.259842519685044</v>
          </cell>
          <cell r="Y97">
            <v>78.479330708661422</v>
          </cell>
          <cell r="Z97">
            <v>35.259842519685044</v>
          </cell>
          <cell r="AA97">
            <v>78.479330708661422</v>
          </cell>
          <cell r="AB97">
            <v>35.259842519685044</v>
          </cell>
          <cell r="AC97">
            <v>78.479330708661422</v>
          </cell>
          <cell r="AD97">
            <v>78.479330708661422</v>
          </cell>
          <cell r="AE97">
            <v>77.507874015748044</v>
          </cell>
          <cell r="AF97">
            <v>35.507874015748037</v>
          </cell>
          <cell r="AG97">
            <v>39.885826771653548</v>
          </cell>
          <cell r="AH97" t="str">
            <v>Y</v>
          </cell>
          <cell r="AI97">
            <v>49.612500000000004</v>
          </cell>
          <cell r="AJ97">
            <v>22.5</v>
          </cell>
          <cell r="AK97" t="str">
            <v>TBD</v>
          </cell>
          <cell r="AL97" t="str">
            <v>Y</v>
          </cell>
          <cell r="AM97">
            <v>200018407</v>
          </cell>
          <cell r="AN97">
            <v>200028407</v>
          </cell>
          <cell r="AO97">
            <v>200018307</v>
          </cell>
          <cell r="AP97">
            <v>200028307</v>
          </cell>
          <cell r="AQ97">
            <v>200018207</v>
          </cell>
          <cell r="AR97">
            <v>200028207</v>
          </cell>
          <cell r="AS97">
            <v>17.222222222222221</v>
          </cell>
          <cell r="AT97">
            <v>20.090266090541991</v>
          </cell>
          <cell r="AU97">
            <v>14.987729769699868</v>
          </cell>
          <cell r="AV97">
            <v>10.23421820704114</v>
          </cell>
          <cell r="AW97">
            <v>41192</v>
          </cell>
        </row>
        <row r="98">
          <cell r="C98" t="str">
            <v>JA Solar - JAP6 60 235-255_S</v>
          </cell>
          <cell r="D98" t="str">
            <v>Standard Claw</v>
          </cell>
          <cell r="E98">
            <v>5000005</v>
          </cell>
          <cell r="F98">
            <v>39.015748031496067</v>
          </cell>
          <cell r="G98">
            <v>64.960629921259851</v>
          </cell>
          <cell r="H98">
            <v>1.5748031496062993</v>
          </cell>
          <cell r="I98">
            <v>200010704</v>
          </cell>
          <cell r="J98">
            <v>200010804</v>
          </cell>
          <cell r="K98">
            <v>200013804</v>
          </cell>
          <cell r="L98">
            <v>200016304</v>
          </cell>
          <cell r="M98">
            <v>500012569</v>
          </cell>
          <cell r="N98">
            <v>500012669</v>
          </cell>
          <cell r="O98">
            <v>500012569</v>
          </cell>
          <cell r="P98">
            <v>500012669</v>
          </cell>
          <cell r="Q98">
            <v>11.580872075557229</v>
          </cell>
          <cell r="R98">
            <v>10.349950225110131</v>
          </cell>
          <cell r="S98">
            <v>4.8838986814969125</v>
          </cell>
          <cell r="T98">
            <v>4.8838986814969125</v>
          </cell>
          <cell r="U98">
            <v>11.580872075557229</v>
          </cell>
          <cell r="V98">
            <v>10.349950225110131</v>
          </cell>
          <cell r="W98">
            <v>40</v>
          </cell>
          <cell r="X98">
            <v>35.653543307086615</v>
          </cell>
          <cell r="Y98">
            <v>66.8257874015748</v>
          </cell>
          <cell r="Z98">
            <v>35.653543307086615</v>
          </cell>
          <cell r="AA98">
            <v>66.8257874015748</v>
          </cell>
          <cell r="AB98">
            <v>35.653543307086615</v>
          </cell>
          <cell r="AC98">
            <v>66.8257874015748</v>
          </cell>
          <cell r="AD98">
            <v>66.8257874015748</v>
          </cell>
          <cell r="AE98">
            <v>65.460629921259851</v>
          </cell>
          <cell r="AF98">
            <v>23.460629921259848</v>
          </cell>
          <cell r="AG98">
            <v>40.279527559055119</v>
          </cell>
          <cell r="AH98" t="str">
            <v>Y</v>
          </cell>
          <cell r="AI98">
            <v>40.792500000000004</v>
          </cell>
          <cell r="AJ98">
            <v>18.5</v>
          </cell>
          <cell r="AK98" t="str">
            <v>TBD</v>
          </cell>
          <cell r="AL98" t="str">
            <v>Y</v>
          </cell>
          <cell r="AM98">
            <v>200018403</v>
          </cell>
          <cell r="AN98">
            <v>200028403</v>
          </cell>
          <cell r="AO98">
            <v>200018303</v>
          </cell>
          <cell r="AP98">
            <v>200028303</v>
          </cell>
          <cell r="AQ98">
            <v>200018203</v>
          </cell>
          <cell r="AR98">
            <v>200028203</v>
          </cell>
          <cell r="AS98">
            <v>14.555555555555557</v>
          </cell>
          <cell r="AT98">
            <v>19.885568576882878</v>
          </cell>
          <cell r="AU98">
            <v>14.83785335812782</v>
          </cell>
          <cell r="AV98">
            <v>10.133125198752381</v>
          </cell>
          <cell r="AW98">
            <v>41192</v>
          </cell>
        </row>
        <row r="99">
          <cell r="C99" t="str">
            <v>JA Solar - JAM6 60 245-275_S</v>
          </cell>
          <cell r="D99" t="str">
            <v>Standard Claw</v>
          </cell>
          <cell r="E99">
            <v>5000005</v>
          </cell>
          <cell r="F99">
            <v>39.015748031496067</v>
          </cell>
          <cell r="G99">
            <v>64.960629921259851</v>
          </cell>
          <cell r="H99">
            <v>1.5748031496062993</v>
          </cell>
          <cell r="I99">
            <v>200010704</v>
          </cell>
          <cell r="J99">
            <v>200010804</v>
          </cell>
          <cell r="K99">
            <v>200013804</v>
          </cell>
          <cell r="L99">
            <v>200016304</v>
          </cell>
          <cell r="M99">
            <v>500012569</v>
          </cell>
          <cell r="N99">
            <v>500012669</v>
          </cell>
          <cell r="O99">
            <v>500012569</v>
          </cell>
          <cell r="P99">
            <v>500012669</v>
          </cell>
          <cell r="Q99">
            <v>11.580872075557229</v>
          </cell>
          <cell r="R99">
            <v>10.349950225110131</v>
          </cell>
          <cell r="S99">
            <v>4.8838986814969125</v>
          </cell>
          <cell r="T99">
            <v>4.8838986814969125</v>
          </cell>
          <cell r="U99">
            <v>11.580872075557229</v>
          </cell>
          <cell r="V99">
            <v>10.349950225110131</v>
          </cell>
          <cell r="W99">
            <v>40</v>
          </cell>
          <cell r="X99">
            <v>35.653543307086615</v>
          </cell>
          <cell r="Y99">
            <v>66.8257874015748</v>
          </cell>
          <cell r="Z99">
            <v>35.653543307086615</v>
          </cell>
          <cell r="AA99">
            <v>66.8257874015748</v>
          </cell>
          <cell r="AB99">
            <v>35.653543307086615</v>
          </cell>
          <cell r="AC99">
            <v>66.8257874015748</v>
          </cell>
          <cell r="AD99">
            <v>66.8257874015748</v>
          </cell>
          <cell r="AE99">
            <v>65.460629921259851</v>
          </cell>
          <cell r="AF99">
            <v>23.460629921259848</v>
          </cell>
          <cell r="AG99">
            <v>40.279527559055119</v>
          </cell>
          <cell r="AH99" t="str">
            <v>Y</v>
          </cell>
          <cell r="AI99">
            <v>40.792500000000004</v>
          </cell>
          <cell r="AJ99">
            <v>18.5</v>
          </cell>
          <cell r="AK99" t="str">
            <v>TBD</v>
          </cell>
          <cell r="AL99" t="str">
            <v>Y</v>
          </cell>
          <cell r="AM99">
            <v>200018403</v>
          </cell>
          <cell r="AN99">
            <v>200028403</v>
          </cell>
          <cell r="AO99">
            <v>200018303</v>
          </cell>
          <cell r="AP99">
            <v>200028303</v>
          </cell>
          <cell r="AQ99">
            <v>200018203</v>
          </cell>
          <cell r="AR99">
            <v>200028203</v>
          </cell>
          <cell r="AS99">
            <v>14.555555555555557</v>
          </cell>
          <cell r="AT99">
            <v>19.885568576882878</v>
          </cell>
          <cell r="AU99">
            <v>14.83785335812782</v>
          </cell>
          <cell r="AV99">
            <v>10.133125198752381</v>
          </cell>
          <cell r="AW99">
            <v>41192</v>
          </cell>
        </row>
        <row r="100">
          <cell r="C100" t="str">
            <v>JA Solar - JAM5L 72 190-215_S</v>
          </cell>
          <cell r="D100" t="str">
            <v>Standard Claw</v>
          </cell>
          <cell r="E100">
            <v>5000005</v>
          </cell>
          <cell r="F100">
            <v>31.811023622047244</v>
          </cell>
          <cell r="G100">
            <v>62.204724409448822</v>
          </cell>
          <cell r="H100">
            <v>1.5748031496062993</v>
          </cell>
          <cell r="I100">
            <v>200010704</v>
          </cell>
          <cell r="J100">
            <v>200010804</v>
          </cell>
          <cell r="K100">
            <v>200013804</v>
          </cell>
          <cell r="L100">
            <v>200016304</v>
          </cell>
          <cell r="M100">
            <v>500012566</v>
          </cell>
          <cell r="N100">
            <v>500012666</v>
          </cell>
          <cell r="O100">
            <v>500012567</v>
          </cell>
          <cell r="P100">
            <v>500012667</v>
          </cell>
          <cell r="Q100">
            <v>14.571707491264988</v>
          </cell>
          <cell r="R100">
            <v>13.012236782891378</v>
          </cell>
          <cell r="S100">
            <v>6.1250064477535702</v>
          </cell>
          <cell r="T100">
            <v>6.1250064477535702</v>
          </cell>
          <cell r="U100">
            <v>14.571707491264988</v>
          </cell>
          <cell r="V100">
            <v>13.012236782891378</v>
          </cell>
          <cell r="W100">
            <v>40</v>
          </cell>
          <cell r="X100">
            <v>28.448818897637796</v>
          </cell>
          <cell r="Y100">
            <v>64.069881889763778</v>
          </cell>
          <cell r="Z100">
            <v>28.448818897637796</v>
          </cell>
          <cell r="AA100">
            <v>64.069881889763778</v>
          </cell>
          <cell r="AB100">
            <v>28.448818897637796</v>
          </cell>
          <cell r="AC100">
            <v>64.069881889763778</v>
          </cell>
          <cell r="AD100">
            <v>64.069881889763778</v>
          </cell>
          <cell r="AE100">
            <v>62.704724409448822</v>
          </cell>
          <cell r="AF100">
            <v>20.704724409448822</v>
          </cell>
          <cell r="AG100">
            <v>33.074803149606304</v>
          </cell>
          <cell r="AH100" t="str">
            <v>Y</v>
          </cell>
          <cell r="AI100">
            <v>33.075000000000003</v>
          </cell>
          <cell r="AJ100">
            <v>15</v>
          </cell>
          <cell r="AK100" t="str">
            <v>TBD</v>
          </cell>
          <cell r="AL100" t="str">
            <v>Y</v>
          </cell>
          <cell r="AM100">
            <v>200018402</v>
          </cell>
          <cell r="AN100">
            <v>200028402</v>
          </cell>
          <cell r="AO100">
            <v>200018302</v>
          </cell>
          <cell r="AP100">
            <v>200028302</v>
          </cell>
          <cell r="AQ100">
            <v>200018202</v>
          </cell>
          <cell r="AR100">
            <v>200028202</v>
          </cell>
          <cell r="AS100">
            <v>13.888888888888888</v>
          </cell>
          <cell r="AT100">
            <v>24.471238183648364</v>
          </cell>
          <cell r="AU100">
            <v>18.171818938620692</v>
          </cell>
          <cell r="AV100">
            <v>12.372128912037903</v>
          </cell>
          <cell r="AW100">
            <v>41192</v>
          </cell>
        </row>
        <row r="101">
          <cell r="C101" t="str">
            <v>Jinko - JKM 235P-M-60_S</v>
          </cell>
          <cell r="D101" t="str">
            <v>Standard Claw</v>
          </cell>
          <cell r="E101">
            <v>5000005</v>
          </cell>
          <cell r="F101">
            <v>39.055118110236222</v>
          </cell>
          <cell r="G101">
            <v>64.960629921259851</v>
          </cell>
          <cell r="H101">
            <v>1.7716535433070868</v>
          </cell>
          <cell r="I101">
            <v>200010704</v>
          </cell>
          <cell r="J101">
            <v>200010804</v>
          </cell>
          <cell r="K101">
            <v>200013804</v>
          </cell>
          <cell r="L101">
            <v>200016304</v>
          </cell>
          <cell r="M101">
            <v>500012569</v>
          </cell>
          <cell r="N101">
            <v>500012669</v>
          </cell>
          <cell r="O101">
            <v>500012569</v>
          </cell>
          <cell r="P101">
            <v>500012669</v>
          </cell>
          <cell r="Q101">
            <v>11.698754267040043</v>
          </cell>
          <cell r="R101">
            <v>10.455004839041191</v>
          </cell>
          <cell r="S101">
            <v>4.9330437584696041</v>
          </cell>
          <cell r="T101">
            <v>4.9330437584696041</v>
          </cell>
          <cell r="U101">
            <v>11.698754267040043</v>
          </cell>
          <cell r="V101">
            <v>10.455004839041191</v>
          </cell>
          <cell r="W101">
            <v>50</v>
          </cell>
          <cell r="X101">
            <v>35.2992125984252</v>
          </cell>
          <cell r="Y101">
            <v>66.43208661417323</v>
          </cell>
          <cell r="Z101">
            <v>35.2992125984252</v>
          </cell>
          <cell r="AA101">
            <v>66.43208661417323</v>
          </cell>
          <cell r="AB101">
            <v>35.2992125984252</v>
          </cell>
          <cell r="AC101">
            <v>66.43208661417323</v>
          </cell>
          <cell r="AD101">
            <v>66.43208661417323</v>
          </cell>
          <cell r="AE101">
            <v>65.460629921259851</v>
          </cell>
          <cell r="AF101">
            <v>23.460629921259848</v>
          </cell>
          <cell r="AG101">
            <v>39.925196850393704</v>
          </cell>
          <cell r="AH101" t="str">
            <v>N</v>
          </cell>
          <cell r="AI101">
            <v>41.895000000000003</v>
          </cell>
          <cell r="AJ101">
            <v>19</v>
          </cell>
          <cell r="AK101" t="str">
            <v>TBD</v>
          </cell>
          <cell r="AL101" t="str">
            <v>Y</v>
          </cell>
          <cell r="AM101">
            <v>200018403</v>
          </cell>
          <cell r="AN101">
            <v>200028403</v>
          </cell>
          <cell r="AO101">
            <v>200018303</v>
          </cell>
          <cell r="AP101">
            <v>200028303</v>
          </cell>
          <cell r="AQ101">
            <v>200018203</v>
          </cell>
          <cell r="AR101">
            <v>200028203</v>
          </cell>
          <cell r="AS101">
            <v>14.555555555555557</v>
          </cell>
          <cell r="AT101">
            <v>20.069602586497279</v>
          </cell>
          <cell r="AU101">
            <v>14.97260437224279</v>
          </cell>
          <cell r="AV101">
            <v>10.224017732239455</v>
          </cell>
          <cell r="AW101">
            <v>40966</v>
          </cell>
        </row>
        <row r="102">
          <cell r="C102" t="str">
            <v>Jinko - JKM 290P-M-72_S</v>
          </cell>
          <cell r="D102" t="str">
            <v>Standard Claw</v>
          </cell>
          <cell r="E102">
            <v>5000005</v>
          </cell>
          <cell r="F102">
            <v>39.055118110236222</v>
          </cell>
          <cell r="G102">
            <v>77.00787401574803</v>
          </cell>
          <cell r="H102">
            <v>1.9685039370078741</v>
          </cell>
          <cell r="I102">
            <v>200010707</v>
          </cell>
          <cell r="J102">
            <v>200010807</v>
          </cell>
          <cell r="K102">
            <v>200013807</v>
          </cell>
          <cell r="L102">
            <v>200016307</v>
          </cell>
          <cell r="M102">
            <v>500012581</v>
          </cell>
          <cell r="N102">
            <v>500012681</v>
          </cell>
          <cell r="O102">
            <v>500012581</v>
          </cell>
          <cell r="P102">
            <v>500012681</v>
          </cell>
          <cell r="Q102">
            <v>11.698754267040043</v>
          </cell>
          <cell r="R102">
            <v>10.455004839041191</v>
          </cell>
          <cell r="S102">
            <v>4.9330437584696041</v>
          </cell>
          <cell r="T102">
            <v>4.9330437584696041</v>
          </cell>
          <cell r="U102">
            <v>11.698754267040043</v>
          </cell>
          <cell r="V102">
            <v>10.455004839041191</v>
          </cell>
          <cell r="W102">
            <v>50</v>
          </cell>
          <cell r="X102">
            <v>35.2992125984252</v>
          </cell>
          <cell r="Y102">
            <v>78.479330708661422</v>
          </cell>
          <cell r="Z102">
            <v>35.2992125984252</v>
          </cell>
          <cell r="AA102">
            <v>78.479330708661422</v>
          </cell>
          <cell r="AB102">
            <v>35.2992125984252</v>
          </cell>
          <cell r="AC102">
            <v>78.479330708661422</v>
          </cell>
          <cell r="AD102">
            <v>78.479330708661422</v>
          </cell>
          <cell r="AE102">
            <v>77.507874015748044</v>
          </cell>
          <cell r="AF102">
            <v>35.507874015748037</v>
          </cell>
          <cell r="AG102">
            <v>39.925196850393704</v>
          </cell>
          <cell r="AH102" t="str">
            <v>N</v>
          </cell>
          <cell r="AI102">
            <v>59.535000000000004</v>
          </cell>
          <cell r="AJ102">
            <v>27</v>
          </cell>
          <cell r="AK102" t="str">
            <v>TBD</v>
          </cell>
          <cell r="AL102" t="str">
            <v>Y</v>
          </cell>
          <cell r="AM102">
            <v>200018407</v>
          </cell>
          <cell r="AN102">
            <v>200028407</v>
          </cell>
          <cell r="AO102">
            <v>200018307</v>
          </cell>
          <cell r="AP102">
            <v>200028307</v>
          </cell>
          <cell r="AQ102">
            <v>200018207</v>
          </cell>
          <cell r="AR102">
            <v>200028207</v>
          </cell>
          <cell r="AS102">
            <v>17.222222222222221</v>
          </cell>
          <cell r="AT102">
            <v>20.069602586497279</v>
          </cell>
          <cell r="AU102">
            <v>14.97260437224279</v>
          </cell>
          <cell r="AV102">
            <v>10.224017732239455</v>
          </cell>
          <cell r="AW102">
            <v>40966</v>
          </cell>
        </row>
        <row r="103">
          <cell r="C103" t="str">
            <v>Jinko - JKM 220-270 M-96_S</v>
          </cell>
          <cell r="D103" t="str">
            <v>Standard Claw</v>
          </cell>
          <cell r="E103">
            <v>5000005</v>
          </cell>
          <cell r="F103">
            <v>42.598425196850393</v>
          </cell>
          <cell r="G103">
            <v>62.007874015748037</v>
          </cell>
          <cell r="H103">
            <v>1.7716535433070868</v>
          </cell>
          <cell r="I103">
            <v>200010704</v>
          </cell>
          <cell r="J103">
            <v>200010804</v>
          </cell>
          <cell r="K103">
            <v>200013804</v>
          </cell>
          <cell r="L103">
            <v>200016304</v>
          </cell>
          <cell r="M103">
            <v>500012566</v>
          </cell>
          <cell r="N103">
            <v>500012666</v>
          </cell>
          <cell r="O103">
            <v>500012566</v>
          </cell>
          <cell r="P103">
            <v>500012666</v>
          </cell>
          <cell r="Q103">
            <v>10.618528586472532</v>
          </cell>
          <cell r="R103">
            <v>9.49199409786738</v>
          </cell>
          <cell r="S103">
            <v>4.4820730498956358</v>
          </cell>
          <cell r="T103">
            <v>4.4820730498956358</v>
          </cell>
          <cell r="U103">
            <v>10.618528586472532</v>
          </cell>
          <cell r="V103">
            <v>9.49199409786738</v>
          </cell>
          <cell r="W103">
            <v>30</v>
          </cell>
          <cell r="X103">
            <v>38.84251968503937</v>
          </cell>
          <cell r="Y103">
            <v>63.479330708661422</v>
          </cell>
          <cell r="Z103">
            <v>38.84251968503937</v>
          </cell>
          <cell r="AA103">
            <v>63.479330708661422</v>
          </cell>
          <cell r="AB103">
            <v>38.84251968503937</v>
          </cell>
          <cell r="AC103">
            <v>63.479330708661422</v>
          </cell>
          <cell r="AD103">
            <v>63.479330708661422</v>
          </cell>
          <cell r="AE103">
            <v>62.507874015748037</v>
          </cell>
          <cell r="AF103">
            <v>20.507874015748037</v>
          </cell>
          <cell r="AG103">
            <v>43.468503937007874</v>
          </cell>
          <cell r="AH103" t="str">
            <v>N</v>
          </cell>
          <cell r="AI103">
            <v>41.895000000000003</v>
          </cell>
          <cell r="AJ103">
            <v>19</v>
          </cell>
          <cell r="AK103" t="str">
            <v>TBD</v>
          </cell>
          <cell r="AL103" t="str">
            <v>Y</v>
          </cell>
          <cell r="AM103">
            <v>200018402</v>
          </cell>
          <cell r="AN103">
            <v>200028402</v>
          </cell>
          <cell r="AO103">
            <v>200018302</v>
          </cell>
          <cell r="AP103">
            <v>200028302</v>
          </cell>
          <cell r="AQ103">
            <v>200018202</v>
          </cell>
          <cell r="AR103">
            <v>200028202</v>
          </cell>
          <cell r="AS103">
            <v>13.888888888888888</v>
          </cell>
          <cell r="AT103">
            <v>18.372214361238854</v>
          </cell>
          <cell r="AU103">
            <v>13.727082263910484</v>
          </cell>
          <cell r="AV103">
            <v>9.3827373929724605</v>
          </cell>
          <cell r="AW103">
            <v>40966</v>
          </cell>
        </row>
        <row r="104">
          <cell r="C104" t="str">
            <v>Kyocera - KD 225-245 GX-LPB_X</v>
          </cell>
          <cell r="D104" t="str">
            <v>Long Claw (Kyocera LPB)</v>
          </cell>
          <cell r="E104">
            <v>500003902</v>
          </cell>
          <cell r="F104">
            <v>38.976377952755911</v>
          </cell>
          <cell r="G104">
            <v>65.433070866141733</v>
          </cell>
          <cell r="H104">
            <v>1.8110236220472442</v>
          </cell>
          <cell r="I104">
            <v>200010704</v>
          </cell>
          <cell r="J104">
            <v>200010804</v>
          </cell>
          <cell r="K104">
            <v>200013804</v>
          </cell>
          <cell r="L104">
            <v>200016304</v>
          </cell>
          <cell r="M104">
            <v>500012568</v>
          </cell>
          <cell r="N104">
            <v>500012668</v>
          </cell>
          <cell r="O104">
            <v>500012569</v>
          </cell>
          <cell r="P104">
            <v>500012669</v>
          </cell>
          <cell r="Q104">
            <v>10.948638384786955</v>
          </cell>
          <cell r="R104">
            <v>9.7863612556795889</v>
          </cell>
          <cell r="S104">
            <v>4.620032713407368</v>
          </cell>
          <cell r="T104">
            <v>4.620032713407368</v>
          </cell>
          <cell r="U104">
            <v>10.948638384786955</v>
          </cell>
          <cell r="V104">
            <v>9.7863612556795889</v>
          </cell>
          <cell r="W104">
            <v>50</v>
          </cell>
          <cell r="X104">
            <v>37.685039370078741</v>
          </cell>
          <cell r="Y104">
            <v>66.187992125984252</v>
          </cell>
          <cell r="Z104">
            <v>37.685039370078741</v>
          </cell>
          <cell r="AA104">
            <v>66.187992125984252</v>
          </cell>
          <cell r="AB104">
            <v>37.685039370078741</v>
          </cell>
          <cell r="AC104">
            <v>66.187992125984252</v>
          </cell>
          <cell r="AD104">
            <v>66.187992125984252</v>
          </cell>
          <cell r="AE104">
            <v>65.933070866141733</v>
          </cell>
          <cell r="AF104">
            <v>23.933070866141737</v>
          </cell>
          <cell r="AG104">
            <v>40.862204724409452</v>
          </cell>
          <cell r="AH104" t="str">
            <v>Y</v>
          </cell>
          <cell r="AI104">
            <v>46.305</v>
          </cell>
          <cell r="AJ104">
            <v>21</v>
          </cell>
          <cell r="AK104" t="str">
            <v>TBD</v>
          </cell>
          <cell r="AL104" t="str">
            <v>Y</v>
          </cell>
          <cell r="AM104">
            <v>200018403</v>
          </cell>
          <cell r="AN104">
            <v>200028403</v>
          </cell>
          <cell r="AO104">
            <v>200018303</v>
          </cell>
          <cell r="AP104">
            <v>200028303</v>
          </cell>
          <cell r="AQ104">
            <v>200018203</v>
          </cell>
          <cell r="AR104">
            <v>200028203</v>
          </cell>
          <cell r="AS104">
            <v>14.555555555555557</v>
          </cell>
          <cell r="AT104">
            <v>19.59032067014968</v>
          </cell>
          <cell r="AU104">
            <v>14.621519405121935</v>
          </cell>
          <cell r="AV104">
            <v>9.9871387547568311</v>
          </cell>
          <cell r="AW104">
            <v>41318</v>
          </cell>
        </row>
        <row r="105">
          <cell r="C105" t="str">
            <v>Kyocera - KD 225-245 GX-LPB_L</v>
          </cell>
          <cell r="D105" t="str">
            <v>2nd Gen Long Claw (Kyocera LPB)</v>
          </cell>
          <cell r="E105">
            <v>500014402</v>
          </cell>
          <cell r="F105">
            <v>38.976377952755911</v>
          </cell>
          <cell r="G105">
            <v>65.433070866141733</v>
          </cell>
          <cell r="H105">
            <v>1.8110236220472442</v>
          </cell>
          <cell r="I105">
            <v>200010704</v>
          </cell>
          <cell r="J105">
            <v>200010804</v>
          </cell>
          <cell r="K105">
            <v>200013804</v>
          </cell>
          <cell r="L105">
            <v>200016304</v>
          </cell>
          <cell r="M105">
            <v>500012568</v>
          </cell>
          <cell r="N105">
            <v>500012668</v>
          </cell>
          <cell r="O105">
            <v>500012569</v>
          </cell>
          <cell r="P105">
            <v>500012669</v>
          </cell>
          <cell r="Q105">
            <v>10.210324757196451</v>
          </cell>
          <cell r="R105">
            <v>9.127898782246433</v>
          </cell>
          <cell r="S105">
            <v>4.3113065848517067</v>
          </cell>
          <cell r="T105">
            <v>4.3113065848517067</v>
          </cell>
          <cell r="U105">
            <v>10.210324757196451</v>
          </cell>
          <cell r="V105">
            <v>9.127898782246433</v>
          </cell>
          <cell r="W105">
            <v>50</v>
          </cell>
          <cell r="X105">
            <v>40.377952755905511</v>
          </cell>
          <cell r="Y105">
            <v>66.187992125984252</v>
          </cell>
          <cell r="Z105">
            <v>40.377952755905511</v>
          </cell>
          <cell r="AA105">
            <v>66.187992125984252</v>
          </cell>
          <cell r="AB105">
            <v>40.377952755905511</v>
          </cell>
          <cell r="AC105">
            <v>66.187992125984252</v>
          </cell>
          <cell r="AD105">
            <v>66.187992125984252</v>
          </cell>
          <cell r="AE105">
            <v>65.933070866141733</v>
          </cell>
          <cell r="AF105">
            <v>23.933070866141737</v>
          </cell>
          <cell r="AG105">
            <v>40.862204724409452</v>
          </cell>
          <cell r="AH105" t="str">
            <v>Y</v>
          </cell>
          <cell r="AI105">
            <v>46.305</v>
          </cell>
          <cell r="AJ105">
            <v>21</v>
          </cell>
          <cell r="AK105" t="str">
            <v>TBD</v>
          </cell>
          <cell r="AL105" t="str">
            <v>Y</v>
          </cell>
          <cell r="AM105">
            <v>200018403</v>
          </cell>
          <cell r="AN105">
            <v>200028403</v>
          </cell>
          <cell r="AO105">
            <v>200018303</v>
          </cell>
          <cell r="AP105">
            <v>200028303</v>
          </cell>
          <cell r="AQ105">
            <v>200018203</v>
          </cell>
          <cell r="AR105">
            <v>200028203</v>
          </cell>
          <cell r="AS105">
            <v>14.555555555555557</v>
          </cell>
          <cell r="AT105">
            <v>19.59032067014968</v>
          </cell>
          <cell r="AU105">
            <v>14.621519405121935</v>
          </cell>
          <cell r="AV105">
            <v>9.9871387547568311</v>
          </cell>
          <cell r="AW105">
            <v>41318</v>
          </cell>
        </row>
        <row r="106">
          <cell r="C106" t="str">
            <v>Kyocera - KD 205-220 GX-LPU_X</v>
          </cell>
          <cell r="D106" t="str">
            <v>Long Claw (Kyocera LPU)</v>
          </cell>
          <cell r="E106">
            <v>500003903</v>
          </cell>
          <cell r="F106">
            <v>38.976377952755911</v>
          </cell>
          <cell r="G106">
            <v>59.055118110236222</v>
          </cell>
          <cell r="H106">
            <v>1.8110236220472442</v>
          </cell>
          <cell r="I106">
            <v>200010703</v>
          </cell>
          <cell r="J106">
            <v>200010803</v>
          </cell>
          <cell r="K106">
            <v>200013803</v>
          </cell>
          <cell r="L106">
            <v>200016303</v>
          </cell>
          <cell r="M106">
            <v>500012562</v>
          </cell>
          <cell r="N106">
            <v>500012662</v>
          </cell>
          <cell r="O106">
            <v>500012563</v>
          </cell>
          <cell r="P106">
            <v>500012663</v>
          </cell>
          <cell r="Q106">
            <v>10.948638384786955</v>
          </cell>
          <cell r="R106">
            <v>9.7863612556795889</v>
          </cell>
          <cell r="S106">
            <v>4.620032713407368</v>
          </cell>
          <cell r="T106">
            <v>4.620032713407368</v>
          </cell>
          <cell r="U106">
            <v>10.948638384786955</v>
          </cell>
          <cell r="V106">
            <v>9.7863612556795889</v>
          </cell>
          <cell r="W106">
            <v>50</v>
          </cell>
          <cell r="X106">
            <v>37.685039370078741</v>
          </cell>
          <cell r="Y106">
            <v>59.810039370078741</v>
          </cell>
          <cell r="Z106">
            <v>37.685039370078741</v>
          </cell>
          <cell r="AA106">
            <v>59.810039370078741</v>
          </cell>
          <cell r="AB106">
            <v>37.685039370078741</v>
          </cell>
          <cell r="AC106">
            <v>59.810039370078741</v>
          </cell>
          <cell r="AD106">
            <v>59.810039370078741</v>
          </cell>
          <cell r="AE106">
            <v>59.555118110236222</v>
          </cell>
          <cell r="AF106">
            <v>17.555118110236226</v>
          </cell>
          <cell r="AG106">
            <v>40.94094488188977</v>
          </cell>
          <cell r="AH106" t="str">
            <v>Y</v>
          </cell>
          <cell r="AI106">
            <v>39.69</v>
          </cell>
          <cell r="AJ106">
            <v>18</v>
          </cell>
          <cell r="AK106" t="str">
            <v>TBD</v>
          </cell>
          <cell r="AL106" t="str">
            <v>Y</v>
          </cell>
          <cell r="AM106">
            <v>200018401</v>
          </cell>
          <cell r="AN106">
            <v>200028401</v>
          </cell>
          <cell r="AO106">
            <v>200018301</v>
          </cell>
          <cell r="AP106">
            <v>200028301</v>
          </cell>
          <cell r="AQ106">
            <v>200018201</v>
          </cell>
          <cell r="AR106">
            <v>200028201</v>
          </cell>
          <cell r="AS106">
            <v>13.22222222222222</v>
          </cell>
          <cell r="AT106">
            <v>19.551107819050522</v>
          </cell>
          <cell r="AU106">
            <v>14.592773493187313</v>
          </cell>
          <cell r="AV106">
            <v>9.9677345225049123</v>
          </cell>
          <cell r="AW106">
            <v>40966</v>
          </cell>
        </row>
        <row r="107">
          <cell r="C107" t="str">
            <v>Kyocera - KD 205-220 GX-LPU_L</v>
          </cell>
          <cell r="D107" t="str">
            <v>2nd Gen Long Claw (Kyocera LPU)</v>
          </cell>
          <cell r="E107">
            <v>500014403</v>
          </cell>
          <cell r="F107">
            <v>38.976377952755911</v>
          </cell>
          <cell r="G107">
            <v>59.055118110236222</v>
          </cell>
          <cell r="H107">
            <v>1.8110236220472442</v>
          </cell>
          <cell r="I107">
            <v>200010703</v>
          </cell>
          <cell r="J107">
            <v>200010803</v>
          </cell>
          <cell r="K107">
            <v>200013803</v>
          </cell>
          <cell r="L107">
            <v>200016303</v>
          </cell>
          <cell r="M107">
            <v>500012562</v>
          </cell>
          <cell r="N107">
            <v>500012662</v>
          </cell>
          <cell r="O107">
            <v>500012563</v>
          </cell>
          <cell r="P107">
            <v>500012663</v>
          </cell>
          <cell r="Q107">
            <v>10.210324757196451</v>
          </cell>
          <cell r="R107">
            <v>9.127898782246433</v>
          </cell>
          <cell r="S107">
            <v>4.3113065848517067</v>
          </cell>
          <cell r="T107">
            <v>4.3113065848517067</v>
          </cell>
          <cell r="U107">
            <v>10.210324757196451</v>
          </cell>
          <cell r="V107">
            <v>9.127898782246433</v>
          </cell>
          <cell r="W107">
            <v>50</v>
          </cell>
          <cell r="X107">
            <v>40.377952755905511</v>
          </cell>
          <cell r="Y107">
            <v>59.810039370078741</v>
          </cell>
          <cell r="Z107">
            <v>40.377952755905511</v>
          </cell>
          <cell r="AA107">
            <v>59.810039370078741</v>
          </cell>
          <cell r="AB107">
            <v>40.377952755905511</v>
          </cell>
          <cell r="AC107">
            <v>59.810039370078741</v>
          </cell>
          <cell r="AD107">
            <v>59.810039370078741</v>
          </cell>
          <cell r="AE107">
            <v>59.555118110236222</v>
          </cell>
          <cell r="AF107">
            <v>17.555118110236226</v>
          </cell>
          <cell r="AG107">
            <v>40.94094488188977</v>
          </cell>
          <cell r="AH107" t="str">
            <v>Y</v>
          </cell>
          <cell r="AI107">
            <v>39.69</v>
          </cell>
          <cell r="AJ107">
            <v>18</v>
          </cell>
          <cell r="AK107" t="str">
            <v>TBD</v>
          </cell>
          <cell r="AL107" t="str">
            <v>Y</v>
          </cell>
          <cell r="AM107">
            <v>200018401</v>
          </cell>
          <cell r="AN107">
            <v>200028401</v>
          </cell>
          <cell r="AO107">
            <v>200018301</v>
          </cell>
          <cell r="AP107">
            <v>200028301</v>
          </cell>
          <cell r="AQ107">
            <v>200018201</v>
          </cell>
          <cell r="AR107">
            <v>200028201</v>
          </cell>
          <cell r="AS107">
            <v>13.22222222222222</v>
          </cell>
          <cell r="AT107">
            <v>19.551107819050522</v>
          </cell>
          <cell r="AU107">
            <v>14.592773493187313</v>
          </cell>
          <cell r="AV107">
            <v>9.9677345225049123</v>
          </cell>
          <cell r="AW107">
            <v>40966</v>
          </cell>
        </row>
        <row r="108">
          <cell r="C108" t="str">
            <v>Kyocera - KD 240-250 GX-LFB _X</v>
          </cell>
          <cell r="D108" t="str">
            <v>Long Claw (Kyocera LPB)</v>
          </cell>
          <cell r="E108">
            <v>500003902</v>
          </cell>
          <cell r="F108">
            <v>38.976377952755911</v>
          </cell>
          <cell r="G108">
            <v>65.433070866141733</v>
          </cell>
          <cell r="H108">
            <v>1.8110236220472442</v>
          </cell>
          <cell r="I108">
            <v>200010704</v>
          </cell>
          <cell r="J108">
            <v>200010804</v>
          </cell>
          <cell r="K108">
            <v>200013804</v>
          </cell>
          <cell r="L108">
            <v>200016304</v>
          </cell>
          <cell r="M108">
            <v>500012568</v>
          </cell>
          <cell r="N108">
            <v>500012668</v>
          </cell>
          <cell r="O108">
            <v>500012569</v>
          </cell>
          <cell r="P108">
            <v>500012669</v>
          </cell>
          <cell r="Q108">
            <v>10.948638384786955</v>
          </cell>
          <cell r="R108">
            <v>9.7863612556795889</v>
          </cell>
          <cell r="S108">
            <v>4.620032713407368</v>
          </cell>
          <cell r="T108">
            <v>4.620032713407368</v>
          </cell>
          <cell r="U108">
            <v>10.948638384786955</v>
          </cell>
          <cell r="V108">
            <v>9.7863612556795889</v>
          </cell>
          <cell r="W108">
            <v>50</v>
          </cell>
          <cell r="X108">
            <v>37.685039370078741</v>
          </cell>
          <cell r="Y108">
            <v>66.187992125984252</v>
          </cell>
          <cell r="Z108">
            <v>37.685039370078741</v>
          </cell>
          <cell r="AA108">
            <v>66.187992125984252</v>
          </cell>
          <cell r="AB108">
            <v>37.685039370078741</v>
          </cell>
          <cell r="AC108">
            <v>66.187992125984252</v>
          </cell>
          <cell r="AD108">
            <v>66.187992125984252</v>
          </cell>
          <cell r="AE108">
            <v>65.933070866141733</v>
          </cell>
          <cell r="AF108">
            <v>23.933070866141737</v>
          </cell>
          <cell r="AG108">
            <v>40.862204724409452</v>
          </cell>
          <cell r="AH108" t="str">
            <v>Y</v>
          </cell>
          <cell r="AI108">
            <v>46.305</v>
          </cell>
          <cell r="AJ108">
            <v>21</v>
          </cell>
          <cell r="AK108" t="str">
            <v>TBD</v>
          </cell>
          <cell r="AL108" t="str">
            <v>Y</v>
          </cell>
          <cell r="AM108">
            <v>200018403</v>
          </cell>
          <cell r="AN108">
            <v>200028403</v>
          </cell>
          <cell r="AO108">
            <v>200018303</v>
          </cell>
          <cell r="AP108">
            <v>200028303</v>
          </cell>
          <cell r="AQ108">
            <v>200018203</v>
          </cell>
          <cell r="AR108">
            <v>200028203</v>
          </cell>
          <cell r="AS108">
            <v>14.555555555555557</v>
          </cell>
          <cell r="AT108">
            <v>19.59032067014968</v>
          </cell>
          <cell r="AU108">
            <v>14.621519405121935</v>
          </cell>
          <cell r="AV108">
            <v>9.9871387547568311</v>
          </cell>
          <cell r="AW108">
            <v>41318</v>
          </cell>
        </row>
        <row r="109">
          <cell r="C109" t="str">
            <v>Kyocera - KD 240-250 GX-LFB _L</v>
          </cell>
          <cell r="D109" t="str">
            <v>2nd Gen Long Claw (Kyocera LPB)</v>
          </cell>
          <cell r="E109">
            <v>500014402</v>
          </cell>
          <cell r="F109">
            <v>38.976377952755911</v>
          </cell>
          <cell r="G109">
            <v>65.433070866141733</v>
          </cell>
          <cell r="H109">
            <v>1.8110236220472442</v>
          </cell>
          <cell r="I109">
            <v>200010704</v>
          </cell>
          <cell r="J109">
            <v>200010804</v>
          </cell>
          <cell r="K109">
            <v>200013804</v>
          </cell>
          <cell r="L109">
            <v>200016304</v>
          </cell>
          <cell r="M109">
            <v>500012568</v>
          </cell>
          <cell r="N109">
            <v>500012668</v>
          </cell>
          <cell r="O109">
            <v>500012569</v>
          </cell>
          <cell r="P109">
            <v>500012669</v>
          </cell>
          <cell r="Q109">
            <v>10.210324757196451</v>
          </cell>
          <cell r="R109">
            <v>9.127898782246433</v>
          </cell>
          <cell r="S109">
            <v>4.3113065848517067</v>
          </cell>
          <cell r="T109">
            <v>4.3113065848517067</v>
          </cell>
          <cell r="U109">
            <v>10.210324757196451</v>
          </cell>
          <cell r="V109">
            <v>9.127898782246433</v>
          </cell>
          <cell r="W109">
            <v>50</v>
          </cell>
          <cell r="X109">
            <v>40.377952755905511</v>
          </cell>
          <cell r="Y109">
            <v>66.187992125984252</v>
          </cell>
          <cell r="Z109">
            <v>40.377952755905511</v>
          </cell>
          <cell r="AA109">
            <v>66.187992125984252</v>
          </cell>
          <cell r="AB109">
            <v>40.377952755905511</v>
          </cell>
          <cell r="AC109">
            <v>66.187992125984252</v>
          </cell>
          <cell r="AD109">
            <v>66.187992125984252</v>
          </cell>
          <cell r="AE109">
            <v>65.933070866141733</v>
          </cell>
          <cell r="AF109">
            <v>23.933070866141737</v>
          </cell>
          <cell r="AG109">
            <v>40.862204724409452</v>
          </cell>
          <cell r="AH109" t="str">
            <v>Y</v>
          </cell>
          <cell r="AI109">
            <v>46.305</v>
          </cell>
          <cell r="AJ109">
            <v>21</v>
          </cell>
          <cell r="AK109" t="str">
            <v>TBD</v>
          </cell>
          <cell r="AL109" t="str">
            <v>Y</v>
          </cell>
          <cell r="AM109">
            <v>200018403</v>
          </cell>
          <cell r="AN109">
            <v>200028403</v>
          </cell>
          <cell r="AO109">
            <v>200018303</v>
          </cell>
          <cell r="AP109">
            <v>200028303</v>
          </cell>
          <cell r="AQ109">
            <v>200018203</v>
          </cell>
          <cell r="AR109">
            <v>200028203</v>
          </cell>
          <cell r="AS109">
            <v>14.555555555555557</v>
          </cell>
          <cell r="AT109">
            <v>19.59032067014968</v>
          </cell>
          <cell r="AU109">
            <v>14.621519405121935</v>
          </cell>
          <cell r="AV109">
            <v>9.9871387547568311</v>
          </cell>
          <cell r="AW109">
            <v>41318</v>
          </cell>
        </row>
        <row r="110">
          <cell r="C110" t="str">
            <v>Kyocera - KD 205-220 GX-LFBS_X</v>
          </cell>
          <cell r="D110" t="str">
            <v>Long Claw (Kyocera LPU)</v>
          </cell>
          <cell r="E110">
            <v>500003903</v>
          </cell>
          <cell r="F110">
            <v>38.976377952755911</v>
          </cell>
          <cell r="G110">
            <v>59.055118110236222</v>
          </cell>
          <cell r="H110">
            <v>1.8110236220472442</v>
          </cell>
          <cell r="I110">
            <v>200010703</v>
          </cell>
          <cell r="J110">
            <v>200010803</v>
          </cell>
          <cell r="K110">
            <v>200013803</v>
          </cell>
          <cell r="L110">
            <v>200016303</v>
          </cell>
          <cell r="M110">
            <v>500012562</v>
          </cell>
          <cell r="N110">
            <v>500012662</v>
          </cell>
          <cell r="O110">
            <v>500012563</v>
          </cell>
          <cell r="P110">
            <v>500012663</v>
          </cell>
          <cell r="Q110">
            <v>10.948638384786955</v>
          </cell>
          <cell r="R110">
            <v>9.7863612556795889</v>
          </cell>
          <cell r="S110">
            <v>4.620032713407368</v>
          </cell>
          <cell r="T110">
            <v>4.620032713407368</v>
          </cell>
          <cell r="U110">
            <v>10.948638384786955</v>
          </cell>
          <cell r="V110">
            <v>9.7863612556795889</v>
          </cell>
          <cell r="W110">
            <v>50</v>
          </cell>
          <cell r="X110">
            <v>37.685039370078741</v>
          </cell>
          <cell r="Y110">
            <v>59.810039370078741</v>
          </cell>
          <cell r="Z110">
            <v>37.685039370078741</v>
          </cell>
          <cell r="AA110">
            <v>59.810039370078741</v>
          </cell>
          <cell r="AB110">
            <v>37.685039370078741</v>
          </cell>
          <cell r="AC110">
            <v>59.810039370078741</v>
          </cell>
          <cell r="AD110">
            <v>59.810039370078741</v>
          </cell>
          <cell r="AE110">
            <v>59.555118110236222</v>
          </cell>
          <cell r="AF110">
            <v>17.555118110236226</v>
          </cell>
          <cell r="AG110">
            <v>40.94094488188977</v>
          </cell>
          <cell r="AH110" t="str">
            <v>Y</v>
          </cell>
          <cell r="AI110">
            <v>39.69</v>
          </cell>
          <cell r="AJ110">
            <v>18</v>
          </cell>
          <cell r="AK110" t="str">
            <v>TBD</v>
          </cell>
          <cell r="AL110" t="str">
            <v>Y</v>
          </cell>
          <cell r="AM110">
            <v>200018401</v>
          </cell>
          <cell r="AN110">
            <v>200028401</v>
          </cell>
          <cell r="AO110">
            <v>200018301</v>
          </cell>
          <cell r="AP110">
            <v>200028301</v>
          </cell>
          <cell r="AQ110">
            <v>200018201</v>
          </cell>
          <cell r="AR110">
            <v>200028201</v>
          </cell>
          <cell r="AS110">
            <v>13.22222222222222</v>
          </cell>
          <cell r="AT110">
            <v>19.551107819050522</v>
          </cell>
          <cell r="AU110">
            <v>14.592773493187313</v>
          </cell>
          <cell r="AV110">
            <v>9.9677345225049123</v>
          </cell>
          <cell r="AW110">
            <v>40966</v>
          </cell>
        </row>
        <row r="111">
          <cell r="C111" t="str">
            <v>Kyocera - KD 205-220 GX-LFBS_L</v>
          </cell>
          <cell r="D111" t="str">
            <v>2nd Gen Long Claw (Kyocera LPU)</v>
          </cell>
          <cell r="E111">
            <v>500014403</v>
          </cell>
          <cell r="F111">
            <v>38.976377952755911</v>
          </cell>
          <cell r="G111">
            <v>59.055118110236222</v>
          </cell>
          <cell r="H111">
            <v>1.8110236220472442</v>
          </cell>
          <cell r="I111">
            <v>200010703</v>
          </cell>
          <cell r="J111">
            <v>200010803</v>
          </cell>
          <cell r="K111">
            <v>200013803</v>
          </cell>
          <cell r="L111">
            <v>200016303</v>
          </cell>
          <cell r="M111">
            <v>500012562</v>
          </cell>
          <cell r="N111">
            <v>500012662</v>
          </cell>
          <cell r="O111">
            <v>500012563</v>
          </cell>
          <cell r="P111">
            <v>500012663</v>
          </cell>
          <cell r="Q111">
            <v>10.210324757196451</v>
          </cell>
          <cell r="R111">
            <v>9.127898782246433</v>
          </cell>
          <cell r="S111">
            <v>4.3113065848517067</v>
          </cell>
          <cell r="T111">
            <v>4.3113065848517067</v>
          </cell>
          <cell r="U111">
            <v>10.210324757196451</v>
          </cell>
          <cell r="V111">
            <v>9.127898782246433</v>
          </cell>
          <cell r="W111">
            <v>50</v>
          </cell>
          <cell r="X111">
            <v>40.377952755905511</v>
          </cell>
          <cell r="Y111">
            <v>59.810039370078741</v>
          </cell>
          <cell r="Z111">
            <v>40.377952755905511</v>
          </cell>
          <cell r="AA111">
            <v>59.810039370078741</v>
          </cell>
          <cell r="AB111">
            <v>40.377952755905511</v>
          </cell>
          <cell r="AC111">
            <v>59.810039370078741</v>
          </cell>
          <cell r="AD111">
            <v>59.810039370078741</v>
          </cell>
          <cell r="AE111">
            <v>59.555118110236222</v>
          </cell>
          <cell r="AF111">
            <v>17.555118110236226</v>
          </cell>
          <cell r="AG111">
            <v>40.94094488188977</v>
          </cell>
          <cell r="AH111" t="str">
            <v>Y</v>
          </cell>
          <cell r="AI111">
            <v>39.69</v>
          </cell>
          <cell r="AJ111">
            <v>18</v>
          </cell>
          <cell r="AK111" t="str">
            <v>TBD</v>
          </cell>
          <cell r="AL111" t="str">
            <v>Y</v>
          </cell>
          <cell r="AM111">
            <v>200018401</v>
          </cell>
          <cell r="AN111">
            <v>200028401</v>
          </cell>
          <cell r="AO111">
            <v>200018301</v>
          </cell>
          <cell r="AP111">
            <v>200028301</v>
          </cell>
          <cell r="AQ111">
            <v>200018201</v>
          </cell>
          <cell r="AR111">
            <v>200028201</v>
          </cell>
          <cell r="AS111">
            <v>13.22222222222222</v>
          </cell>
          <cell r="AT111">
            <v>19.551107819050522</v>
          </cell>
          <cell r="AU111">
            <v>14.592773493187313</v>
          </cell>
          <cell r="AV111">
            <v>9.9677345225049123</v>
          </cell>
          <cell r="AW111">
            <v>40966</v>
          </cell>
        </row>
        <row r="112">
          <cell r="C112" t="str">
            <v>LDK - LDK 180-210 D-24s_S</v>
          </cell>
          <cell r="D112" t="str">
            <v>Standard Claw</v>
          </cell>
          <cell r="E112">
            <v>5000005</v>
          </cell>
          <cell r="F112">
            <v>31.811023622047244</v>
          </cell>
          <cell r="G112">
            <v>62.204724409448822</v>
          </cell>
          <cell r="H112">
            <v>1.5748031496062993</v>
          </cell>
          <cell r="I112">
            <v>200010704</v>
          </cell>
          <cell r="J112">
            <v>200010804</v>
          </cell>
          <cell r="K112">
            <v>200013804</v>
          </cell>
          <cell r="L112">
            <v>200016304</v>
          </cell>
          <cell r="M112">
            <v>500012566</v>
          </cell>
          <cell r="N112">
            <v>500012666</v>
          </cell>
          <cell r="O112">
            <v>500012567</v>
          </cell>
          <cell r="P112">
            <v>500012667</v>
          </cell>
          <cell r="Q112">
            <v>14.571707491264988</v>
          </cell>
          <cell r="R112">
            <v>13.012236782891378</v>
          </cell>
          <cell r="S112">
            <v>6.1250064477535702</v>
          </cell>
          <cell r="T112">
            <v>6.1250064477535702</v>
          </cell>
          <cell r="U112">
            <v>14.571707491264988</v>
          </cell>
          <cell r="V112">
            <v>13.012236782891378</v>
          </cell>
          <cell r="W112">
            <v>50</v>
          </cell>
          <cell r="X112">
            <v>28.448818897637796</v>
          </cell>
          <cell r="Y112">
            <v>64.069881889763778</v>
          </cell>
          <cell r="Z112">
            <v>28.448818897637796</v>
          </cell>
          <cell r="AA112">
            <v>64.069881889763778</v>
          </cell>
          <cell r="AB112">
            <v>28.448818897637796</v>
          </cell>
          <cell r="AC112">
            <v>64.069881889763778</v>
          </cell>
          <cell r="AD112">
            <v>64.069881889763778</v>
          </cell>
          <cell r="AE112">
            <v>62.704724409448822</v>
          </cell>
          <cell r="AF112">
            <v>20.704724409448822</v>
          </cell>
          <cell r="AG112">
            <v>33.074803149606304</v>
          </cell>
          <cell r="AH112" t="str">
            <v>Y</v>
          </cell>
          <cell r="AI112">
            <v>34.398000000000003</v>
          </cell>
          <cell r="AJ112">
            <v>15.6</v>
          </cell>
          <cell r="AK112" t="str">
            <v>TBD</v>
          </cell>
          <cell r="AL112" t="str">
            <v>Y</v>
          </cell>
          <cell r="AM112">
            <v>200018402</v>
          </cell>
          <cell r="AN112">
            <v>200028402</v>
          </cell>
          <cell r="AO112">
            <v>200018302</v>
          </cell>
          <cell r="AP112">
            <v>200028302</v>
          </cell>
          <cell r="AQ112">
            <v>200018202</v>
          </cell>
          <cell r="AR112">
            <v>200028202</v>
          </cell>
          <cell r="AS112">
            <v>13.888888888888888</v>
          </cell>
          <cell r="AT112">
            <v>24.471238183648364</v>
          </cell>
          <cell r="AU112">
            <v>18.171818938620692</v>
          </cell>
          <cell r="AV112">
            <v>12.372128912037903</v>
          </cell>
          <cell r="AW112">
            <v>41192</v>
          </cell>
        </row>
        <row r="113">
          <cell r="C113" t="str">
            <v>LDK - LDK 160-200 P-24s_S</v>
          </cell>
          <cell r="D113" t="str">
            <v>Standard Claw</v>
          </cell>
          <cell r="E113">
            <v>5000005</v>
          </cell>
          <cell r="F113">
            <v>31.811023622047244</v>
          </cell>
          <cell r="G113">
            <v>62.204724409448822</v>
          </cell>
          <cell r="H113">
            <v>1.5748031496062993</v>
          </cell>
          <cell r="I113">
            <v>200010704</v>
          </cell>
          <cell r="J113">
            <v>200010804</v>
          </cell>
          <cell r="K113">
            <v>200013804</v>
          </cell>
          <cell r="L113">
            <v>200016304</v>
          </cell>
          <cell r="M113">
            <v>500012566</v>
          </cell>
          <cell r="N113">
            <v>500012666</v>
          </cell>
          <cell r="O113">
            <v>500012567</v>
          </cell>
          <cell r="P113">
            <v>500012667</v>
          </cell>
          <cell r="Q113">
            <v>14.571707491264988</v>
          </cell>
          <cell r="R113">
            <v>13.012236782891378</v>
          </cell>
          <cell r="S113">
            <v>6.1250064477535702</v>
          </cell>
          <cell r="T113">
            <v>6.1250064477535702</v>
          </cell>
          <cell r="U113">
            <v>14.571707491264988</v>
          </cell>
          <cell r="V113">
            <v>13.012236782891378</v>
          </cell>
          <cell r="W113">
            <v>50</v>
          </cell>
          <cell r="X113">
            <v>28.448818897637796</v>
          </cell>
          <cell r="Y113">
            <v>64.069881889763778</v>
          </cell>
          <cell r="Z113">
            <v>28.448818897637796</v>
          </cell>
          <cell r="AA113">
            <v>64.069881889763778</v>
          </cell>
          <cell r="AB113">
            <v>28.448818897637796</v>
          </cell>
          <cell r="AC113">
            <v>64.069881889763778</v>
          </cell>
          <cell r="AD113">
            <v>64.069881889763778</v>
          </cell>
          <cell r="AE113">
            <v>62.704724409448822</v>
          </cell>
          <cell r="AF113">
            <v>20.704724409448822</v>
          </cell>
          <cell r="AG113">
            <v>33.074803149606304</v>
          </cell>
          <cell r="AH113" t="str">
            <v>Y</v>
          </cell>
          <cell r="AI113">
            <v>34.398000000000003</v>
          </cell>
          <cell r="AJ113">
            <v>15.6</v>
          </cell>
          <cell r="AK113" t="str">
            <v>TBD</v>
          </cell>
          <cell r="AL113" t="str">
            <v>Y</v>
          </cell>
          <cell r="AM113">
            <v>200018402</v>
          </cell>
          <cell r="AN113">
            <v>200028402</v>
          </cell>
          <cell r="AO113">
            <v>200018302</v>
          </cell>
          <cell r="AP113">
            <v>200028302</v>
          </cell>
          <cell r="AQ113">
            <v>200018202</v>
          </cell>
          <cell r="AR113">
            <v>200028202</v>
          </cell>
          <cell r="AS113">
            <v>13.888888888888888</v>
          </cell>
          <cell r="AT113">
            <v>24.471238183648364</v>
          </cell>
          <cell r="AU113">
            <v>18.171818938620692</v>
          </cell>
          <cell r="AV113">
            <v>12.372128912037903</v>
          </cell>
          <cell r="AW113">
            <v>41192</v>
          </cell>
        </row>
        <row r="114">
          <cell r="C114" t="str">
            <v>LDK - LDK 220-260 D-20_S</v>
          </cell>
          <cell r="D114" t="str">
            <v>Standard Claw</v>
          </cell>
          <cell r="E114">
            <v>5000005</v>
          </cell>
          <cell r="F114">
            <v>39.133858267716541</v>
          </cell>
          <cell r="G114">
            <v>64.645669291338592</v>
          </cell>
          <cell r="H114">
            <v>1.5748031496062993</v>
          </cell>
          <cell r="I114">
            <v>200010704</v>
          </cell>
          <cell r="J114">
            <v>200010804</v>
          </cell>
          <cell r="K114">
            <v>200013804</v>
          </cell>
          <cell r="L114">
            <v>200016304</v>
          </cell>
          <cell r="M114">
            <v>500012569</v>
          </cell>
          <cell r="N114">
            <v>500012669</v>
          </cell>
          <cell r="O114">
            <v>500012569</v>
          </cell>
          <cell r="P114">
            <v>500012669</v>
          </cell>
          <cell r="Q114">
            <v>11.542107859274854</v>
          </cell>
          <cell r="R114">
            <v>10.315402215766035</v>
          </cell>
          <cell r="S114">
            <v>4.8677341333410507</v>
          </cell>
          <cell r="T114">
            <v>4.8677341333410507</v>
          </cell>
          <cell r="U114">
            <v>11.542107859274854</v>
          </cell>
          <cell r="V114">
            <v>10.315402215766035</v>
          </cell>
          <cell r="W114">
            <v>50</v>
          </cell>
          <cell r="X114">
            <v>35.771653543307089</v>
          </cell>
          <cell r="Y114">
            <v>66.510826771653541</v>
          </cell>
          <cell r="Z114">
            <v>35.771653543307089</v>
          </cell>
          <cell r="AA114">
            <v>66.510826771653541</v>
          </cell>
          <cell r="AB114">
            <v>35.771653543307089</v>
          </cell>
          <cell r="AC114">
            <v>66.510826771653541</v>
          </cell>
          <cell r="AD114">
            <v>66.510826771653541</v>
          </cell>
          <cell r="AE114">
            <v>65.145669291338592</v>
          </cell>
          <cell r="AF114">
            <v>23.145669291338589</v>
          </cell>
          <cell r="AG114">
            <v>40.397637795275593</v>
          </cell>
          <cell r="AH114" t="str">
            <v>Y</v>
          </cell>
          <cell r="AI114">
            <v>44.1</v>
          </cell>
          <cell r="AJ114">
            <v>20</v>
          </cell>
          <cell r="AK114" t="str">
            <v>TBD</v>
          </cell>
          <cell r="AL114" t="str">
            <v>Y</v>
          </cell>
          <cell r="AM114">
            <v>200018403</v>
          </cell>
          <cell r="AN114">
            <v>200028403</v>
          </cell>
          <cell r="AO114">
            <v>200018303</v>
          </cell>
          <cell r="AP114">
            <v>200028303</v>
          </cell>
          <cell r="AQ114">
            <v>200018203</v>
          </cell>
          <cell r="AR114">
            <v>200028203</v>
          </cell>
          <cell r="AS114">
            <v>14.555555555555557</v>
          </cell>
          <cell r="AT114">
            <v>19.824988214643927</v>
          </cell>
          <cell r="AU114">
            <v>14.793480064873235</v>
          </cell>
          <cell r="AV114">
            <v>10.103187663745738</v>
          </cell>
          <cell r="AW114">
            <v>41192</v>
          </cell>
        </row>
        <row r="115">
          <cell r="C115" t="str">
            <v>LDK - LDK 210-250 P-20_S</v>
          </cell>
          <cell r="D115" t="str">
            <v>Standard Claw</v>
          </cell>
          <cell r="E115">
            <v>5000005</v>
          </cell>
          <cell r="F115">
            <v>39.133858267716541</v>
          </cell>
          <cell r="G115">
            <v>64.645669291338592</v>
          </cell>
          <cell r="H115">
            <v>1.5748031496062993</v>
          </cell>
          <cell r="I115">
            <v>200010704</v>
          </cell>
          <cell r="J115">
            <v>200010804</v>
          </cell>
          <cell r="K115">
            <v>200013804</v>
          </cell>
          <cell r="L115">
            <v>200016304</v>
          </cell>
          <cell r="M115">
            <v>500012569</v>
          </cell>
          <cell r="N115">
            <v>500012669</v>
          </cell>
          <cell r="O115">
            <v>500012569</v>
          </cell>
          <cell r="P115">
            <v>500012669</v>
          </cell>
          <cell r="Q115">
            <v>11.542107859274854</v>
          </cell>
          <cell r="R115">
            <v>10.315402215766035</v>
          </cell>
          <cell r="S115">
            <v>4.8677341333410507</v>
          </cell>
          <cell r="T115">
            <v>4.8677341333410507</v>
          </cell>
          <cell r="U115">
            <v>11.542107859274854</v>
          </cell>
          <cell r="V115">
            <v>10.315402215766035</v>
          </cell>
          <cell r="W115">
            <v>50</v>
          </cell>
          <cell r="X115">
            <v>35.771653543307089</v>
          </cell>
          <cell r="Y115">
            <v>66.510826771653541</v>
          </cell>
          <cell r="Z115">
            <v>35.771653543307089</v>
          </cell>
          <cell r="AA115">
            <v>66.510826771653541</v>
          </cell>
          <cell r="AB115">
            <v>35.771653543307089</v>
          </cell>
          <cell r="AC115">
            <v>66.510826771653541</v>
          </cell>
          <cell r="AD115">
            <v>66.510826771653541</v>
          </cell>
          <cell r="AE115">
            <v>65.145669291338592</v>
          </cell>
          <cell r="AF115">
            <v>23.145669291338589</v>
          </cell>
          <cell r="AG115">
            <v>40.397637795275593</v>
          </cell>
          <cell r="AH115" t="str">
            <v>Y</v>
          </cell>
          <cell r="AI115">
            <v>44.1</v>
          </cell>
          <cell r="AJ115">
            <v>20</v>
          </cell>
          <cell r="AK115" t="str">
            <v>TBD</v>
          </cell>
          <cell r="AL115" t="str">
            <v>Y</v>
          </cell>
          <cell r="AM115">
            <v>200018403</v>
          </cell>
          <cell r="AN115">
            <v>200028403</v>
          </cell>
          <cell r="AO115">
            <v>200018303</v>
          </cell>
          <cell r="AP115">
            <v>200028303</v>
          </cell>
          <cell r="AQ115">
            <v>200018203</v>
          </cell>
          <cell r="AR115">
            <v>200028203</v>
          </cell>
          <cell r="AS115">
            <v>14.555555555555557</v>
          </cell>
          <cell r="AT115">
            <v>19.824988214643927</v>
          </cell>
          <cell r="AU115">
            <v>14.793480064873235</v>
          </cell>
          <cell r="AV115">
            <v>10.103187663745738</v>
          </cell>
          <cell r="AW115">
            <v>41192</v>
          </cell>
        </row>
        <row r="116">
          <cell r="C116" t="str">
            <v>LDK - LDK 260-290 P-24_S</v>
          </cell>
          <cell r="D116" t="str">
            <v>Standard Claw</v>
          </cell>
          <cell r="E116">
            <v>5000005</v>
          </cell>
          <cell r="F116">
            <v>39.133858267716541</v>
          </cell>
          <cell r="G116">
            <v>77.086614173228355</v>
          </cell>
          <cell r="H116">
            <v>1.9685039370078741</v>
          </cell>
          <cell r="I116">
            <v>200010707</v>
          </cell>
          <cell r="J116">
            <v>200010807</v>
          </cell>
          <cell r="K116">
            <v>200013807</v>
          </cell>
          <cell r="L116">
            <v>200016307</v>
          </cell>
          <cell r="M116">
            <v>500012580</v>
          </cell>
          <cell r="N116">
            <v>500012680</v>
          </cell>
          <cell r="O116">
            <v>500012581</v>
          </cell>
          <cell r="P116">
            <v>500012681</v>
          </cell>
          <cell r="Q116">
            <v>11.805586443566717</v>
          </cell>
          <cell r="R116">
            <v>10.550203911140217</v>
          </cell>
          <cell r="S116">
            <v>4.9775671493683964</v>
          </cell>
          <cell r="T116">
            <v>4.9775671493683964</v>
          </cell>
          <cell r="U116">
            <v>11.805586443566717</v>
          </cell>
          <cell r="V116">
            <v>10.550203911140217</v>
          </cell>
          <cell r="W116">
            <v>50</v>
          </cell>
          <cell r="X116">
            <v>34.984251968503941</v>
          </cell>
          <cell r="Y116">
            <v>78.164370078740163</v>
          </cell>
          <cell r="Z116">
            <v>34.984251968503941</v>
          </cell>
          <cell r="AA116">
            <v>78.164370078740163</v>
          </cell>
          <cell r="AB116">
            <v>34.984251968503941</v>
          </cell>
          <cell r="AC116">
            <v>78.164370078740163</v>
          </cell>
          <cell r="AD116">
            <v>78.164370078740163</v>
          </cell>
          <cell r="AE116">
            <v>77.586614173228355</v>
          </cell>
          <cell r="AF116">
            <v>35.586614173228355</v>
          </cell>
          <cell r="AG116">
            <v>39.610236220472444</v>
          </cell>
          <cell r="AH116" t="str">
            <v>N</v>
          </cell>
          <cell r="AI116">
            <v>67.252499999999998</v>
          </cell>
          <cell r="AJ116">
            <v>30.5</v>
          </cell>
          <cell r="AK116" t="str">
            <v>TBD</v>
          </cell>
          <cell r="AL116" t="str">
            <v>Y</v>
          </cell>
          <cell r="AM116">
            <v>200018407</v>
          </cell>
          <cell r="AN116">
            <v>200028407</v>
          </cell>
          <cell r="AO116">
            <v>200018307</v>
          </cell>
          <cell r="AP116">
            <v>200028307</v>
          </cell>
          <cell r="AQ116">
            <v>200018207</v>
          </cell>
          <cell r="AR116">
            <v>200028207</v>
          </cell>
          <cell r="AS116">
            <v>17.222222222222221</v>
          </cell>
          <cell r="AT116">
            <v>20.236138447258774</v>
          </cell>
          <cell r="AU116">
            <v>15.09447989381157</v>
          </cell>
          <cell r="AV116">
            <v>10.306198632337802</v>
          </cell>
          <cell r="AW116">
            <v>41192</v>
          </cell>
        </row>
        <row r="117">
          <cell r="C117" t="str">
            <v>Lightway - LW 195-220 (26)_S</v>
          </cell>
          <cell r="D117" t="str">
            <v>Standard Claw</v>
          </cell>
          <cell r="E117">
            <v>5000005</v>
          </cell>
          <cell r="F117">
            <v>38.976377952755911</v>
          </cell>
          <cell r="G117">
            <v>58.858267716535437</v>
          </cell>
          <cell r="H117">
            <v>1.9685039370078741</v>
          </cell>
          <cell r="I117">
            <v>200010703</v>
          </cell>
          <cell r="J117">
            <v>200010803</v>
          </cell>
          <cell r="K117">
            <v>200013803</v>
          </cell>
          <cell r="L117">
            <v>200016303</v>
          </cell>
          <cell r="M117">
            <v>500012563</v>
          </cell>
          <cell r="N117">
            <v>500012663</v>
          </cell>
          <cell r="O117">
            <v>500012563</v>
          </cell>
          <cell r="P117">
            <v>500012663</v>
          </cell>
          <cell r="Q117">
            <v>11.646065132777842</v>
          </cell>
          <cell r="R117">
            <v>10.40805030701417</v>
          </cell>
          <cell r="S117">
            <v>4.911079789514722</v>
          </cell>
          <cell r="T117">
            <v>4.911079789514722</v>
          </cell>
          <cell r="U117">
            <v>11.646065132777842</v>
          </cell>
          <cell r="V117">
            <v>10.40805030701417</v>
          </cell>
          <cell r="W117">
            <v>50</v>
          </cell>
          <cell r="X117">
            <v>35.45669291338583</v>
          </cell>
          <cell r="Y117">
            <v>60.56594488188977</v>
          </cell>
          <cell r="Z117">
            <v>35.45669291338583</v>
          </cell>
          <cell r="AA117">
            <v>60.56594488188977</v>
          </cell>
          <cell r="AB117">
            <v>35.45669291338583</v>
          </cell>
          <cell r="AC117">
            <v>60.56594488188977</v>
          </cell>
          <cell r="AD117">
            <v>60.56594488188977</v>
          </cell>
          <cell r="AE117">
            <v>59.358267716535437</v>
          </cell>
          <cell r="AF117">
            <v>17.358267716535437</v>
          </cell>
          <cell r="AG117">
            <v>40.082677165354333</v>
          </cell>
          <cell r="AH117" t="str">
            <v>Y</v>
          </cell>
          <cell r="AI117">
            <v>39.69</v>
          </cell>
          <cell r="AJ117">
            <v>18</v>
          </cell>
          <cell r="AK117" t="str">
            <v>TBD</v>
          </cell>
          <cell r="AL117" t="str">
            <v>Y</v>
          </cell>
          <cell r="AM117">
            <v>200018401</v>
          </cell>
          <cell r="AN117">
            <v>200028401</v>
          </cell>
          <cell r="AO117">
            <v>200018301</v>
          </cell>
          <cell r="AP117">
            <v>200028301</v>
          </cell>
          <cell r="AQ117">
            <v>200018201</v>
          </cell>
          <cell r="AR117">
            <v>200028201</v>
          </cell>
          <cell r="AS117">
            <v>13.22222222222222</v>
          </cell>
          <cell r="AT117">
            <v>19.987381438876472</v>
          </cell>
          <cell r="AU117">
            <v>14.912410483320945</v>
          </cell>
          <cell r="AV117">
            <v>10.183419458492327</v>
          </cell>
          <cell r="AW117">
            <v>40966</v>
          </cell>
        </row>
        <row r="118">
          <cell r="C118" t="str">
            <v>Lightway - LW 220-240 (29)_S</v>
          </cell>
          <cell r="D118" t="str">
            <v>Standard Claw</v>
          </cell>
          <cell r="E118">
            <v>5000005</v>
          </cell>
          <cell r="F118">
            <v>38.976377952755911</v>
          </cell>
          <cell r="G118">
            <v>64.960629921259851</v>
          </cell>
          <cell r="H118">
            <v>1.9685039370078741</v>
          </cell>
          <cell r="I118">
            <v>200010704</v>
          </cell>
          <cell r="J118">
            <v>200010804</v>
          </cell>
          <cell r="K118">
            <v>200013804</v>
          </cell>
          <cell r="L118">
            <v>200016304</v>
          </cell>
          <cell r="M118">
            <v>500012569</v>
          </cell>
          <cell r="N118">
            <v>500012669</v>
          </cell>
          <cell r="O118">
            <v>500012569</v>
          </cell>
          <cell r="P118">
            <v>500012669</v>
          </cell>
          <cell r="Q118">
            <v>11.646065132777842</v>
          </cell>
          <cell r="R118">
            <v>10.40805030701417</v>
          </cell>
          <cell r="S118">
            <v>4.911079789514722</v>
          </cell>
          <cell r="T118">
            <v>4.911079789514722</v>
          </cell>
          <cell r="U118">
            <v>11.646065132777842</v>
          </cell>
          <cell r="V118">
            <v>10.40805030701417</v>
          </cell>
          <cell r="W118">
            <v>50</v>
          </cell>
          <cell r="X118">
            <v>35.45669291338583</v>
          </cell>
          <cell r="Y118">
            <v>66.668307086614178</v>
          </cell>
          <cell r="Z118">
            <v>35.45669291338583</v>
          </cell>
          <cell r="AA118">
            <v>66.668307086614178</v>
          </cell>
          <cell r="AB118">
            <v>35.45669291338583</v>
          </cell>
          <cell r="AC118">
            <v>66.668307086614178</v>
          </cell>
          <cell r="AD118">
            <v>66.668307086614178</v>
          </cell>
          <cell r="AE118">
            <v>65.460629921259851</v>
          </cell>
          <cell r="AF118">
            <v>23.460629921259848</v>
          </cell>
          <cell r="AG118">
            <v>40.082677165354333</v>
          </cell>
          <cell r="AH118" t="str">
            <v>Y</v>
          </cell>
          <cell r="AI118">
            <v>46.305</v>
          </cell>
          <cell r="AJ118">
            <v>21</v>
          </cell>
          <cell r="AK118" t="str">
            <v>TBD</v>
          </cell>
          <cell r="AL118" t="str">
            <v>Y</v>
          </cell>
          <cell r="AM118">
            <v>200018403</v>
          </cell>
          <cell r="AN118">
            <v>200028403</v>
          </cell>
          <cell r="AO118">
            <v>200018303</v>
          </cell>
          <cell r="AP118">
            <v>200028303</v>
          </cell>
          <cell r="AQ118">
            <v>200018203</v>
          </cell>
          <cell r="AR118">
            <v>200028203</v>
          </cell>
          <cell r="AS118">
            <v>14.555555555555557</v>
          </cell>
          <cell r="AT118">
            <v>19.987381438876472</v>
          </cell>
          <cell r="AU118">
            <v>14.912410483320945</v>
          </cell>
          <cell r="AV118">
            <v>10.183419458492327</v>
          </cell>
          <cell r="AW118">
            <v>40966</v>
          </cell>
        </row>
        <row r="119">
          <cell r="C119" t="str">
            <v>Lightway - LW 260-285 (35)_S</v>
          </cell>
          <cell r="D119" t="str">
            <v>Standard Claw</v>
          </cell>
          <cell r="E119">
            <v>5000005</v>
          </cell>
          <cell r="F119">
            <v>38.976377952755911</v>
          </cell>
          <cell r="G119">
            <v>77.559055118110237</v>
          </cell>
          <cell r="H119">
            <v>1.9685039370078741</v>
          </cell>
          <cell r="I119">
            <v>200010708</v>
          </cell>
          <cell r="J119">
            <v>200010808</v>
          </cell>
          <cell r="K119">
            <v>200013808</v>
          </cell>
          <cell r="L119">
            <v>200016308</v>
          </cell>
          <cell r="M119">
            <v>500012581</v>
          </cell>
          <cell r="N119">
            <v>500012681</v>
          </cell>
          <cell r="O119">
            <v>500012582</v>
          </cell>
          <cell r="P119">
            <v>500012682</v>
          </cell>
          <cell r="Q119">
            <v>11.646065132777842</v>
          </cell>
          <cell r="R119">
            <v>10.40805030701417</v>
          </cell>
          <cell r="S119">
            <v>4.911079789514722</v>
          </cell>
          <cell r="T119">
            <v>4.911079789514722</v>
          </cell>
          <cell r="U119">
            <v>11.646065132777842</v>
          </cell>
          <cell r="V119">
            <v>10.40805030701417</v>
          </cell>
          <cell r="W119">
            <v>40</v>
          </cell>
          <cell r="X119">
            <v>35.45669291338583</v>
          </cell>
          <cell r="Y119">
            <v>79.266732283464577</v>
          </cell>
          <cell r="Z119">
            <v>35.45669291338583</v>
          </cell>
          <cell r="AA119">
            <v>79.266732283464577</v>
          </cell>
          <cell r="AB119">
            <v>35.45669291338583</v>
          </cell>
          <cell r="AC119">
            <v>79.266732283464577</v>
          </cell>
          <cell r="AD119">
            <v>79.266732283464577</v>
          </cell>
          <cell r="AE119">
            <v>78.059055118110237</v>
          </cell>
          <cell r="AF119">
            <v>36.059055118110244</v>
          </cell>
          <cell r="AG119">
            <v>40.082677165354333</v>
          </cell>
          <cell r="AH119" t="str">
            <v>N</v>
          </cell>
          <cell r="AI119">
            <v>57.33</v>
          </cell>
          <cell r="AJ119">
            <v>26</v>
          </cell>
          <cell r="AK119" t="str">
            <v>TBD</v>
          </cell>
          <cell r="AL119" t="str">
            <v>Y</v>
          </cell>
          <cell r="AM119">
            <v>200018407</v>
          </cell>
          <cell r="AN119">
            <v>200028407</v>
          </cell>
          <cell r="AO119">
            <v>200018307</v>
          </cell>
          <cell r="AP119">
            <v>200028307</v>
          </cell>
          <cell r="AQ119">
            <v>200018207</v>
          </cell>
          <cell r="AR119">
            <v>200028207</v>
          </cell>
          <cell r="AS119">
            <v>17.222222222222221</v>
          </cell>
          <cell r="AT119">
            <v>19.987381438876472</v>
          </cell>
          <cell r="AU119">
            <v>14.912410483320945</v>
          </cell>
          <cell r="AV119">
            <v>10.183419458492327</v>
          </cell>
          <cell r="AW119">
            <v>41026</v>
          </cell>
        </row>
        <row r="120">
          <cell r="C120" t="str">
            <v>LG - LG-240-230-M1C_M</v>
          </cell>
          <cell r="D120" t="str">
            <v>Short Clamp Multi Claw</v>
          </cell>
          <cell r="E120">
            <v>500000701</v>
          </cell>
          <cell r="F120">
            <v>38.818897637795281</v>
          </cell>
          <cell r="G120">
            <v>64.251968503937007</v>
          </cell>
          <cell r="H120">
            <v>1.6535433070866143</v>
          </cell>
          <cell r="I120">
            <v>200010704</v>
          </cell>
          <cell r="J120">
            <v>200010804</v>
          </cell>
          <cell r="K120">
            <v>200013804</v>
          </cell>
          <cell r="L120">
            <v>200016304</v>
          </cell>
          <cell r="M120">
            <v>500012567</v>
          </cell>
          <cell r="N120">
            <v>500012667</v>
          </cell>
          <cell r="O120">
            <v>500012568</v>
          </cell>
          <cell r="P120">
            <v>500012668</v>
          </cell>
          <cell r="Q120">
            <v>11.056931675457074</v>
          </cell>
          <cell r="R120">
            <v>9.882914545766873</v>
          </cell>
          <cell r="S120">
            <v>4.6652632533993668</v>
          </cell>
          <cell r="T120">
            <v>4.6652632533993668</v>
          </cell>
          <cell r="U120">
            <v>11.056931675457074</v>
          </cell>
          <cell r="V120">
            <v>9.882914545766873</v>
          </cell>
          <cell r="W120">
            <v>50</v>
          </cell>
          <cell r="X120">
            <v>37.320472440944883</v>
          </cell>
          <cell r="Y120">
            <v>64.827362204724409</v>
          </cell>
          <cell r="Z120">
            <v>37.320472440944883</v>
          </cell>
          <cell r="AA120">
            <v>64.827362204724409</v>
          </cell>
          <cell r="AB120">
            <v>37.320472440944883</v>
          </cell>
          <cell r="AC120">
            <v>64.827362204724409</v>
          </cell>
          <cell r="AD120">
            <v>64.827362204724409</v>
          </cell>
          <cell r="AE120">
            <v>64.751968503937007</v>
          </cell>
          <cell r="AF120">
            <v>22.751968503937011</v>
          </cell>
          <cell r="AG120">
            <v>40.082677165354333</v>
          </cell>
          <cell r="AH120" t="str">
            <v>Y</v>
          </cell>
          <cell r="AI120">
            <v>41.740650000000002</v>
          </cell>
          <cell r="AJ120">
            <v>18.93</v>
          </cell>
          <cell r="AK120" t="str">
            <v>TBD</v>
          </cell>
          <cell r="AL120" t="str">
            <v>Y</v>
          </cell>
          <cell r="AM120">
            <v>200018403</v>
          </cell>
          <cell r="AN120">
            <v>200028403</v>
          </cell>
          <cell r="AO120">
            <v>200018303</v>
          </cell>
          <cell r="AP120">
            <v>200028303</v>
          </cell>
          <cell r="AQ120">
            <v>200018203</v>
          </cell>
          <cell r="AR120">
            <v>200028203</v>
          </cell>
          <cell r="AS120">
            <v>14.555555555555557</v>
          </cell>
          <cell r="AT120">
            <v>19.987381438876472</v>
          </cell>
          <cell r="AU120">
            <v>14.912410483320945</v>
          </cell>
          <cell r="AV120">
            <v>10.183419458492327</v>
          </cell>
          <cell r="AW120">
            <v>40886</v>
          </cell>
        </row>
        <row r="121">
          <cell r="C121" t="str">
            <v>LG - LG-230-220-P1C_M</v>
          </cell>
          <cell r="D121" t="str">
            <v>Short Clamp Multi Claw</v>
          </cell>
          <cell r="E121">
            <v>500000701</v>
          </cell>
          <cell r="F121">
            <v>38.818897637795281</v>
          </cell>
          <cell r="G121">
            <v>64.251968503937007</v>
          </cell>
          <cell r="H121">
            <v>1.6535433070866143</v>
          </cell>
          <cell r="I121">
            <v>200010704</v>
          </cell>
          <cell r="J121">
            <v>200010804</v>
          </cell>
          <cell r="K121">
            <v>200013804</v>
          </cell>
          <cell r="L121">
            <v>200016304</v>
          </cell>
          <cell r="M121">
            <v>500012567</v>
          </cell>
          <cell r="N121">
            <v>500012667</v>
          </cell>
          <cell r="O121">
            <v>500012568</v>
          </cell>
          <cell r="P121">
            <v>500012668</v>
          </cell>
          <cell r="Q121">
            <v>11.056931675457074</v>
          </cell>
          <cell r="R121">
            <v>9.882914545766873</v>
          </cell>
          <cell r="S121">
            <v>4.6652632533993668</v>
          </cell>
          <cell r="T121">
            <v>4.6652632533993668</v>
          </cell>
          <cell r="U121">
            <v>11.056931675457074</v>
          </cell>
          <cell r="V121">
            <v>9.882914545766873</v>
          </cell>
          <cell r="W121">
            <v>50</v>
          </cell>
          <cell r="X121">
            <v>37.320472440944883</v>
          </cell>
          <cell r="Y121">
            <v>64.827362204724409</v>
          </cell>
          <cell r="Z121">
            <v>37.320472440944883</v>
          </cell>
          <cell r="AA121">
            <v>64.827362204724409</v>
          </cell>
          <cell r="AB121">
            <v>37.320472440944883</v>
          </cell>
          <cell r="AC121">
            <v>64.827362204724409</v>
          </cell>
          <cell r="AD121">
            <v>64.827362204724409</v>
          </cell>
          <cell r="AE121">
            <v>64.751968503937007</v>
          </cell>
          <cell r="AF121">
            <v>22.751968503937011</v>
          </cell>
          <cell r="AG121">
            <v>40.082677165354333</v>
          </cell>
          <cell r="AH121" t="str">
            <v>Y</v>
          </cell>
          <cell r="AI121">
            <v>41.740650000000002</v>
          </cell>
          <cell r="AJ121">
            <v>18.93</v>
          </cell>
          <cell r="AK121" t="str">
            <v>TBD</v>
          </cell>
          <cell r="AL121" t="str">
            <v>Y</v>
          </cell>
          <cell r="AM121">
            <v>200018403</v>
          </cell>
          <cell r="AN121">
            <v>200028403</v>
          </cell>
          <cell r="AO121">
            <v>200018303</v>
          </cell>
          <cell r="AP121">
            <v>200028303</v>
          </cell>
          <cell r="AQ121">
            <v>200018203</v>
          </cell>
          <cell r="AR121">
            <v>200028203</v>
          </cell>
          <cell r="AS121">
            <v>14.555555555555557</v>
          </cell>
          <cell r="AT121">
            <v>19.987381438876472</v>
          </cell>
          <cell r="AU121">
            <v>14.912410483320945</v>
          </cell>
          <cell r="AV121">
            <v>10.183419458492327</v>
          </cell>
          <cell r="AW121">
            <v>40886</v>
          </cell>
        </row>
        <row r="122">
          <cell r="C122" t="str">
            <v>LG - LG-230-265 S1C-R1C_M</v>
          </cell>
          <cell r="D122" t="str">
            <v>Short Clamp Multi Claw</v>
          </cell>
          <cell r="E122">
            <v>500000701</v>
          </cell>
          <cell r="F122">
            <v>38.818897637795281</v>
          </cell>
          <cell r="G122">
            <v>64.251968503937007</v>
          </cell>
          <cell r="H122">
            <v>1.6535433070866143</v>
          </cell>
          <cell r="I122">
            <v>200010704</v>
          </cell>
          <cell r="J122">
            <v>200010804</v>
          </cell>
          <cell r="K122">
            <v>200013804</v>
          </cell>
          <cell r="L122">
            <v>200016304</v>
          </cell>
          <cell r="M122">
            <v>500012567</v>
          </cell>
          <cell r="N122">
            <v>500012667</v>
          </cell>
          <cell r="O122">
            <v>500012568</v>
          </cell>
          <cell r="P122">
            <v>500012668</v>
          </cell>
          <cell r="Q122">
            <v>11.056931675457074</v>
          </cell>
          <cell r="R122">
            <v>9.882914545766873</v>
          </cell>
          <cell r="S122">
            <v>4.6652632533993668</v>
          </cell>
          <cell r="T122">
            <v>4.6652632533993668</v>
          </cell>
          <cell r="U122">
            <v>11.056931675457074</v>
          </cell>
          <cell r="V122">
            <v>9.882914545766873</v>
          </cell>
          <cell r="W122">
            <v>50</v>
          </cell>
          <cell r="X122">
            <v>37.320472440944883</v>
          </cell>
          <cell r="Y122">
            <v>64.827362204724409</v>
          </cell>
          <cell r="Z122">
            <v>37.320472440944883</v>
          </cell>
          <cell r="AA122">
            <v>64.827362204724409</v>
          </cell>
          <cell r="AB122">
            <v>37.320472440944883</v>
          </cell>
          <cell r="AC122">
            <v>64.827362204724409</v>
          </cell>
          <cell r="AD122">
            <v>64.827362204724409</v>
          </cell>
          <cell r="AE122">
            <v>64.751968503937007</v>
          </cell>
          <cell r="AF122">
            <v>22.751968503937011</v>
          </cell>
          <cell r="AG122">
            <v>40.082677165354333</v>
          </cell>
          <cell r="AH122" t="str">
            <v>Y</v>
          </cell>
          <cell r="AI122">
            <v>41.740650000000002</v>
          </cell>
          <cell r="AJ122">
            <v>18.93</v>
          </cell>
          <cell r="AK122" t="str">
            <v>TBD</v>
          </cell>
          <cell r="AL122" t="str">
            <v>Y</v>
          </cell>
          <cell r="AM122">
            <v>200018403</v>
          </cell>
          <cell r="AN122">
            <v>200028403</v>
          </cell>
          <cell r="AO122">
            <v>200018303</v>
          </cell>
          <cell r="AP122">
            <v>200028303</v>
          </cell>
          <cell r="AQ122">
            <v>200018203</v>
          </cell>
          <cell r="AR122">
            <v>200028203</v>
          </cell>
          <cell r="AS122">
            <v>14.555555555555557</v>
          </cell>
          <cell r="AT122">
            <v>19.987381438876472</v>
          </cell>
          <cell r="AU122">
            <v>14.912410483320945</v>
          </cell>
          <cell r="AV122">
            <v>10.183419458492327</v>
          </cell>
          <cell r="AW122">
            <v>40886</v>
          </cell>
        </row>
        <row r="123">
          <cell r="C123" t="str">
            <v>Lumos - LS245-60P_S</v>
          </cell>
          <cell r="D123" t="str">
            <v>Standard Claw</v>
          </cell>
          <cell r="E123">
            <v>5000005</v>
          </cell>
          <cell r="F123">
            <v>39.055118110236222</v>
          </cell>
          <cell r="G123">
            <v>64.960629921259851</v>
          </cell>
          <cell r="H123">
            <v>1.9685039370078741</v>
          </cell>
          <cell r="I123">
            <v>200010704</v>
          </cell>
          <cell r="J123">
            <v>200010804</v>
          </cell>
          <cell r="K123">
            <v>200013804</v>
          </cell>
          <cell r="L123">
            <v>200016304</v>
          </cell>
          <cell r="M123">
            <v>500012569</v>
          </cell>
          <cell r="N123">
            <v>500012669</v>
          </cell>
          <cell r="O123">
            <v>500012569</v>
          </cell>
          <cell r="P123">
            <v>500012669</v>
          </cell>
          <cell r="Q123">
            <v>11.698754267040043</v>
          </cell>
          <cell r="R123">
            <v>10.455004839041191</v>
          </cell>
          <cell r="S123">
            <v>4.9330437584696041</v>
          </cell>
          <cell r="T123">
            <v>4.9330437584696041</v>
          </cell>
          <cell r="U123">
            <v>11.698754267040043</v>
          </cell>
          <cell r="V123">
            <v>10.455004839041191</v>
          </cell>
          <cell r="W123">
            <v>50</v>
          </cell>
          <cell r="X123">
            <v>35.2992125984252</v>
          </cell>
          <cell r="Y123">
            <v>66.43208661417323</v>
          </cell>
          <cell r="Z123">
            <v>35.2992125984252</v>
          </cell>
          <cell r="AA123">
            <v>66.43208661417323</v>
          </cell>
          <cell r="AB123">
            <v>35.2992125984252</v>
          </cell>
          <cell r="AC123">
            <v>66.43208661417323</v>
          </cell>
          <cell r="AD123">
            <v>66.43208661417323</v>
          </cell>
          <cell r="AE123">
            <v>65.460629921259851</v>
          </cell>
          <cell r="AF123">
            <v>23.460629921259848</v>
          </cell>
          <cell r="AG123">
            <v>39.925196850393704</v>
          </cell>
          <cell r="AH123" t="str">
            <v>N</v>
          </cell>
          <cell r="AI123">
            <v>43.659000000000006</v>
          </cell>
          <cell r="AJ123">
            <v>19.8</v>
          </cell>
          <cell r="AK123" t="str">
            <v>TBD</v>
          </cell>
          <cell r="AL123" t="str">
            <v>Y</v>
          </cell>
          <cell r="AM123">
            <v>200018403</v>
          </cell>
          <cell r="AN123">
            <v>200028403</v>
          </cell>
          <cell r="AO123">
            <v>200018303</v>
          </cell>
          <cell r="AP123">
            <v>200028303</v>
          </cell>
          <cell r="AQ123">
            <v>200018203</v>
          </cell>
          <cell r="AR123">
            <v>200028203</v>
          </cell>
          <cell r="AS123">
            <v>14.555555555555557</v>
          </cell>
          <cell r="AT123">
            <v>20.069602586497279</v>
          </cell>
          <cell r="AU123">
            <v>14.97260437224279</v>
          </cell>
          <cell r="AV123">
            <v>10.224017732239455</v>
          </cell>
          <cell r="AW123">
            <v>40714</v>
          </cell>
        </row>
        <row r="124">
          <cell r="C124" t="str">
            <v>Lumos - LS250-60M_S</v>
          </cell>
          <cell r="D124" t="str">
            <v>Standard Claw</v>
          </cell>
          <cell r="E124">
            <v>5000005</v>
          </cell>
          <cell r="F124">
            <v>39.055118110236222</v>
          </cell>
          <cell r="G124">
            <v>64.960629921259851</v>
          </cell>
          <cell r="H124">
            <v>1.7716535433070868</v>
          </cell>
          <cell r="I124">
            <v>200010704</v>
          </cell>
          <cell r="J124">
            <v>200010804</v>
          </cell>
          <cell r="K124">
            <v>200013804</v>
          </cell>
          <cell r="L124">
            <v>200016304</v>
          </cell>
          <cell r="M124">
            <v>500012568</v>
          </cell>
          <cell r="N124">
            <v>500012668</v>
          </cell>
          <cell r="O124">
            <v>500012568</v>
          </cell>
          <cell r="P124">
            <v>500012668</v>
          </cell>
          <cell r="Q124">
            <v>11.969571956649487</v>
          </cell>
          <cell r="R124">
            <v>10.696317919002421</v>
          </cell>
          <cell r="S124">
            <v>5.0458818336045681</v>
          </cell>
          <cell r="T124">
            <v>5.0458818336045681</v>
          </cell>
          <cell r="U124">
            <v>11.969571956649487</v>
          </cell>
          <cell r="V124">
            <v>10.696317919002421</v>
          </cell>
          <cell r="W124">
            <v>50</v>
          </cell>
          <cell r="X124">
            <v>34.511811023622052</v>
          </cell>
          <cell r="Y124">
            <v>65.644685039370088</v>
          </cell>
          <cell r="Z124">
            <v>34.511811023622052</v>
          </cell>
          <cell r="AA124">
            <v>65.644685039370088</v>
          </cell>
          <cell r="AB124">
            <v>34.511811023622052</v>
          </cell>
          <cell r="AC124">
            <v>65.644685039370088</v>
          </cell>
          <cell r="AD124">
            <v>65.644685039370088</v>
          </cell>
          <cell r="AE124">
            <v>65.460629921259851</v>
          </cell>
          <cell r="AF124">
            <v>23.460629921259848</v>
          </cell>
          <cell r="AG124">
            <v>39.137795275590555</v>
          </cell>
          <cell r="AH124" t="str">
            <v>N</v>
          </cell>
          <cell r="AI124">
            <v>41.895000000000003</v>
          </cell>
          <cell r="AJ124">
            <v>19</v>
          </cell>
          <cell r="AK124" t="str">
            <v>TBD</v>
          </cell>
          <cell r="AL124" t="str">
            <v>Y</v>
          </cell>
          <cell r="AM124">
            <v>200018403</v>
          </cell>
          <cell r="AN124">
            <v>200028403</v>
          </cell>
          <cell r="AO124">
            <v>200018303</v>
          </cell>
          <cell r="AP124">
            <v>200028303</v>
          </cell>
          <cell r="AQ124">
            <v>200018203</v>
          </cell>
          <cell r="AR124">
            <v>200028203</v>
          </cell>
          <cell r="AS124">
            <v>14.555555555555557</v>
          </cell>
          <cell r="AT124">
            <v>20.491314451863133</v>
          </cell>
          <cell r="AU124">
            <v>15.281106807722583</v>
          </cell>
          <cell r="AV124">
            <v>10.431991609637258</v>
          </cell>
          <cell r="AW124">
            <v>40714</v>
          </cell>
        </row>
        <row r="125">
          <cell r="C125" t="str">
            <v>Lumos - LS300-72M_S</v>
          </cell>
          <cell r="D125" t="str">
            <v>Standard Claw</v>
          </cell>
          <cell r="E125">
            <v>5000005</v>
          </cell>
          <cell r="F125">
            <v>39.055118110236222</v>
          </cell>
          <cell r="G125">
            <v>77.00787401574803</v>
          </cell>
          <cell r="H125">
            <v>1.9685039370078741</v>
          </cell>
          <cell r="I125">
            <v>200010707</v>
          </cell>
          <cell r="J125">
            <v>200010807</v>
          </cell>
          <cell r="K125">
            <v>200013807</v>
          </cell>
          <cell r="L125">
            <v>200016307</v>
          </cell>
          <cell r="M125">
            <v>500012579</v>
          </cell>
          <cell r="N125">
            <v>500012679</v>
          </cell>
          <cell r="O125">
            <v>500012580</v>
          </cell>
          <cell r="P125">
            <v>500012680</v>
          </cell>
          <cell r="Q125">
            <v>12.109774568126404</v>
          </cell>
          <cell r="R125">
            <v>10.821226454572365</v>
          </cell>
          <cell r="S125">
            <v>5.104261661709554</v>
          </cell>
          <cell r="T125">
            <v>5.104261661709554</v>
          </cell>
          <cell r="U125">
            <v>12.109774568126404</v>
          </cell>
          <cell r="V125">
            <v>10.821226454572365</v>
          </cell>
          <cell r="W125">
            <v>50</v>
          </cell>
          <cell r="X125">
            <v>34.118110236220474</v>
          </cell>
          <cell r="Y125">
            <v>77.298228346456696</v>
          </cell>
          <cell r="Z125">
            <v>34.118110236220474</v>
          </cell>
          <cell r="AA125">
            <v>77.298228346456696</v>
          </cell>
          <cell r="AB125">
            <v>34.118110236220474</v>
          </cell>
          <cell r="AC125">
            <v>77.298228346456696</v>
          </cell>
          <cell r="AD125">
            <v>77.298228346456696</v>
          </cell>
          <cell r="AE125">
            <v>77.507874015748044</v>
          </cell>
          <cell r="AF125">
            <v>35.507874015748037</v>
          </cell>
          <cell r="AG125">
            <v>38.744094488188978</v>
          </cell>
          <cell r="AH125" t="str">
            <v>N</v>
          </cell>
          <cell r="AI125">
            <v>59.535000000000004</v>
          </cell>
          <cell r="AJ125">
            <v>27</v>
          </cell>
          <cell r="AK125" t="str">
            <v>TBD</v>
          </cell>
          <cell r="AL125" t="str">
            <v>Y</v>
          </cell>
          <cell r="AM125">
            <v>200018407</v>
          </cell>
          <cell r="AN125">
            <v>200028407</v>
          </cell>
          <cell r="AO125">
            <v>200018307</v>
          </cell>
          <cell r="AP125">
            <v>200028307</v>
          </cell>
          <cell r="AQ125">
            <v>200018207</v>
          </cell>
          <cell r="AR125">
            <v>200028207</v>
          </cell>
          <cell r="AS125">
            <v>17.222222222222221</v>
          </cell>
          <cell r="AT125">
            <v>20.709050271134394</v>
          </cell>
          <cell r="AU125">
            <v>15.440237057435686</v>
          </cell>
          <cell r="AV125">
            <v>10.539202660509616</v>
          </cell>
          <cell r="AW125">
            <v>40714</v>
          </cell>
        </row>
        <row r="126">
          <cell r="C126" t="str">
            <v>Mage - PowerTec 180-190 - 5 MI- MH_S</v>
          </cell>
          <cell r="D126" t="str">
            <v>Standard Claw</v>
          </cell>
          <cell r="E126">
            <v>5000005</v>
          </cell>
          <cell r="F126">
            <v>31.811023622047244</v>
          </cell>
          <cell r="G126">
            <v>62.204724409448822</v>
          </cell>
          <cell r="H126">
            <v>1.7716535433070868</v>
          </cell>
          <cell r="I126">
            <v>200010704</v>
          </cell>
          <cell r="J126">
            <v>200010804</v>
          </cell>
          <cell r="K126">
            <v>200013804</v>
          </cell>
          <cell r="L126">
            <v>200016304</v>
          </cell>
          <cell r="M126">
            <v>500012566</v>
          </cell>
          <cell r="N126">
            <v>500012666</v>
          </cell>
          <cell r="O126">
            <v>500012566</v>
          </cell>
          <cell r="P126">
            <v>500012666</v>
          </cell>
          <cell r="Q126">
            <v>14.780819563929326</v>
          </cell>
          <cell r="R126">
            <v>13.198114568872393</v>
          </cell>
          <cell r="S126">
            <v>6.211295317501194</v>
          </cell>
          <cell r="T126">
            <v>6.211295317501194</v>
          </cell>
          <cell r="U126">
            <v>14.780819563929326</v>
          </cell>
          <cell r="V126">
            <v>13.198114568872393</v>
          </cell>
          <cell r="W126">
            <v>50</v>
          </cell>
          <cell r="X126">
            <v>28.055118110236222</v>
          </cell>
          <cell r="Y126">
            <v>63.676181102362207</v>
          </cell>
          <cell r="Z126">
            <v>28.055118110236222</v>
          </cell>
          <cell r="AA126">
            <v>63.676181102362207</v>
          </cell>
          <cell r="AB126">
            <v>28.055118110236222</v>
          </cell>
          <cell r="AC126">
            <v>63.676181102362207</v>
          </cell>
          <cell r="AD126">
            <v>63.676181102362207</v>
          </cell>
          <cell r="AE126">
            <v>62.704724409448822</v>
          </cell>
          <cell r="AF126">
            <v>20.704724409448822</v>
          </cell>
          <cell r="AG126">
            <v>32.681102362204726</v>
          </cell>
          <cell r="AH126" t="str">
            <v>N</v>
          </cell>
          <cell r="AI126">
            <v>34.177500000000002</v>
          </cell>
          <cell r="AJ126">
            <v>15.5</v>
          </cell>
          <cell r="AK126" t="str">
            <v>TBD</v>
          </cell>
          <cell r="AL126" t="str">
            <v>Y</v>
          </cell>
          <cell r="AM126">
            <v>200018402</v>
          </cell>
          <cell r="AN126">
            <v>200028402</v>
          </cell>
          <cell r="AO126">
            <v>200018302</v>
          </cell>
          <cell r="AP126">
            <v>200028302</v>
          </cell>
          <cell r="AQ126">
            <v>200018202</v>
          </cell>
          <cell r="AR126">
            <v>200028202</v>
          </cell>
          <cell r="AS126">
            <v>13.888888888888888</v>
          </cell>
          <cell r="AT126">
            <v>24.785769092963804</v>
          </cell>
          <cell r="AU126">
            <v>18.39852585667062</v>
          </cell>
          <cell r="AV126">
            <v>12.523577389800897</v>
          </cell>
          <cell r="AW126">
            <v>40638</v>
          </cell>
        </row>
        <row r="127">
          <cell r="C127" t="str">
            <v>Mage - 220-230 6PI_S</v>
          </cell>
          <cell r="D127" t="str">
            <v>Standard Claw</v>
          </cell>
          <cell r="E127">
            <v>5000005</v>
          </cell>
          <cell r="F127">
            <v>39.055118110236222</v>
          </cell>
          <cell r="G127">
            <v>64.960629921259851</v>
          </cell>
          <cell r="H127">
            <v>1.9685039370078741</v>
          </cell>
          <cell r="I127">
            <v>200010704</v>
          </cell>
          <cell r="J127">
            <v>200010804</v>
          </cell>
          <cell r="K127">
            <v>200013804</v>
          </cell>
          <cell r="L127">
            <v>200016304</v>
          </cell>
          <cell r="M127">
            <v>500012569</v>
          </cell>
          <cell r="N127">
            <v>500012669</v>
          </cell>
          <cell r="O127">
            <v>500012569</v>
          </cell>
          <cell r="P127">
            <v>500012669</v>
          </cell>
          <cell r="Q127">
            <v>11.698754267040043</v>
          </cell>
          <cell r="R127">
            <v>10.455004839041191</v>
          </cell>
          <cell r="S127">
            <v>4.9330437584696041</v>
          </cell>
          <cell r="T127">
            <v>4.9330437584696041</v>
          </cell>
          <cell r="U127">
            <v>11.698754267040043</v>
          </cell>
          <cell r="V127">
            <v>10.455004839041191</v>
          </cell>
          <cell r="W127">
            <v>50</v>
          </cell>
          <cell r="X127">
            <v>35.2992125984252</v>
          </cell>
          <cell r="Y127">
            <v>66.43208661417323</v>
          </cell>
          <cell r="Z127">
            <v>35.2992125984252</v>
          </cell>
          <cell r="AA127">
            <v>66.43208661417323</v>
          </cell>
          <cell r="AB127">
            <v>35.2992125984252</v>
          </cell>
          <cell r="AC127">
            <v>66.43208661417323</v>
          </cell>
          <cell r="AD127">
            <v>66.43208661417323</v>
          </cell>
          <cell r="AE127">
            <v>65.460629921259851</v>
          </cell>
          <cell r="AF127">
            <v>23.460629921259848</v>
          </cell>
          <cell r="AG127">
            <v>39.925196850393704</v>
          </cell>
          <cell r="AH127" t="str">
            <v>N</v>
          </cell>
          <cell r="AI127">
            <v>44.011800000000001</v>
          </cell>
          <cell r="AJ127">
            <v>19.96</v>
          </cell>
          <cell r="AK127" t="str">
            <v>TBD</v>
          </cell>
          <cell r="AL127" t="str">
            <v>Y</v>
          </cell>
          <cell r="AM127">
            <v>200018403</v>
          </cell>
          <cell r="AN127">
            <v>200028403</v>
          </cell>
          <cell r="AO127">
            <v>200018303</v>
          </cell>
          <cell r="AP127">
            <v>200028303</v>
          </cell>
          <cell r="AQ127">
            <v>200018203</v>
          </cell>
          <cell r="AR127">
            <v>200028203</v>
          </cell>
          <cell r="AS127">
            <v>14.555555555555557</v>
          </cell>
          <cell r="AT127">
            <v>20.069602586497279</v>
          </cell>
          <cell r="AU127">
            <v>14.97260437224279</v>
          </cell>
          <cell r="AV127">
            <v>10.224017732239455</v>
          </cell>
          <cell r="AW127">
            <v>40638</v>
          </cell>
        </row>
        <row r="128">
          <cell r="C128" t="str">
            <v>Mage - PowerTec 220-230 6PJ_S</v>
          </cell>
          <cell r="D128" t="str">
            <v>Standard Claw</v>
          </cell>
          <cell r="E128">
            <v>5000005</v>
          </cell>
          <cell r="F128">
            <v>39.055118110236222</v>
          </cell>
          <cell r="G128">
            <v>65.157480314960637</v>
          </cell>
          <cell r="H128">
            <v>1.7716535433070868</v>
          </cell>
          <cell r="I128">
            <v>200010704</v>
          </cell>
          <cell r="J128">
            <v>200010804</v>
          </cell>
          <cell r="K128">
            <v>200013804</v>
          </cell>
          <cell r="L128">
            <v>200016304</v>
          </cell>
          <cell r="M128">
            <v>500012569</v>
          </cell>
          <cell r="N128">
            <v>500012669</v>
          </cell>
          <cell r="O128">
            <v>500012569</v>
          </cell>
          <cell r="P128">
            <v>500012669</v>
          </cell>
          <cell r="Q128">
            <v>11.698754267040043</v>
          </cell>
          <cell r="R128">
            <v>10.455004839041191</v>
          </cell>
          <cell r="S128">
            <v>4.9330437584696041</v>
          </cell>
          <cell r="T128">
            <v>4.9330437584696041</v>
          </cell>
          <cell r="U128">
            <v>11.698754267040043</v>
          </cell>
          <cell r="V128">
            <v>10.455004839041191</v>
          </cell>
          <cell r="W128">
            <v>50</v>
          </cell>
          <cell r="X128">
            <v>35.2992125984252</v>
          </cell>
          <cell r="Y128">
            <v>66.628937007874015</v>
          </cell>
          <cell r="Z128">
            <v>35.2992125984252</v>
          </cell>
          <cell r="AA128">
            <v>66.628937007874015</v>
          </cell>
          <cell r="AB128">
            <v>35.2992125984252</v>
          </cell>
          <cell r="AC128">
            <v>66.628937007874015</v>
          </cell>
          <cell r="AD128">
            <v>66.628937007874015</v>
          </cell>
          <cell r="AE128">
            <v>65.657480314960637</v>
          </cell>
          <cell r="AF128">
            <v>23.657480314960633</v>
          </cell>
          <cell r="AG128">
            <v>39.925196850393704</v>
          </cell>
          <cell r="AH128" t="str">
            <v>N</v>
          </cell>
          <cell r="AI128">
            <v>44.011800000000001</v>
          </cell>
          <cell r="AJ128">
            <v>19.96</v>
          </cell>
          <cell r="AK128" t="str">
            <v>TBD</v>
          </cell>
          <cell r="AL128" t="str">
            <v>Y</v>
          </cell>
          <cell r="AM128">
            <v>200018403</v>
          </cell>
          <cell r="AN128">
            <v>200028403</v>
          </cell>
          <cell r="AO128">
            <v>200018303</v>
          </cell>
          <cell r="AP128">
            <v>200028303</v>
          </cell>
          <cell r="AQ128">
            <v>200018203</v>
          </cell>
          <cell r="AR128">
            <v>200028203</v>
          </cell>
          <cell r="AS128">
            <v>14.555555555555557</v>
          </cell>
          <cell r="AT128">
            <v>20.069602586497279</v>
          </cell>
          <cell r="AU128">
            <v>14.97260437224279</v>
          </cell>
          <cell r="AV128">
            <v>10.224017732239455</v>
          </cell>
          <cell r="AW128">
            <v>40638</v>
          </cell>
        </row>
        <row r="129">
          <cell r="C129" t="str">
            <v>Mage - 230-235-PH-US_S</v>
          </cell>
          <cell r="D129" t="str">
            <v>Standard Claw</v>
          </cell>
          <cell r="E129">
            <v>5000005</v>
          </cell>
          <cell r="F129">
            <v>39.055118110236222</v>
          </cell>
          <cell r="G129">
            <v>64.409448818897644</v>
          </cell>
          <cell r="H129">
            <v>1.7716535433070868</v>
          </cell>
          <cell r="I129">
            <v>200010704</v>
          </cell>
          <cell r="J129">
            <v>200010804</v>
          </cell>
          <cell r="K129">
            <v>200013804</v>
          </cell>
          <cell r="L129">
            <v>200016304</v>
          </cell>
          <cell r="M129">
            <v>500012568</v>
          </cell>
          <cell r="N129">
            <v>500012668</v>
          </cell>
          <cell r="O129">
            <v>500012569</v>
          </cell>
          <cell r="P129">
            <v>500012669</v>
          </cell>
          <cell r="Q129">
            <v>11.698754267040043</v>
          </cell>
          <cell r="R129">
            <v>10.455004839041191</v>
          </cell>
          <cell r="S129">
            <v>4.9330437584696041</v>
          </cell>
          <cell r="T129">
            <v>4.9330437584696041</v>
          </cell>
          <cell r="U129">
            <v>11.698754267040043</v>
          </cell>
          <cell r="V129">
            <v>10.455004839041191</v>
          </cell>
          <cell r="W129">
            <v>50</v>
          </cell>
          <cell r="X129">
            <v>35.2992125984252</v>
          </cell>
          <cell r="Y129">
            <v>65.880905511811022</v>
          </cell>
          <cell r="Z129">
            <v>35.2992125984252</v>
          </cell>
          <cell r="AA129">
            <v>65.880905511811022</v>
          </cell>
          <cell r="AB129">
            <v>35.2992125984252</v>
          </cell>
          <cell r="AC129">
            <v>65.880905511811022</v>
          </cell>
          <cell r="AD129">
            <v>65.880905511811022</v>
          </cell>
          <cell r="AE129">
            <v>64.909448818897644</v>
          </cell>
          <cell r="AF129">
            <v>22.909448818897644</v>
          </cell>
          <cell r="AG129">
            <v>39.925196850393704</v>
          </cell>
          <cell r="AH129" t="str">
            <v>N</v>
          </cell>
          <cell r="AI129">
            <v>39.69</v>
          </cell>
          <cell r="AJ129">
            <v>18</v>
          </cell>
          <cell r="AK129" t="str">
            <v>TBD</v>
          </cell>
          <cell r="AL129" t="str">
            <v>Y</v>
          </cell>
          <cell r="AM129">
            <v>200018403</v>
          </cell>
          <cell r="AN129">
            <v>200028403</v>
          </cell>
          <cell r="AO129">
            <v>200018303</v>
          </cell>
          <cell r="AP129">
            <v>200028303</v>
          </cell>
          <cell r="AQ129">
            <v>200018203</v>
          </cell>
          <cell r="AR129">
            <v>200028203</v>
          </cell>
          <cell r="AS129">
            <v>14.555555555555557</v>
          </cell>
          <cell r="AT129">
            <v>20.069602586497279</v>
          </cell>
          <cell r="AU129">
            <v>14.97260437224279</v>
          </cell>
          <cell r="AV129">
            <v>10.224017732239455</v>
          </cell>
          <cell r="AW129">
            <v>40886</v>
          </cell>
        </row>
        <row r="130">
          <cell r="C130" t="str">
            <v>Mitsubishi - PV-UJ6 SERIES 210-225 GA_S</v>
          </cell>
          <cell r="D130" t="str">
            <v>Standard Claw</v>
          </cell>
          <cell r="E130">
            <v>5000005</v>
          </cell>
          <cell r="F130">
            <v>39.133858267716541</v>
          </cell>
          <cell r="G130">
            <v>65.275590551181111</v>
          </cell>
          <cell r="H130">
            <v>1.8110236220472442</v>
          </cell>
          <cell r="I130">
            <v>200010704</v>
          </cell>
          <cell r="J130">
            <v>200010804</v>
          </cell>
          <cell r="K130">
            <v>200013804</v>
          </cell>
          <cell r="L130">
            <v>200016304</v>
          </cell>
          <cell r="M130">
            <v>500012569</v>
          </cell>
          <cell r="N130">
            <v>500012669</v>
          </cell>
          <cell r="O130">
            <v>500012570</v>
          </cell>
          <cell r="P130">
            <v>500012670</v>
          </cell>
          <cell r="Q130">
            <v>11.593851817515533</v>
          </cell>
          <cell r="R130">
            <v>10.361517999726759</v>
          </cell>
          <cell r="S130">
            <v>4.8893107769288457</v>
          </cell>
          <cell r="T130">
            <v>4.8893107769288457</v>
          </cell>
          <cell r="U130">
            <v>11.593851817515533</v>
          </cell>
          <cell r="V130">
            <v>10.361517999726759</v>
          </cell>
          <cell r="W130">
            <v>50</v>
          </cell>
          <cell r="X130">
            <v>35.614173228346459</v>
          </cell>
          <cell r="Y130">
            <v>66.983267716535437</v>
          </cell>
          <cell r="Z130">
            <v>35.614173228346459</v>
          </cell>
          <cell r="AA130">
            <v>66.983267716535437</v>
          </cell>
          <cell r="AB130">
            <v>35.614173228346459</v>
          </cell>
          <cell r="AC130">
            <v>66.983267716535437</v>
          </cell>
          <cell r="AD130">
            <v>66.983267716535437</v>
          </cell>
          <cell r="AE130">
            <v>65.775590551181111</v>
          </cell>
          <cell r="AF130">
            <v>23.775590551181107</v>
          </cell>
          <cell r="AG130">
            <v>40.240157480314963</v>
          </cell>
          <cell r="AH130" t="str">
            <v>Y</v>
          </cell>
          <cell r="AI130">
            <v>44.1</v>
          </cell>
          <cell r="AJ130">
            <v>20</v>
          </cell>
          <cell r="AK130" t="str">
            <v>TBD</v>
          </cell>
          <cell r="AL130" t="str">
            <v>Y</v>
          </cell>
          <cell r="AM130">
            <v>200018403</v>
          </cell>
          <cell r="AN130">
            <v>200028403</v>
          </cell>
          <cell r="AO130">
            <v>200018303</v>
          </cell>
          <cell r="AP130">
            <v>200028303</v>
          </cell>
          <cell r="AQ130">
            <v>200018203</v>
          </cell>
          <cell r="AR130">
            <v>200028203</v>
          </cell>
          <cell r="AS130">
            <v>14.555555555555557</v>
          </cell>
          <cell r="AT130">
            <v>19.905846229389603</v>
          </cell>
          <cell r="AU130">
            <v>14.852704372847956</v>
          </cell>
          <cell r="AV130">
            <v>10.143144054640397</v>
          </cell>
          <cell r="AW130">
            <v>40886</v>
          </cell>
        </row>
        <row r="131">
          <cell r="C131" t="str">
            <v>Mitsubishi - PV-UJ225-235GA6 - PV-MJU 240-255 GB_S</v>
          </cell>
          <cell r="D131" t="str">
            <v>Standard Claw</v>
          </cell>
          <cell r="E131">
            <v>5000005</v>
          </cell>
          <cell r="F131">
            <v>40.118110236220474</v>
          </cell>
          <cell r="G131">
            <v>63.976377952755911</v>
          </cell>
          <cell r="H131">
            <v>1.8110236220472442</v>
          </cell>
          <cell r="I131">
            <v>200010704</v>
          </cell>
          <cell r="J131">
            <v>200010804</v>
          </cell>
          <cell r="K131">
            <v>200013804</v>
          </cell>
          <cell r="L131">
            <v>200016304</v>
          </cell>
          <cell r="M131">
            <v>500012568</v>
          </cell>
          <cell r="N131">
            <v>500012668</v>
          </cell>
          <cell r="O131">
            <v>500012568</v>
          </cell>
          <cell r="P131">
            <v>500012668</v>
          </cell>
          <cell r="Q131">
            <v>11.277905669991306</v>
          </cell>
          <cell r="R131">
            <v>10.079910128313664</v>
          </cell>
          <cell r="S131">
            <v>4.7575138864553095</v>
          </cell>
          <cell r="T131">
            <v>4.7575138864553095</v>
          </cell>
          <cell r="U131">
            <v>11.277905669991306</v>
          </cell>
          <cell r="V131">
            <v>10.079910128313664</v>
          </cell>
          <cell r="W131">
            <v>50</v>
          </cell>
          <cell r="X131">
            <v>36.5984251968504</v>
          </cell>
          <cell r="Y131">
            <v>65.684055118110237</v>
          </cell>
          <cell r="Z131">
            <v>36.5984251968504</v>
          </cell>
          <cell r="AA131">
            <v>65.684055118110237</v>
          </cell>
          <cell r="AB131">
            <v>36.5984251968504</v>
          </cell>
          <cell r="AC131">
            <v>65.684055118110237</v>
          </cell>
          <cell r="AD131">
            <v>65.684055118110237</v>
          </cell>
          <cell r="AE131">
            <v>64.476377952755911</v>
          </cell>
          <cell r="AF131">
            <v>22.476377952755911</v>
          </cell>
          <cell r="AG131">
            <v>41.224409448818896</v>
          </cell>
          <cell r="AH131" t="str">
            <v>Y</v>
          </cell>
          <cell r="AI131">
            <v>44.1</v>
          </cell>
          <cell r="AJ131">
            <v>20</v>
          </cell>
          <cell r="AK131" t="str">
            <v>TBD</v>
          </cell>
          <cell r="AL131" t="str">
            <v>Y</v>
          </cell>
          <cell r="AM131">
            <v>200018402</v>
          </cell>
          <cell r="AN131">
            <v>200028402</v>
          </cell>
          <cell r="AO131">
            <v>200018302</v>
          </cell>
          <cell r="AP131">
            <v>200028302</v>
          </cell>
          <cell r="AQ131">
            <v>200018202</v>
          </cell>
          <cell r="AR131">
            <v>200028202</v>
          </cell>
          <cell r="AS131">
            <v>13.888888888888888</v>
          </cell>
          <cell r="AT131">
            <v>19.411259351746224</v>
          </cell>
          <cell r="AU131">
            <v>14.490227989182776</v>
          </cell>
          <cell r="AV131">
            <v>9.8985024425959072</v>
          </cell>
          <cell r="AW131">
            <v>40886</v>
          </cell>
        </row>
        <row r="132">
          <cell r="C132" t="str">
            <v>Motech - IM54 205-220_S</v>
          </cell>
          <cell r="D132" t="str">
            <v>Standard Claw</v>
          </cell>
          <cell r="E132">
            <v>5000005</v>
          </cell>
          <cell r="F132">
            <v>39.055118110236222</v>
          </cell>
          <cell r="G132">
            <v>58.740157480314963</v>
          </cell>
          <cell r="H132">
            <v>1.9685039370078741</v>
          </cell>
          <cell r="I132">
            <v>200010703</v>
          </cell>
          <cell r="J132">
            <v>200010803</v>
          </cell>
          <cell r="K132">
            <v>200013803</v>
          </cell>
          <cell r="L132">
            <v>200016303</v>
          </cell>
          <cell r="M132">
            <v>500012563</v>
          </cell>
          <cell r="N132">
            <v>500012663</v>
          </cell>
          <cell r="O132">
            <v>500012563</v>
          </cell>
          <cell r="P132">
            <v>500012663</v>
          </cell>
          <cell r="Q132">
            <v>11.698754267040043</v>
          </cell>
          <cell r="R132">
            <v>10.455004839041191</v>
          </cell>
          <cell r="S132">
            <v>4.9330437584696041</v>
          </cell>
          <cell r="T132">
            <v>4.9330437584696041</v>
          </cell>
          <cell r="U132">
            <v>11.698754267040043</v>
          </cell>
          <cell r="V132">
            <v>10.455004839041191</v>
          </cell>
          <cell r="W132">
            <v>50</v>
          </cell>
          <cell r="X132">
            <v>35.2992125984252</v>
          </cell>
          <cell r="Y132">
            <v>60.211614173228348</v>
          </cell>
          <cell r="Z132">
            <v>35.2992125984252</v>
          </cell>
          <cell r="AA132">
            <v>60.211614173228348</v>
          </cell>
          <cell r="AB132">
            <v>35.2992125984252</v>
          </cell>
          <cell r="AC132">
            <v>60.211614173228348</v>
          </cell>
          <cell r="AD132">
            <v>60.211614173228348</v>
          </cell>
          <cell r="AE132">
            <v>59.240157480314963</v>
          </cell>
          <cell r="AF132">
            <v>17.240157480314966</v>
          </cell>
          <cell r="AG132">
            <v>39.925196850393704</v>
          </cell>
          <cell r="AH132" t="str">
            <v>Y</v>
          </cell>
          <cell r="AI132">
            <v>41.895000000000003</v>
          </cell>
          <cell r="AJ132">
            <v>19</v>
          </cell>
          <cell r="AK132" t="str">
            <v>TBD</v>
          </cell>
          <cell r="AL132" t="str">
            <v>Y</v>
          </cell>
          <cell r="AM132">
            <v>200018401</v>
          </cell>
          <cell r="AN132">
            <v>200028401</v>
          </cell>
          <cell r="AO132">
            <v>200018301</v>
          </cell>
          <cell r="AP132">
            <v>200028301</v>
          </cell>
          <cell r="AQ132">
            <v>200018201</v>
          </cell>
          <cell r="AR132">
            <v>200028201</v>
          </cell>
          <cell r="AS132">
            <v>13.22222222222222</v>
          </cell>
          <cell r="AT132">
            <v>20.069602586497279</v>
          </cell>
          <cell r="AU132">
            <v>14.97260437224279</v>
          </cell>
          <cell r="AV132">
            <v>10.224017732239455</v>
          </cell>
          <cell r="AW132">
            <v>40966</v>
          </cell>
        </row>
        <row r="133">
          <cell r="C133" t="str">
            <v>Motech - IM60 230-245_S</v>
          </cell>
          <cell r="D133" t="str">
            <v>Standard Claw</v>
          </cell>
          <cell r="E133">
            <v>5000005</v>
          </cell>
          <cell r="F133">
            <v>39.055118110236222</v>
          </cell>
          <cell r="G133">
            <v>64.960629921259851</v>
          </cell>
          <cell r="H133">
            <v>1.9685039370078741</v>
          </cell>
          <cell r="I133">
            <v>200010704</v>
          </cell>
          <cell r="J133">
            <v>200010804</v>
          </cell>
          <cell r="K133">
            <v>200013804</v>
          </cell>
          <cell r="L133">
            <v>200016304</v>
          </cell>
          <cell r="M133">
            <v>500012569</v>
          </cell>
          <cell r="N133">
            <v>500012669</v>
          </cell>
          <cell r="O133">
            <v>500012569</v>
          </cell>
          <cell r="P133">
            <v>500012669</v>
          </cell>
          <cell r="Q133">
            <v>11.698754267040043</v>
          </cell>
          <cell r="R133">
            <v>10.455004839041191</v>
          </cell>
          <cell r="S133">
            <v>4.9330437584696041</v>
          </cell>
          <cell r="T133">
            <v>4.9330437584696041</v>
          </cell>
          <cell r="U133">
            <v>11.698754267040043</v>
          </cell>
          <cell r="V133">
            <v>10.455004839041191</v>
          </cell>
          <cell r="W133">
            <v>50</v>
          </cell>
          <cell r="X133">
            <v>35.2992125984252</v>
          </cell>
          <cell r="Y133">
            <v>66.43208661417323</v>
          </cell>
          <cell r="Z133">
            <v>35.2992125984252</v>
          </cell>
          <cell r="AA133">
            <v>66.43208661417323</v>
          </cell>
          <cell r="AB133">
            <v>35.2992125984252</v>
          </cell>
          <cell r="AC133">
            <v>66.43208661417323</v>
          </cell>
          <cell r="AD133">
            <v>66.43208661417323</v>
          </cell>
          <cell r="AE133">
            <v>65.460629921259851</v>
          </cell>
          <cell r="AF133">
            <v>23.460629921259848</v>
          </cell>
          <cell r="AG133">
            <v>39.925196850393704</v>
          </cell>
          <cell r="AH133" t="str">
            <v>Y</v>
          </cell>
          <cell r="AI133">
            <v>43.659000000000006</v>
          </cell>
          <cell r="AJ133">
            <v>19.8</v>
          </cell>
          <cell r="AK133" t="str">
            <v>TBD</v>
          </cell>
          <cell r="AL133" t="str">
            <v>Y</v>
          </cell>
          <cell r="AM133">
            <v>200018403</v>
          </cell>
          <cell r="AN133">
            <v>200028403</v>
          </cell>
          <cell r="AO133">
            <v>200018303</v>
          </cell>
          <cell r="AP133">
            <v>200028303</v>
          </cell>
          <cell r="AQ133">
            <v>200018203</v>
          </cell>
          <cell r="AR133">
            <v>200028203</v>
          </cell>
          <cell r="AS133">
            <v>14.555555555555557</v>
          </cell>
          <cell r="AT133">
            <v>20.069602586497279</v>
          </cell>
          <cell r="AU133">
            <v>14.97260437224279</v>
          </cell>
          <cell r="AV133">
            <v>10.224017732239455</v>
          </cell>
          <cell r="AW133">
            <v>41254</v>
          </cell>
        </row>
        <row r="134">
          <cell r="C134" t="str">
            <v>Motech - IM72 280-295_S</v>
          </cell>
          <cell r="D134" t="str">
            <v>Standard Claw</v>
          </cell>
          <cell r="E134">
            <v>5000005</v>
          </cell>
          <cell r="F134">
            <v>39.055118110236222</v>
          </cell>
          <cell r="G134">
            <v>77.401574803149614</v>
          </cell>
          <cell r="H134">
            <v>1.9685039370078741</v>
          </cell>
          <cell r="I134">
            <v>200010707</v>
          </cell>
          <cell r="J134">
            <v>200010807</v>
          </cell>
          <cell r="K134">
            <v>200013807</v>
          </cell>
          <cell r="L134">
            <v>200016307</v>
          </cell>
          <cell r="M134">
            <v>500012581</v>
          </cell>
          <cell r="N134">
            <v>500012681</v>
          </cell>
          <cell r="O134">
            <v>500012581</v>
          </cell>
          <cell r="P134">
            <v>500012681</v>
          </cell>
          <cell r="Q134">
            <v>11.698754267040043</v>
          </cell>
          <cell r="R134">
            <v>10.455004839041191</v>
          </cell>
          <cell r="S134">
            <v>4.9330437584696041</v>
          </cell>
          <cell r="T134">
            <v>4.9330437584696041</v>
          </cell>
          <cell r="U134">
            <v>11.698754267040043</v>
          </cell>
          <cell r="V134">
            <v>10.455004839041191</v>
          </cell>
          <cell r="W134">
            <v>50</v>
          </cell>
          <cell r="X134">
            <v>35.2992125984252</v>
          </cell>
          <cell r="Y134">
            <v>78.873031496062993</v>
          </cell>
          <cell r="Z134">
            <v>35.2992125984252</v>
          </cell>
          <cell r="AA134">
            <v>78.873031496062993</v>
          </cell>
          <cell r="AB134">
            <v>35.2992125984252</v>
          </cell>
          <cell r="AC134">
            <v>78.873031496062993</v>
          </cell>
          <cell r="AD134">
            <v>78.873031496062993</v>
          </cell>
          <cell r="AE134">
            <v>77.901574803149614</v>
          </cell>
          <cell r="AF134">
            <v>35.901574803149614</v>
          </cell>
          <cell r="AG134">
            <v>39.925196850393704</v>
          </cell>
          <cell r="AH134" t="str">
            <v>Y</v>
          </cell>
          <cell r="AI134">
            <v>59.535000000000004</v>
          </cell>
          <cell r="AJ134">
            <v>27</v>
          </cell>
          <cell r="AK134" t="str">
            <v>TBD</v>
          </cell>
          <cell r="AL134" t="str">
            <v>Y</v>
          </cell>
          <cell r="AM134">
            <v>200018407</v>
          </cell>
          <cell r="AN134">
            <v>200028407</v>
          </cell>
          <cell r="AO134">
            <v>200018307</v>
          </cell>
          <cell r="AP134">
            <v>200028307</v>
          </cell>
          <cell r="AQ134">
            <v>200018207</v>
          </cell>
          <cell r="AR134">
            <v>200028207</v>
          </cell>
          <cell r="AS134">
            <v>17.222222222222221</v>
          </cell>
          <cell r="AT134">
            <v>20.069602586497279</v>
          </cell>
          <cell r="AU134">
            <v>14.97260437224279</v>
          </cell>
          <cell r="AV134">
            <v>10.224017732239455</v>
          </cell>
          <cell r="AW134">
            <v>40966</v>
          </cell>
        </row>
        <row r="135">
          <cell r="C135" t="str">
            <v>MX Solar - Suncase MX60 240-250_M</v>
          </cell>
          <cell r="D135" t="str">
            <v>Short Clamp Multi Claw</v>
          </cell>
          <cell r="E135">
            <v>500000701</v>
          </cell>
          <cell r="F135">
            <v>39.566929133858267</v>
          </cell>
          <cell r="G135">
            <v>65.551181102362207</v>
          </cell>
          <cell r="H135">
            <v>1.6929133858267718</v>
          </cell>
          <cell r="I135">
            <v>200010704</v>
          </cell>
          <cell r="J135">
            <v>200010804</v>
          </cell>
          <cell r="K135">
            <v>200013804</v>
          </cell>
          <cell r="L135">
            <v>200016304</v>
          </cell>
          <cell r="M135">
            <v>500012568</v>
          </cell>
          <cell r="N135">
            <v>500012668</v>
          </cell>
          <cell r="O135">
            <v>500012569</v>
          </cell>
          <cell r="P135">
            <v>500012669</v>
          </cell>
          <cell r="Q135">
            <v>10.905502819060908</v>
          </cell>
          <cell r="R135">
            <v>9.7478999668070578</v>
          </cell>
          <cell r="S135">
            <v>4.6020125984812843</v>
          </cell>
          <cell r="T135">
            <v>4.6020125984812843</v>
          </cell>
          <cell r="U135">
            <v>10.905502819060908</v>
          </cell>
          <cell r="V135">
            <v>9.7478999668070578</v>
          </cell>
          <cell r="W135">
            <v>50</v>
          </cell>
          <cell r="X135">
            <v>37.832283464566935</v>
          </cell>
          <cell r="Y135">
            <v>66.126574803149609</v>
          </cell>
          <cell r="Z135">
            <v>37.832283464566935</v>
          </cell>
          <cell r="AA135">
            <v>66.126574803149609</v>
          </cell>
          <cell r="AB135">
            <v>37.832283464566935</v>
          </cell>
          <cell r="AC135">
            <v>66.126574803149609</v>
          </cell>
          <cell r="AD135">
            <v>66.126574803149609</v>
          </cell>
          <cell r="AE135">
            <v>66.051181102362207</v>
          </cell>
          <cell r="AF135">
            <v>24.051181102362211</v>
          </cell>
          <cell r="AG135">
            <v>40.744094488188985</v>
          </cell>
          <cell r="AH135" t="str">
            <v>Y</v>
          </cell>
          <cell r="AI135">
            <v>48.510000000000005</v>
          </cell>
          <cell r="AJ135">
            <v>22</v>
          </cell>
          <cell r="AK135" t="str">
            <v>TBD</v>
          </cell>
          <cell r="AL135" t="str">
            <v>Y</v>
          </cell>
          <cell r="AM135">
            <v>200018403</v>
          </cell>
          <cell r="AN135">
            <v>200028403</v>
          </cell>
          <cell r="AO135">
            <v>200018303</v>
          </cell>
          <cell r="AP135">
            <v>200028303</v>
          </cell>
          <cell r="AQ135">
            <v>200018203</v>
          </cell>
          <cell r="AR135">
            <v>200028203</v>
          </cell>
          <cell r="AS135">
            <v>14.555555555555557</v>
          </cell>
          <cell r="AT135">
            <v>19.649442184899272</v>
          </cell>
          <cell r="AU135">
            <v>14.664853709841291</v>
          </cell>
          <cell r="AV135">
            <v>10.016387914612645</v>
          </cell>
          <cell r="AW135">
            <v>40966</v>
          </cell>
        </row>
        <row r="136">
          <cell r="C136" t="str">
            <v>NB Solar - Ningbo - Sun Earth Solar Power - TPB 156X156-54-P 190-215_M</v>
          </cell>
          <cell r="D136" t="str">
            <v>Short Clamp Multi Claw</v>
          </cell>
          <cell r="E136">
            <v>500000701</v>
          </cell>
          <cell r="F136">
            <v>39.055118110236222</v>
          </cell>
          <cell r="G136">
            <v>58.346456692913392</v>
          </cell>
          <cell r="H136">
            <v>1.8110236220472442</v>
          </cell>
          <cell r="I136">
            <v>200010702</v>
          </cell>
          <cell r="J136">
            <v>200010802</v>
          </cell>
          <cell r="K136">
            <v>200013802</v>
          </cell>
          <cell r="L136">
            <v>200016302</v>
          </cell>
          <cell r="M136">
            <v>500012561</v>
          </cell>
          <cell r="N136">
            <v>500012661</v>
          </cell>
          <cell r="O136">
            <v>500012562</v>
          </cell>
          <cell r="P136">
            <v>500012662</v>
          </cell>
          <cell r="Q136">
            <v>11.318613847978519</v>
          </cell>
          <cell r="R136">
            <v>10.116197591040002</v>
          </cell>
          <cell r="S136">
            <v>4.7745020887129126</v>
          </cell>
          <cell r="T136">
            <v>4.7745020887129126</v>
          </cell>
          <cell r="U136">
            <v>11.318613847978519</v>
          </cell>
          <cell r="V136">
            <v>10.116197591040002</v>
          </cell>
          <cell r="W136">
            <v>40</v>
          </cell>
          <cell r="X136">
            <v>36.468503937007874</v>
          </cell>
          <cell r="Y136">
            <v>58.921850393700794</v>
          </cell>
          <cell r="Z136">
            <v>36.468503937007874</v>
          </cell>
          <cell r="AA136">
            <v>58.921850393700794</v>
          </cell>
          <cell r="AB136">
            <v>36.468503937007874</v>
          </cell>
          <cell r="AC136">
            <v>58.921850393700794</v>
          </cell>
          <cell r="AD136">
            <v>58.921850393700794</v>
          </cell>
          <cell r="AE136">
            <v>58.846456692913392</v>
          </cell>
          <cell r="AF136">
            <v>16.846456692913389</v>
          </cell>
          <cell r="AG136">
            <v>38.744094488188978</v>
          </cell>
          <cell r="AH136" t="str">
            <v>N</v>
          </cell>
          <cell r="AI136">
            <v>37.484999999999999</v>
          </cell>
          <cell r="AJ136">
            <v>17</v>
          </cell>
          <cell r="AK136" t="str">
            <v>TBD</v>
          </cell>
          <cell r="AL136" t="str">
            <v>Y</v>
          </cell>
          <cell r="AM136">
            <v>200018401</v>
          </cell>
          <cell r="AN136">
            <v>200028401</v>
          </cell>
          <cell r="AO136">
            <v>200018301</v>
          </cell>
          <cell r="AP136">
            <v>200028301</v>
          </cell>
          <cell r="AQ136">
            <v>200018201</v>
          </cell>
          <cell r="AR136">
            <v>200028201</v>
          </cell>
          <cell r="AS136">
            <v>13.22222222222222</v>
          </cell>
          <cell r="AT136">
            <v>20.709050271134394</v>
          </cell>
          <cell r="AU136">
            <v>15.440237057435686</v>
          </cell>
          <cell r="AV136">
            <v>10.539202660509616</v>
          </cell>
          <cell r="AW136">
            <v>41026</v>
          </cell>
        </row>
        <row r="137">
          <cell r="C137" t="str">
            <v>NB Solar - Ningbo - Sun Earth Solar Power - TPB 156X156-60-P 220-245_M</v>
          </cell>
          <cell r="D137" t="str">
            <v>Short Clamp Multi Claw</v>
          </cell>
          <cell r="E137">
            <v>500000701</v>
          </cell>
          <cell r="F137">
            <v>39.055118110236222</v>
          </cell>
          <cell r="G137">
            <v>64.645669291338592</v>
          </cell>
          <cell r="H137">
            <v>1.8110236220472442</v>
          </cell>
          <cell r="I137">
            <v>200010704</v>
          </cell>
          <cell r="J137">
            <v>200010804</v>
          </cell>
          <cell r="K137">
            <v>200013804</v>
          </cell>
          <cell r="L137">
            <v>200016304</v>
          </cell>
          <cell r="M137">
            <v>500012567</v>
          </cell>
          <cell r="N137">
            <v>500012667</v>
          </cell>
          <cell r="O137">
            <v>500012568</v>
          </cell>
          <cell r="P137">
            <v>500012668</v>
          </cell>
          <cell r="Q137">
            <v>11.318613847978519</v>
          </cell>
          <cell r="R137">
            <v>10.116197591040002</v>
          </cell>
          <cell r="S137">
            <v>4.7745020887129126</v>
          </cell>
          <cell r="T137">
            <v>4.7745020887129126</v>
          </cell>
          <cell r="U137">
            <v>11.318613847978519</v>
          </cell>
          <cell r="V137">
            <v>10.116197591040002</v>
          </cell>
          <cell r="W137">
            <v>40</v>
          </cell>
          <cell r="X137">
            <v>36.468503937007874</v>
          </cell>
          <cell r="Y137">
            <v>65.221062992125994</v>
          </cell>
          <cell r="Z137">
            <v>36.468503937007874</v>
          </cell>
          <cell r="AA137">
            <v>65.221062992125994</v>
          </cell>
          <cell r="AB137">
            <v>36.468503937007874</v>
          </cell>
          <cell r="AC137">
            <v>65.221062992125994</v>
          </cell>
          <cell r="AD137">
            <v>65.221062992125994</v>
          </cell>
          <cell r="AE137">
            <v>65.145669291338592</v>
          </cell>
          <cell r="AF137">
            <v>23.145669291338589</v>
          </cell>
          <cell r="AG137">
            <v>38.744094488188978</v>
          </cell>
          <cell r="AH137" t="str">
            <v>N</v>
          </cell>
          <cell r="AI137">
            <v>44.1</v>
          </cell>
          <cell r="AJ137">
            <v>20</v>
          </cell>
          <cell r="AK137" t="str">
            <v>TBD</v>
          </cell>
          <cell r="AL137" t="str">
            <v>Y</v>
          </cell>
          <cell r="AM137">
            <v>200018403</v>
          </cell>
          <cell r="AN137">
            <v>200028403</v>
          </cell>
          <cell r="AO137">
            <v>200018303</v>
          </cell>
          <cell r="AP137">
            <v>200028303</v>
          </cell>
          <cell r="AQ137">
            <v>200018203</v>
          </cell>
          <cell r="AR137">
            <v>200028203</v>
          </cell>
          <cell r="AS137">
            <v>14.555555555555557</v>
          </cell>
          <cell r="AT137">
            <v>20.709050271134394</v>
          </cell>
          <cell r="AU137">
            <v>15.440237057435686</v>
          </cell>
          <cell r="AV137">
            <v>10.539202660509616</v>
          </cell>
          <cell r="AW137">
            <v>41026</v>
          </cell>
        </row>
        <row r="138">
          <cell r="C138" t="str">
            <v>NB Solar - Ningbo - Sun Earth Solar Power - TPB 156X156-72-P 260-290_M</v>
          </cell>
          <cell r="D138" t="str">
            <v>Short Clamp Multi Claw</v>
          </cell>
          <cell r="E138">
            <v>500000701</v>
          </cell>
          <cell r="F138">
            <v>39.055118110236222</v>
          </cell>
          <cell r="G138">
            <v>77.086614173228355</v>
          </cell>
          <cell r="H138">
            <v>1.8110236220472442</v>
          </cell>
          <cell r="I138">
            <v>200010707</v>
          </cell>
          <cell r="J138">
            <v>200010807</v>
          </cell>
          <cell r="K138">
            <v>200013807</v>
          </cell>
          <cell r="L138">
            <v>200016307</v>
          </cell>
          <cell r="M138">
            <v>500012580</v>
          </cell>
          <cell r="N138">
            <v>500012680</v>
          </cell>
          <cell r="O138">
            <v>500012580</v>
          </cell>
          <cell r="P138">
            <v>500012680</v>
          </cell>
          <cell r="Q138">
            <v>11.318613847978519</v>
          </cell>
          <cell r="R138">
            <v>10.116197591040002</v>
          </cell>
          <cell r="S138">
            <v>4.7745020887129126</v>
          </cell>
          <cell r="T138">
            <v>4.7745020887129126</v>
          </cell>
          <cell r="U138">
            <v>11.318613847978519</v>
          </cell>
          <cell r="V138">
            <v>10.116197591040002</v>
          </cell>
          <cell r="W138">
            <v>40</v>
          </cell>
          <cell r="X138">
            <v>36.468503937007874</v>
          </cell>
          <cell r="Y138">
            <v>77.662007874015757</v>
          </cell>
          <cell r="Z138">
            <v>36.468503937007874</v>
          </cell>
          <cell r="AA138">
            <v>77.662007874015757</v>
          </cell>
          <cell r="AB138">
            <v>36.468503937007874</v>
          </cell>
          <cell r="AC138">
            <v>77.662007874015757</v>
          </cell>
          <cell r="AD138">
            <v>77.662007874015757</v>
          </cell>
          <cell r="AE138">
            <v>77.586614173228355</v>
          </cell>
          <cell r="AF138">
            <v>35.586614173228355</v>
          </cell>
          <cell r="AG138">
            <v>38.744094488188978</v>
          </cell>
          <cell r="AH138" t="str">
            <v>N</v>
          </cell>
          <cell r="AI138">
            <v>59.535000000000004</v>
          </cell>
          <cell r="AJ138">
            <v>27</v>
          </cell>
          <cell r="AK138" t="str">
            <v>TBD</v>
          </cell>
          <cell r="AL138" t="str">
            <v>Y</v>
          </cell>
          <cell r="AM138">
            <v>200018407</v>
          </cell>
          <cell r="AN138">
            <v>200028407</v>
          </cell>
          <cell r="AO138">
            <v>200018307</v>
          </cell>
          <cell r="AP138">
            <v>200028307</v>
          </cell>
          <cell r="AQ138">
            <v>200018207</v>
          </cell>
          <cell r="AR138">
            <v>200028207</v>
          </cell>
          <cell r="AS138">
            <v>17.222222222222221</v>
          </cell>
          <cell r="AT138">
            <v>20.709050271134394</v>
          </cell>
          <cell r="AU138">
            <v>15.440237057435686</v>
          </cell>
          <cell r="AV138">
            <v>10.539202660509616</v>
          </cell>
          <cell r="AW138">
            <v>41026</v>
          </cell>
        </row>
        <row r="139">
          <cell r="C139" t="str">
            <v>NESL - DJ-165-180D_S</v>
          </cell>
          <cell r="D139" t="str">
            <v>Standard Claw</v>
          </cell>
          <cell r="E139">
            <v>5000005</v>
          </cell>
          <cell r="F139">
            <v>31.850393700787404</v>
          </cell>
          <cell r="G139">
            <v>62.244094488188978</v>
          </cell>
          <cell r="H139">
            <v>1.5748031496062993</v>
          </cell>
          <cell r="I139">
            <v>200010704</v>
          </cell>
          <cell r="J139">
            <v>200010804</v>
          </cell>
          <cell r="K139">
            <v>200013804</v>
          </cell>
          <cell r="L139">
            <v>200016304</v>
          </cell>
          <cell r="M139">
            <v>500012566</v>
          </cell>
          <cell r="N139">
            <v>500012666</v>
          </cell>
          <cell r="O139">
            <v>500012566</v>
          </cell>
          <cell r="P139">
            <v>500012666</v>
          </cell>
          <cell r="Q139">
            <v>14.759635506545079</v>
          </cell>
          <cell r="R139">
            <v>13.179285957422199</v>
          </cell>
          <cell r="S139">
            <v>6.2025569617802887</v>
          </cell>
          <cell r="T139">
            <v>6.2025569617802887</v>
          </cell>
          <cell r="U139">
            <v>14.759635506545079</v>
          </cell>
          <cell r="V139">
            <v>13.179285957422199</v>
          </cell>
          <cell r="W139">
            <v>30</v>
          </cell>
          <cell r="X139">
            <v>28.094488188976381</v>
          </cell>
          <cell r="Y139">
            <v>63.715551181102363</v>
          </cell>
          <cell r="Z139">
            <v>28.094488188976381</v>
          </cell>
          <cell r="AA139">
            <v>63.715551181102363</v>
          </cell>
          <cell r="AB139">
            <v>28.094488188976381</v>
          </cell>
          <cell r="AC139">
            <v>63.715551181102363</v>
          </cell>
          <cell r="AD139">
            <v>63.715551181102363</v>
          </cell>
          <cell r="AE139">
            <v>62.744094488188985</v>
          </cell>
          <cell r="AF139">
            <v>20.744094488188981</v>
          </cell>
          <cell r="AG139">
            <v>32.720472440944881</v>
          </cell>
          <cell r="AH139" t="str">
            <v>Y</v>
          </cell>
          <cell r="AI139">
            <v>34.177500000000002</v>
          </cell>
          <cell r="AJ139">
            <v>15.5</v>
          </cell>
          <cell r="AK139" t="str">
            <v>TBD</v>
          </cell>
          <cell r="AL139" t="str">
            <v>Y</v>
          </cell>
          <cell r="AM139">
            <v>200018402</v>
          </cell>
          <cell r="AN139">
            <v>200028402</v>
          </cell>
          <cell r="AO139">
            <v>200018302</v>
          </cell>
          <cell r="AP139">
            <v>200028302</v>
          </cell>
          <cell r="AQ139">
            <v>200018202</v>
          </cell>
          <cell r="AR139">
            <v>200028202</v>
          </cell>
          <cell r="AS139">
            <v>13.888888888888888</v>
          </cell>
          <cell r="AT139">
            <v>24.753939339673675</v>
          </cell>
          <cell r="AU139">
            <v>18.375596168437923</v>
          </cell>
          <cell r="AV139">
            <v>12.508264516085442</v>
          </cell>
          <cell r="AW139">
            <v>40862</v>
          </cell>
        </row>
        <row r="140">
          <cell r="C140" t="str">
            <v>NESL - DJ-210-230P_S</v>
          </cell>
          <cell r="D140" t="str">
            <v>Standard Claw</v>
          </cell>
          <cell r="E140">
            <v>5000005</v>
          </cell>
          <cell r="F140">
            <v>38.976377952755911</v>
          </cell>
          <cell r="G140">
            <v>64.960629921259851</v>
          </cell>
          <cell r="H140">
            <v>1.5748031496062993</v>
          </cell>
          <cell r="I140">
            <v>200010704</v>
          </cell>
          <cell r="J140">
            <v>200010804</v>
          </cell>
          <cell r="K140">
            <v>200013804</v>
          </cell>
          <cell r="L140">
            <v>200016304</v>
          </cell>
          <cell r="M140">
            <v>500012569</v>
          </cell>
          <cell r="N140">
            <v>500012669</v>
          </cell>
          <cell r="O140">
            <v>500012569</v>
          </cell>
          <cell r="P140">
            <v>500012669</v>
          </cell>
          <cell r="Q140">
            <v>11.725279318414811</v>
          </cell>
          <cell r="R140">
            <v>10.478642249707667</v>
          </cell>
          <cell r="S140">
            <v>4.9440996728708777</v>
          </cell>
          <cell r="T140">
            <v>4.9440996728708777</v>
          </cell>
          <cell r="U140">
            <v>11.725279318414811</v>
          </cell>
          <cell r="V140">
            <v>10.478642249707667</v>
          </cell>
          <cell r="W140">
            <v>30</v>
          </cell>
          <cell r="X140">
            <v>35.220472440944881</v>
          </cell>
          <cell r="Y140">
            <v>66.43208661417323</v>
          </cell>
          <cell r="Z140">
            <v>35.220472440944881</v>
          </cell>
          <cell r="AA140">
            <v>66.43208661417323</v>
          </cell>
          <cell r="AB140">
            <v>35.220472440944881</v>
          </cell>
          <cell r="AC140">
            <v>66.43208661417323</v>
          </cell>
          <cell r="AD140">
            <v>66.43208661417323</v>
          </cell>
          <cell r="AE140">
            <v>65.460629921259851</v>
          </cell>
          <cell r="AF140">
            <v>23.460629921259848</v>
          </cell>
          <cell r="AG140">
            <v>39.846456692913392</v>
          </cell>
          <cell r="AH140" t="str">
            <v>Y</v>
          </cell>
          <cell r="AI140">
            <v>42.997500000000002</v>
          </cell>
          <cell r="AJ140">
            <v>19.5</v>
          </cell>
          <cell r="AK140" t="str">
            <v>TBD</v>
          </cell>
          <cell r="AL140" t="str">
            <v>Y</v>
          </cell>
          <cell r="AM140">
            <v>200018403</v>
          </cell>
          <cell r="AN140">
            <v>200028403</v>
          </cell>
          <cell r="AO140">
            <v>200018303</v>
          </cell>
          <cell r="AP140">
            <v>200028303</v>
          </cell>
          <cell r="AQ140">
            <v>200018203</v>
          </cell>
          <cell r="AR140">
            <v>200028203</v>
          </cell>
          <cell r="AS140">
            <v>14.555555555555557</v>
          </cell>
          <cell r="AT140">
            <v>20.110973161651764</v>
          </cell>
          <cell r="AU140">
            <v>15.002886128524771</v>
          </cell>
          <cell r="AV140">
            <v>10.244439167746933</v>
          </cell>
          <cell r="AW140">
            <v>40862</v>
          </cell>
        </row>
        <row r="141">
          <cell r="C141" t="str">
            <v>NESL - DJ-250-280P_S</v>
          </cell>
          <cell r="D141" t="str">
            <v>Standard Claw</v>
          </cell>
          <cell r="E141">
            <v>5000005</v>
          </cell>
          <cell r="F141">
            <v>38.976377952755911</v>
          </cell>
          <cell r="G141">
            <v>77.047244094488192</v>
          </cell>
          <cell r="H141">
            <v>1.9685039370078741</v>
          </cell>
          <cell r="I141">
            <v>200010707</v>
          </cell>
          <cell r="J141">
            <v>200010807</v>
          </cell>
          <cell r="K141">
            <v>200013807</v>
          </cell>
          <cell r="L141">
            <v>200016307</v>
          </cell>
          <cell r="M141">
            <v>500012581</v>
          </cell>
          <cell r="N141">
            <v>500012681</v>
          </cell>
          <cell r="O141">
            <v>500012581</v>
          </cell>
          <cell r="P141">
            <v>500012681</v>
          </cell>
          <cell r="Q141">
            <v>11.646065132777842</v>
          </cell>
          <cell r="R141">
            <v>10.40805030701417</v>
          </cell>
          <cell r="S141">
            <v>4.911079789514722</v>
          </cell>
          <cell r="T141">
            <v>4.911079789514722</v>
          </cell>
          <cell r="U141">
            <v>11.646065132777842</v>
          </cell>
          <cell r="V141">
            <v>10.40805030701417</v>
          </cell>
          <cell r="W141">
            <v>30</v>
          </cell>
          <cell r="X141">
            <v>35.45669291338583</v>
          </cell>
          <cell r="Y141">
            <v>78.754921259842519</v>
          </cell>
          <cell r="Z141">
            <v>35.45669291338583</v>
          </cell>
          <cell r="AA141">
            <v>78.754921259842519</v>
          </cell>
          <cell r="AB141">
            <v>35.45669291338583</v>
          </cell>
          <cell r="AC141">
            <v>78.754921259842519</v>
          </cell>
          <cell r="AD141">
            <v>78.754921259842519</v>
          </cell>
          <cell r="AE141">
            <v>77.547244094488192</v>
          </cell>
          <cell r="AF141">
            <v>35.547244094488192</v>
          </cell>
          <cell r="AG141">
            <v>40.082677165354333</v>
          </cell>
          <cell r="AH141" t="str">
            <v>Y</v>
          </cell>
          <cell r="AI141">
            <v>55.125</v>
          </cell>
          <cell r="AJ141">
            <v>25</v>
          </cell>
          <cell r="AK141" t="str">
            <v>TBD</v>
          </cell>
          <cell r="AL141" t="str">
            <v>Y</v>
          </cell>
          <cell r="AM141">
            <v>200018407</v>
          </cell>
          <cell r="AN141">
            <v>200028407</v>
          </cell>
          <cell r="AO141">
            <v>200018307</v>
          </cell>
          <cell r="AP141">
            <v>200028307</v>
          </cell>
          <cell r="AQ141">
            <v>200018207</v>
          </cell>
          <cell r="AR141">
            <v>200028207</v>
          </cell>
          <cell r="AS141">
            <v>17.222222222222221</v>
          </cell>
          <cell r="AT141">
            <v>19.987381438876472</v>
          </cell>
          <cell r="AU141">
            <v>14.912410483320945</v>
          </cell>
          <cell r="AV141">
            <v>10.183419458492327</v>
          </cell>
          <cell r="AW141">
            <v>40862</v>
          </cell>
        </row>
        <row r="142">
          <cell r="C142" t="str">
            <v>Perfect Energy - PEM 160-180 72M_S</v>
          </cell>
          <cell r="D142" t="str">
            <v>Standard Claw</v>
          </cell>
          <cell r="E142">
            <v>5000005</v>
          </cell>
          <cell r="F142">
            <v>31.811023622047244</v>
          </cell>
          <cell r="G142">
            <v>62.204724409448822</v>
          </cell>
          <cell r="H142">
            <v>1.7716535433070868</v>
          </cell>
          <cell r="I142">
            <v>200010704</v>
          </cell>
          <cell r="J142">
            <v>200010804</v>
          </cell>
          <cell r="K142">
            <v>200013804</v>
          </cell>
          <cell r="L142">
            <v>200016304</v>
          </cell>
          <cell r="M142">
            <v>500012566</v>
          </cell>
          <cell r="N142">
            <v>500012666</v>
          </cell>
          <cell r="O142">
            <v>500012567</v>
          </cell>
          <cell r="P142">
            <v>500012667</v>
          </cell>
          <cell r="Q142">
            <v>14.571707491264988</v>
          </cell>
          <cell r="R142">
            <v>13.012236782891378</v>
          </cell>
          <cell r="S142">
            <v>6.1250064477535702</v>
          </cell>
          <cell r="T142">
            <v>6.1250064477535702</v>
          </cell>
          <cell r="U142">
            <v>14.571707491264988</v>
          </cell>
          <cell r="V142">
            <v>13.012236782891378</v>
          </cell>
          <cell r="W142">
            <v>50</v>
          </cell>
          <cell r="X142">
            <v>28.448818897637796</v>
          </cell>
          <cell r="Y142">
            <v>64.069881889763778</v>
          </cell>
          <cell r="Z142">
            <v>28.448818897637796</v>
          </cell>
          <cell r="AA142">
            <v>64.069881889763778</v>
          </cell>
          <cell r="AB142">
            <v>28.448818897637796</v>
          </cell>
          <cell r="AC142">
            <v>64.069881889763778</v>
          </cell>
          <cell r="AD142">
            <v>64.069881889763778</v>
          </cell>
          <cell r="AE142">
            <v>62.704724409448822</v>
          </cell>
          <cell r="AF142">
            <v>20.704724409448822</v>
          </cell>
          <cell r="AG142">
            <v>33.074803149606304</v>
          </cell>
          <cell r="AH142" t="str">
            <v>N</v>
          </cell>
          <cell r="AI142">
            <v>34.177500000000002</v>
          </cell>
          <cell r="AJ142">
            <v>15.5</v>
          </cell>
          <cell r="AK142" t="str">
            <v>TBD</v>
          </cell>
          <cell r="AL142" t="str">
            <v>Y</v>
          </cell>
          <cell r="AM142">
            <v>200018402</v>
          </cell>
          <cell r="AN142">
            <v>200028402</v>
          </cell>
          <cell r="AO142">
            <v>200018302</v>
          </cell>
          <cell r="AP142">
            <v>200028302</v>
          </cell>
          <cell r="AQ142">
            <v>200018202</v>
          </cell>
          <cell r="AR142">
            <v>200028202</v>
          </cell>
          <cell r="AS142">
            <v>13.888888888888888</v>
          </cell>
          <cell r="AT142">
            <v>24.471238183648364</v>
          </cell>
          <cell r="AU142">
            <v>18.171818938620692</v>
          </cell>
          <cell r="AV142">
            <v>12.372128912037903</v>
          </cell>
          <cell r="AW142">
            <v>41192</v>
          </cell>
        </row>
        <row r="143">
          <cell r="C143" t="str">
            <v>Perlight - PLM-185 Series_S</v>
          </cell>
          <cell r="D143" t="str">
            <v>Standard Claw</v>
          </cell>
          <cell r="E143">
            <v>5000005</v>
          </cell>
          <cell r="F143">
            <v>31.811023622047244</v>
          </cell>
          <cell r="G143">
            <v>62.204724409448822</v>
          </cell>
          <cell r="H143">
            <v>1.5748031496062993</v>
          </cell>
          <cell r="I143">
            <v>200010704</v>
          </cell>
          <cell r="J143">
            <v>200010804</v>
          </cell>
          <cell r="K143">
            <v>200013804</v>
          </cell>
          <cell r="L143">
            <v>200016304</v>
          </cell>
          <cell r="M143">
            <v>500012566</v>
          </cell>
          <cell r="N143">
            <v>500012666</v>
          </cell>
          <cell r="O143">
            <v>500012566</v>
          </cell>
          <cell r="P143">
            <v>500012666</v>
          </cell>
          <cell r="Q143">
            <v>14.780819563929326</v>
          </cell>
          <cell r="R143">
            <v>13.198114568872393</v>
          </cell>
          <cell r="S143">
            <v>6.211295317501194</v>
          </cell>
          <cell r="T143">
            <v>6.211295317501194</v>
          </cell>
          <cell r="U143">
            <v>14.780819563929326</v>
          </cell>
          <cell r="V143">
            <v>13.198114568872393</v>
          </cell>
          <cell r="W143">
            <v>50</v>
          </cell>
          <cell r="X143">
            <v>28.055118110236222</v>
          </cell>
          <cell r="Y143">
            <v>63.676181102362207</v>
          </cell>
          <cell r="Z143">
            <v>28.055118110236222</v>
          </cell>
          <cell r="AA143">
            <v>63.676181102362207</v>
          </cell>
          <cell r="AB143">
            <v>28.055118110236222</v>
          </cell>
          <cell r="AC143">
            <v>63.676181102362207</v>
          </cell>
          <cell r="AD143">
            <v>63.676181102362207</v>
          </cell>
          <cell r="AE143">
            <v>62.704724409448822</v>
          </cell>
          <cell r="AF143">
            <v>20.704724409448822</v>
          </cell>
          <cell r="AG143">
            <v>32.681102362204726</v>
          </cell>
          <cell r="AH143" t="str">
            <v>N</v>
          </cell>
          <cell r="AI143">
            <v>35.28</v>
          </cell>
          <cell r="AJ143">
            <v>16</v>
          </cell>
          <cell r="AK143" t="str">
            <v>TBD</v>
          </cell>
          <cell r="AL143" t="str">
            <v>Y</v>
          </cell>
          <cell r="AM143">
            <v>200018402</v>
          </cell>
          <cell r="AN143">
            <v>200028402</v>
          </cell>
          <cell r="AO143">
            <v>200018302</v>
          </cell>
          <cell r="AP143">
            <v>200028302</v>
          </cell>
          <cell r="AQ143">
            <v>200018202</v>
          </cell>
          <cell r="AR143">
            <v>200028202</v>
          </cell>
          <cell r="AS143">
            <v>13.888888888888888</v>
          </cell>
          <cell r="AT143">
            <v>24.785769092963804</v>
          </cell>
          <cell r="AU143">
            <v>18.39852585667062</v>
          </cell>
          <cell r="AV143">
            <v>12.523577389800897</v>
          </cell>
          <cell r="AW143">
            <v>40665</v>
          </cell>
        </row>
        <row r="144">
          <cell r="C144" t="str">
            <v>Perlight - PLM-210 Series_S</v>
          </cell>
          <cell r="D144" t="str">
            <v>Standard Claw</v>
          </cell>
          <cell r="E144">
            <v>5000005</v>
          </cell>
          <cell r="F144">
            <v>37.007874015748037</v>
          </cell>
          <cell r="G144">
            <v>58.858267716535437</v>
          </cell>
          <cell r="H144">
            <v>1.8110236220472442</v>
          </cell>
          <cell r="I144">
            <v>200010703</v>
          </cell>
          <cell r="J144">
            <v>200010803</v>
          </cell>
          <cell r="K144">
            <v>200013803</v>
          </cell>
          <cell r="L144">
            <v>200016303</v>
          </cell>
          <cell r="M144">
            <v>500012563</v>
          </cell>
          <cell r="N144">
            <v>500012663</v>
          </cell>
          <cell r="O144">
            <v>500012563</v>
          </cell>
          <cell r="P144">
            <v>500012663</v>
          </cell>
          <cell r="Q144">
            <v>12.430184243800053</v>
          </cell>
          <cell r="R144">
            <v>11.106632994896712</v>
          </cell>
          <cell r="S144">
            <v>5.2375834396852632</v>
          </cell>
          <cell r="T144">
            <v>5.2375834396852632</v>
          </cell>
          <cell r="U144">
            <v>12.430184243800053</v>
          </cell>
          <cell r="V144">
            <v>11.106632994896712</v>
          </cell>
          <cell r="W144">
            <v>50</v>
          </cell>
          <cell r="X144">
            <v>33.251968503937007</v>
          </cell>
          <cell r="Y144">
            <v>60.329724409448822</v>
          </cell>
          <cell r="Z144">
            <v>33.251968503937007</v>
          </cell>
          <cell r="AA144">
            <v>60.329724409448822</v>
          </cell>
          <cell r="AB144">
            <v>33.251968503937007</v>
          </cell>
          <cell r="AC144">
            <v>60.329724409448822</v>
          </cell>
          <cell r="AD144">
            <v>60.329724409448822</v>
          </cell>
          <cell r="AE144">
            <v>59.358267716535437</v>
          </cell>
          <cell r="AF144">
            <v>17.358267716535437</v>
          </cell>
          <cell r="AG144">
            <v>37.877952755905518</v>
          </cell>
          <cell r="AH144" t="str">
            <v>N</v>
          </cell>
          <cell r="AI144">
            <v>37.484999999999999</v>
          </cell>
          <cell r="AJ144">
            <v>17</v>
          </cell>
          <cell r="AK144" t="str">
            <v>TBD</v>
          </cell>
          <cell r="AL144" t="str">
            <v>Y</v>
          </cell>
          <cell r="AM144">
            <v>200018401</v>
          </cell>
          <cell r="AN144">
            <v>200028401</v>
          </cell>
          <cell r="AO144">
            <v>200018301</v>
          </cell>
          <cell r="AP144">
            <v>200028301</v>
          </cell>
          <cell r="AQ144">
            <v>200018201</v>
          </cell>
          <cell r="AR144">
            <v>200028201</v>
          </cell>
          <cell r="AS144">
            <v>13.22222222222222</v>
          </cell>
          <cell r="AT144">
            <v>21.205174093809141</v>
          </cell>
          <cell r="AU144">
            <v>15.802424560557412</v>
          </cell>
          <cell r="AV144">
            <v>10.783051510926835</v>
          </cell>
          <cell r="AW144">
            <v>40665</v>
          </cell>
        </row>
        <row r="145">
          <cell r="C145" t="str">
            <v>Perlight - PLM-240 Series_S</v>
          </cell>
          <cell r="D145" t="str">
            <v>Standard Claw</v>
          </cell>
          <cell r="E145">
            <v>5000005</v>
          </cell>
          <cell r="F145">
            <v>39.055118110236222</v>
          </cell>
          <cell r="G145">
            <v>64.960629921259851</v>
          </cell>
          <cell r="H145">
            <v>1.8110236220472442</v>
          </cell>
          <cell r="I145">
            <v>200010704</v>
          </cell>
          <cell r="J145">
            <v>200010804</v>
          </cell>
          <cell r="K145">
            <v>200013804</v>
          </cell>
          <cell r="L145">
            <v>200016304</v>
          </cell>
          <cell r="M145">
            <v>500012569</v>
          </cell>
          <cell r="N145">
            <v>500012669</v>
          </cell>
          <cell r="O145">
            <v>500012569</v>
          </cell>
          <cell r="P145">
            <v>500012669</v>
          </cell>
          <cell r="Q145">
            <v>11.698754267040043</v>
          </cell>
          <cell r="R145">
            <v>10.455004839041191</v>
          </cell>
          <cell r="S145">
            <v>4.9330437584696041</v>
          </cell>
          <cell r="T145">
            <v>4.9330437584696041</v>
          </cell>
          <cell r="U145">
            <v>11.698754267040043</v>
          </cell>
          <cell r="V145">
            <v>10.455004839041191</v>
          </cell>
          <cell r="W145">
            <v>50</v>
          </cell>
          <cell r="X145">
            <v>35.2992125984252</v>
          </cell>
          <cell r="Y145">
            <v>66.43208661417323</v>
          </cell>
          <cell r="Z145">
            <v>35.2992125984252</v>
          </cell>
          <cell r="AA145">
            <v>66.43208661417323</v>
          </cell>
          <cell r="AB145">
            <v>35.2992125984252</v>
          </cell>
          <cell r="AC145">
            <v>66.43208661417323</v>
          </cell>
          <cell r="AD145">
            <v>66.43208661417323</v>
          </cell>
          <cell r="AE145">
            <v>65.460629921259851</v>
          </cell>
          <cell r="AF145">
            <v>23.460629921259848</v>
          </cell>
          <cell r="AG145">
            <v>39.925196850393704</v>
          </cell>
          <cell r="AH145" t="str">
            <v>N</v>
          </cell>
          <cell r="AI145">
            <v>46.305</v>
          </cell>
          <cell r="AJ145">
            <v>21</v>
          </cell>
          <cell r="AK145" t="str">
            <v>TBD</v>
          </cell>
          <cell r="AL145" t="str">
            <v>Y</v>
          </cell>
          <cell r="AM145">
            <v>200018403</v>
          </cell>
          <cell r="AN145">
            <v>200028403</v>
          </cell>
          <cell r="AO145">
            <v>200018303</v>
          </cell>
          <cell r="AP145">
            <v>200028303</v>
          </cell>
          <cell r="AQ145">
            <v>200018203</v>
          </cell>
          <cell r="AR145">
            <v>200028203</v>
          </cell>
          <cell r="AS145">
            <v>14.555555555555557</v>
          </cell>
          <cell r="AT145">
            <v>20.069602586497279</v>
          </cell>
          <cell r="AU145">
            <v>14.97260437224279</v>
          </cell>
          <cell r="AV145">
            <v>10.224017732239455</v>
          </cell>
          <cell r="AW145">
            <v>40665</v>
          </cell>
        </row>
        <row r="146">
          <cell r="C146" t="str">
            <v>Perlight - PLM-300 Series_S</v>
          </cell>
          <cell r="D146" t="str">
            <v>Standard Claw</v>
          </cell>
          <cell r="E146">
            <v>5000005</v>
          </cell>
          <cell r="F146">
            <v>39.055118110236222</v>
          </cell>
          <cell r="G146">
            <v>77.401574803149614</v>
          </cell>
          <cell r="H146">
            <v>1.9685039370078741</v>
          </cell>
          <cell r="I146">
            <v>200010707</v>
          </cell>
          <cell r="J146">
            <v>200010807</v>
          </cell>
          <cell r="K146">
            <v>200013807</v>
          </cell>
          <cell r="L146">
            <v>200016307</v>
          </cell>
          <cell r="M146">
            <v>500012581</v>
          </cell>
          <cell r="N146">
            <v>500012681</v>
          </cell>
          <cell r="O146">
            <v>500012581</v>
          </cell>
          <cell r="P146">
            <v>500012681</v>
          </cell>
          <cell r="Q146">
            <v>11.698754267040043</v>
          </cell>
          <cell r="R146">
            <v>10.455004839041191</v>
          </cell>
          <cell r="S146">
            <v>4.9330437584696041</v>
          </cell>
          <cell r="T146">
            <v>4.9330437584696041</v>
          </cell>
          <cell r="U146">
            <v>11.698754267040043</v>
          </cell>
          <cell r="V146">
            <v>10.455004839041191</v>
          </cell>
          <cell r="W146">
            <v>50</v>
          </cell>
          <cell r="X146">
            <v>35.2992125984252</v>
          </cell>
          <cell r="Y146">
            <v>78.873031496062993</v>
          </cell>
          <cell r="Z146">
            <v>35.2992125984252</v>
          </cell>
          <cell r="AA146">
            <v>78.873031496062993</v>
          </cell>
          <cell r="AB146">
            <v>35.2992125984252</v>
          </cell>
          <cell r="AC146">
            <v>78.873031496062993</v>
          </cell>
          <cell r="AD146">
            <v>78.873031496062993</v>
          </cell>
          <cell r="AE146">
            <v>77.901574803149614</v>
          </cell>
          <cell r="AF146">
            <v>35.901574803149614</v>
          </cell>
          <cell r="AG146">
            <v>39.925196850393704</v>
          </cell>
          <cell r="AH146" t="str">
            <v>N</v>
          </cell>
          <cell r="AI146">
            <v>59.535000000000004</v>
          </cell>
          <cell r="AJ146">
            <v>27</v>
          </cell>
          <cell r="AK146" t="str">
            <v>TBD</v>
          </cell>
          <cell r="AL146" t="str">
            <v>Y</v>
          </cell>
          <cell r="AM146">
            <v>200018407</v>
          </cell>
          <cell r="AN146">
            <v>200028407</v>
          </cell>
          <cell r="AO146">
            <v>200018307</v>
          </cell>
          <cell r="AP146">
            <v>200028307</v>
          </cell>
          <cell r="AQ146">
            <v>200018207</v>
          </cell>
          <cell r="AR146">
            <v>200028207</v>
          </cell>
          <cell r="AS146">
            <v>17.222222222222221</v>
          </cell>
          <cell r="AT146">
            <v>20.069602586497279</v>
          </cell>
          <cell r="AU146">
            <v>14.97260437224279</v>
          </cell>
          <cell r="AV146">
            <v>10.224017732239455</v>
          </cell>
          <cell r="AW146">
            <v>40665</v>
          </cell>
        </row>
        <row r="147">
          <cell r="C147" t="str">
            <v>Perlight - PLM-P200 Series_S</v>
          </cell>
          <cell r="D147" t="str">
            <v>Standard Claw</v>
          </cell>
          <cell r="E147">
            <v>5000005</v>
          </cell>
          <cell r="F147">
            <v>38.976377952755911</v>
          </cell>
          <cell r="G147">
            <v>58.858267716535437</v>
          </cell>
          <cell r="H147">
            <v>1.8110236220472442</v>
          </cell>
          <cell r="I147">
            <v>200010703</v>
          </cell>
          <cell r="J147">
            <v>200010803</v>
          </cell>
          <cell r="K147">
            <v>200013803</v>
          </cell>
          <cell r="L147">
            <v>200016303</v>
          </cell>
          <cell r="M147">
            <v>500012563</v>
          </cell>
          <cell r="N147">
            <v>500012663</v>
          </cell>
          <cell r="O147">
            <v>500012563</v>
          </cell>
          <cell r="P147">
            <v>500012663</v>
          </cell>
          <cell r="Q147">
            <v>11.725279318414811</v>
          </cell>
          <cell r="R147">
            <v>10.478642249707667</v>
          </cell>
          <cell r="S147">
            <v>4.9440996728708777</v>
          </cell>
          <cell r="T147">
            <v>4.9440996728708777</v>
          </cell>
          <cell r="U147">
            <v>11.725279318414811</v>
          </cell>
          <cell r="V147">
            <v>10.478642249707667</v>
          </cell>
          <cell r="W147">
            <v>50</v>
          </cell>
          <cell r="X147">
            <v>35.220472440944881</v>
          </cell>
          <cell r="Y147">
            <v>60.329724409448822</v>
          </cell>
          <cell r="Z147">
            <v>35.220472440944881</v>
          </cell>
          <cell r="AA147">
            <v>60.329724409448822</v>
          </cell>
          <cell r="AB147">
            <v>35.220472440944881</v>
          </cell>
          <cell r="AC147">
            <v>60.329724409448822</v>
          </cell>
          <cell r="AD147">
            <v>60.329724409448822</v>
          </cell>
          <cell r="AE147">
            <v>59.358267716535437</v>
          </cell>
          <cell r="AF147">
            <v>17.358267716535437</v>
          </cell>
          <cell r="AG147">
            <v>39.846456692913392</v>
          </cell>
          <cell r="AH147" t="str">
            <v>N</v>
          </cell>
          <cell r="AI147">
            <v>37.484999999999999</v>
          </cell>
          <cell r="AJ147">
            <v>17</v>
          </cell>
          <cell r="AK147" t="str">
            <v>TBD</v>
          </cell>
          <cell r="AL147" t="str">
            <v>Y</v>
          </cell>
          <cell r="AM147">
            <v>200018401</v>
          </cell>
          <cell r="AN147">
            <v>200028401</v>
          </cell>
          <cell r="AO147">
            <v>200018301</v>
          </cell>
          <cell r="AP147">
            <v>200028301</v>
          </cell>
          <cell r="AQ147">
            <v>200018201</v>
          </cell>
          <cell r="AR147">
            <v>200028201</v>
          </cell>
          <cell r="AS147">
            <v>13.22222222222222</v>
          </cell>
          <cell r="AT147">
            <v>20.110973161651764</v>
          </cell>
          <cell r="AU147">
            <v>15.002886128524771</v>
          </cell>
          <cell r="AV147">
            <v>10.244439167746933</v>
          </cell>
          <cell r="AW147">
            <v>40665</v>
          </cell>
        </row>
        <row r="148">
          <cell r="C148" t="str">
            <v>Perlight - PLM-P230 Series_S</v>
          </cell>
          <cell r="D148" t="str">
            <v>Standard Claw</v>
          </cell>
          <cell r="E148">
            <v>5000005</v>
          </cell>
          <cell r="F148">
            <v>39.055118110236222</v>
          </cell>
          <cell r="G148">
            <v>64.960629921259851</v>
          </cell>
          <cell r="H148">
            <v>1.8110236220472442</v>
          </cell>
          <cell r="I148">
            <v>200010704</v>
          </cell>
          <cell r="J148">
            <v>200010804</v>
          </cell>
          <cell r="K148">
            <v>200013804</v>
          </cell>
          <cell r="L148">
            <v>200016304</v>
          </cell>
          <cell r="M148">
            <v>500012569</v>
          </cell>
          <cell r="N148">
            <v>500012669</v>
          </cell>
          <cell r="O148">
            <v>500012569</v>
          </cell>
          <cell r="P148">
            <v>500012669</v>
          </cell>
          <cell r="Q148">
            <v>11.698754267040043</v>
          </cell>
          <cell r="R148">
            <v>10.455004839041191</v>
          </cell>
          <cell r="S148">
            <v>4.9330437584696041</v>
          </cell>
          <cell r="T148">
            <v>4.9330437584696041</v>
          </cell>
          <cell r="U148">
            <v>11.698754267040043</v>
          </cell>
          <cell r="V148">
            <v>10.455004839041191</v>
          </cell>
          <cell r="W148">
            <v>50</v>
          </cell>
          <cell r="X148">
            <v>35.2992125984252</v>
          </cell>
          <cell r="Y148">
            <v>66.43208661417323</v>
          </cell>
          <cell r="Z148">
            <v>35.2992125984252</v>
          </cell>
          <cell r="AA148">
            <v>66.43208661417323</v>
          </cell>
          <cell r="AB148">
            <v>35.2992125984252</v>
          </cell>
          <cell r="AC148">
            <v>66.43208661417323</v>
          </cell>
          <cell r="AD148">
            <v>66.43208661417323</v>
          </cell>
          <cell r="AE148">
            <v>65.460629921259851</v>
          </cell>
          <cell r="AF148">
            <v>23.460629921259848</v>
          </cell>
          <cell r="AG148">
            <v>39.925196850393704</v>
          </cell>
          <cell r="AH148" t="str">
            <v>N</v>
          </cell>
          <cell r="AI148">
            <v>46.305</v>
          </cell>
          <cell r="AJ148">
            <v>21</v>
          </cell>
          <cell r="AK148" t="str">
            <v>TBD</v>
          </cell>
          <cell r="AL148" t="str">
            <v>Y</v>
          </cell>
          <cell r="AM148">
            <v>200018403</v>
          </cell>
          <cell r="AN148">
            <v>200028403</v>
          </cell>
          <cell r="AO148">
            <v>200018303</v>
          </cell>
          <cell r="AP148">
            <v>200028303</v>
          </cell>
          <cell r="AQ148">
            <v>200018203</v>
          </cell>
          <cell r="AR148">
            <v>200028203</v>
          </cell>
          <cell r="AS148">
            <v>14.555555555555557</v>
          </cell>
          <cell r="AT148">
            <v>20.069602586497279</v>
          </cell>
          <cell r="AU148">
            <v>14.97260437224279</v>
          </cell>
          <cell r="AV148">
            <v>10.224017732239455</v>
          </cell>
          <cell r="AW148">
            <v>40665</v>
          </cell>
        </row>
        <row r="149">
          <cell r="C149" t="str">
            <v>Perlight - PLM-P280 Series_S</v>
          </cell>
          <cell r="D149" t="str">
            <v>Standard Claw</v>
          </cell>
          <cell r="E149">
            <v>5000005</v>
          </cell>
          <cell r="F149">
            <v>39.055118110236222</v>
          </cell>
          <cell r="G149">
            <v>77.401574803149614</v>
          </cell>
          <cell r="H149">
            <v>1.9685039370078741</v>
          </cell>
          <cell r="I149">
            <v>200010707</v>
          </cell>
          <cell r="J149">
            <v>200010807</v>
          </cell>
          <cell r="K149">
            <v>200013807</v>
          </cell>
          <cell r="L149">
            <v>200016307</v>
          </cell>
          <cell r="M149">
            <v>500012581</v>
          </cell>
          <cell r="N149">
            <v>500012681</v>
          </cell>
          <cell r="O149">
            <v>500012581</v>
          </cell>
          <cell r="P149">
            <v>500012681</v>
          </cell>
          <cell r="Q149">
            <v>11.698754267040043</v>
          </cell>
          <cell r="R149">
            <v>10.455004839041191</v>
          </cell>
          <cell r="S149">
            <v>4.9330437584696041</v>
          </cell>
          <cell r="T149">
            <v>4.9330437584696041</v>
          </cell>
          <cell r="U149">
            <v>11.698754267040043</v>
          </cell>
          <cell r="V149">
            <v>10.455004839041191</v>
          </cell>
          <cell r="W149">
            <v>50</v>
          </cell>
          <cell r="X149">
            <v>35.2992125984252</v>
          </cell>
          <cell r="Y149">
            <v>78.873031496062993</v>
          </cell>
          <cell r="Z149">
            <v>35.2992125984252</v>
          </cell>
          <cell r="AA149">
            <v>78.873031496062993</v>
          </cell>
          <cell r="AB149">
            <v>35.2992125984252</v>
          </cell>
          <cell r="AC149">
            <v>78.873031496062993</v>
          </cell>
          <cell r="AD149">
            <v>78.873031496062993</v>
          </cell>
          <cell r="AE149">
            <v>77.901574803149614</v>
          </cell>
          <cell r="AF149">
            <v>35.901574803149614</v>
          </cell>
          <cell r="AG149">
            <v>39.925196850393704</v>
          </cell>
          <cell r="AH149" t="str">
            <v>N</v>
          </cell>
          <cell r="AI149">
            <v>59.535000000000004</v>
          </cell>
          <cell r="AJ149">
            <v>27</v>
          </cell>
          <cell r="AK149" t="str">
            <v>TBD</v>
          </cell>
          <cell r="AL149" t="str">
            <v>Y</v>
          </cell>
          <cell r="AM149">
            <v>200018407</v>
          </cell>
          <cell r="AN149">
            <v>200028407</v>
          </cell>
          <cell r="AO149">
            <v>200018307</v>
          </cell>
          <cell r="AP149">
            <v>200028307</v>
          </cell>
          <cell r="AQ149">
            <v>200018207</v>
          </cell>
          <cell r="AR149">
            <v>200028207</v>
          </cell>
          <cell r="AS149">
            <v>17.222222222222221</v>
          </cell>
          <cell r="AT149">
            <v>20.069602586497279</v>
          </cell>
          <cell r="AU149">
            <v>14.97260437224279</v>
          </cell>
          <cell r="AV149">
            <v>10.224017732239455</v>
          </cell>
          <cell r="AW149">
            <v>40665</v>
          </cell>
        </row>
        <row r="150">
          <cell r="C150" t="str">
            <v>Phono Solar - PS 235-265 P-M 20 U_S</v>
          </cell>
          <cell r="D150" t="str">
            <v>Standard Claw</v>
          </cell>
          <cell r="E150">
            <v>5000005</v>
          </cell>
          <cell r="F150">
            <v>39.055118110236222</v>
          </cell>
          <cell r="G150">
            <v>64.566929133858267</v>
          </cell>
          <cell r="H150">
            <v>1.7716535433070868</v>
          </cell>
          <cell r="I150">
            <v>200010704</v>
          </cell>
          <cell r="J150">
            <v>200010804</v>
          </cell>
          <cell r="K150">
            <v>200013804</v>
          </cell>
          <cell r="L150">
            <v>200016304</v>
          </cell>
          <cell r="M150">
            <v>500012568</v>
          </cell>
          <cell r="N150">
            <v>500012668</v>
          </cell>
          <cell r="O150">
            <v>500012569</v>
          </cell>
          <cell r="P150">
            <v>500012669</v>
          </cell>
          <cell r="Q150">
            <v>11.698754267040043</v>
          </cell>
          <cell r="R150">
            <v>10.455004839041191</v>
          </cell>
          <cell r="S150">
            <v>4.9330437584696041</v>
          </cell>
          <cell r="T150">
            <v>4.9330437584696041</v>
          </cell>
          <cell r="U150">
            <v>11.698754267040043</v>
          </cell>
          <cell r="V150">
            <v>10.455004839041191</v>
          </cell>
          <cell r="W150">
            <v>50</v>
          </cell>
          <cell r="X150">
            <v>35.2992125984252</v>
          </cell>
          <cell r="Y150">
            <v>66.038385826771659</v>
          </cell>
          <cell r="Z150">
            <v>35.2992125984252</v>
          </cell>
          <cell r="AA150">
            <v>66.038385826771659</v>
          </cell>
          <cell r="AB150">
            <v>35.2992125984252</v>
          </cell>
          <cell r="AC150">
            <v>66.038385826771659</v>
          </cell>
          <cell r="AD150">
            <v>66.038385826771659</v>
          </cell>
          <cell r="AE150">
            <v>65.066929133858267</v>
          </cell>
          <cell r="AF150">
            <v>23.066929133858274</v>
          </cell>
          <cell r="AG150">
            <v>39.925196850393704</v>
          </cell>
          <cell r="AH150" t="str">
            <v>N</v>
          </cell>
          <cell r="AI150">
            <v>44.1</v>
          </cell>
          <cell r="AJ150">
            <v>20</v>
          </cell>
          <cell r="AK150" t="str">
            <v>TBD</v>
          </cell>
          <cell r="AL150" t="str">
            <v>Y</v>
          </cell>
          <cell r="AM150">
            <v>200018403</v>
          </cell>
          <cell r="AN150">
            <v>200028403</v>
          </cell>
          <cell r="AO150">
            <v>200018303</v>
          </cell>
          <cell r="AP150">
            <v>200028303</v>
          </cell>
          <cell r="AQ150">
            <v>200018203</v>
          </cell>
          <cell r="AR150">
            <v>200028203</v>
          </cell>
          <cell r="AS150">
            <v>14.555555555555557</v>
          </cell>
          <cell r="AT150">
            <v>20.069602586497279</v>
          </cell>
          <cell r="AU150">
            <v>14.97260437224279</v>
          </cell>
          <cell r="AV150">
            <v>10.224017732239455</v>
          </cell>
          <cell r="AW150">
            <v>41192</v>
          </cell>
        </row>
        <row r="151">
          <cell r="C151" t="str">
            <v>Q.Cells - QPEAK S 195-205_S</v>
          </cell>
          <cell r="D151" t="str">
            <v>Standard Claw</v>
          </cell>
          <cell r="E151">
            <v>5000005</v>
          </cell>
          <cell r="F151">
            <v>39.370078740157481</v>
          </cell>
          <cell r="G151">
            <v>53.070866141732289</v>
          </cell>
          <cell r="H151">
            <v>1.9685039370078741</v>
          </cell>
          <cell r="I151">
            <v>200010701</v>
          </cell>
          <cell r="J151">
            <v>200010801</v>
          </cell>
          <cell r="K151">
            <v>200013801</v>
          </cell>
          <cell r="L151">
            <v>200016301</v>
          </cell>
          <cell r="M151">
            <v>500012557</v>
          </cell>
          <cell r="N151">
            <v>500012657</v>
          </cell>
          <cell r="O151">
            <v>500012558</v>
          </cell>
          <cell r="P151">
            <v>500012658</v>
          </cell>
          <cell r="Q151">
            <v>11.465358118784648</v>
          </cell>
          <cell r="R151">
            <v>10.246997301541942</v>
          </cell>
          <cell r="S151">
            <v>4.835724312021207</v>
          </cell>
          <cell r="T151">
            <v>4.835724312021207</v>
          </cell>
          <cell r="U151">
            <v>11.465358118784648</v>
          </cell>
          <cell r="V151">
            <v>10.246997301541942</v>
          </cell>
          <cell r="W151">
            <v>50</v>
          </cell>
          <cell r="X151">
            <v>36.007874015748037</v>
          </cell>
          <cell r="Y151">
            <v>54.936023622047244</v>
          </cell>
          <cell r="Z151">
            <v>36.007874015748037</v>
          </cell>
          <cell r="AA151">
            <v>54.936023622047244</v>
          </cell>
          <cell r="AB151">
            <v>36.007874015748037</v>
          </cell>
          <cell r="AC151">
            <v>54.936023622047244</v>
          </cell>
          <cell r="AD151">
            <v>54.936023622047244</v>
          </cell>
          <cell r="AE151" t="str">
            <v>NA</v>
          </cell>
          <cell r="AF151" t="str">
            <v>NA</v>
          </cell>
          <cell r="AG151" t="str">
            <v>NA</v>
          </cell>
          <cell r="AH151" t="str">
            <v>N</v>
          </cell>
          <cell r="AI151">
            <v>35.28</v>
          </cell>
          <cell r="AJ151">
            <v>16</v>
          </cell>
          <cell r="AK151" t="str">
            <v>TBD</v>
          </cell>
          <cell r="AL151" t="str">
            <v>Y</v>
          </cell>
          <cell r="AM151" t="str">
            <v>2000184TBD</v>
          </cell>
          <cell r="AN151" t="str">
            <v>2000284TBD</v>
          </cell>
          <cell r="AO151" t="str">
            <v>2000183TBD</v>
          </cell>
          <cell r="AP151" t="str">
            <v>2000283TBD</v>
          </cell>
          <cell r="AQ151" t="str">
            <v>2000182TBD</v>
          </cell>
          <cell r="AR151" t="str">
            <v>2000282TBD</v>
          </cell>
          <cell r="AS151" t="str">
            <v>TBD</v>
          </cell>
          <cell r="AT151" t="str">
            <v>NA</v>
          </cell>
          <cell r="AU151" t="str">
            <v>NA</v>
          </cell>
          <cell r="AV151" t="str">
            <v>NA</v>
          </cell>
          <cell r="AW151">
            <v>41193</v>
          </cell>
        </row>
        <row r="152">
          <cell r="C152" t="str">
            <v>Q.Cells - QPEAK 230-265_S</v>
          </cell>
          <cell r="D152" t="str">
            <v>Standard Claw</v>
          </cell>
          <cell r="E152">
            <v>5000005</v>
          </cell>
          <cell r="F152">
            <v>39.370078740157481</v>
          </cell>
          <cell r="G152">
            <v>65.748031496062993</v>
          </cell>
          <cell r="H152">
            <v>1.9685039370078741</v>
          </cell>
          <cell r="I152">
            <v>200010705</v>
          </cell>
          <cell r="J152">
            <v>200010805</v>
          </cell>
          <cell r="K152">
            <v>200013805</v>
          </cell>
          <cell r="L152">
            <v>200016305</v>
          </cell>
          <cell r="M152">
            <v>500012570</v>
          </cell>
          <cell r="N152">
            <v>500012670</v>
          </cell>
          <cell r="O152">
            <v>500012570</v>
          </cell>
          <cell r="P152">
            <v>500012670</v>
          </cell>
          <cell r="Q152">
            <v>11.465358118784648</v>
          </cell>
          <cell r="R152">
            <v>10.246997301541942</v>
          </cell>
          <cell r="S152">
            <v>4.835724312021207</v>
          </cell>
          <cell r="T152">
            <v>4.835724312021207</v>
          </cell>
          <cell r="U152">
            <v>11.465358118784648</v>
          </cell>
          <cell r="V152">
            <v>10.246997301541942</v>
          </cell>
          <cell r="W152">
            <v>50</v>
          </cell>
          <cell r="X152">
            <v>36.007874015748037</v>
          </cell>
          <cell r="Y152">
            <v>67.613188976377955</v>
          </cell>
          <cell r="Z152">
            <v>36.007874015748037</v>
          </cell>
          <cell r="AA152">
            <v>67.613188976377955</v>
          </cell>
          <cell r="AB152">
            <v>36.007874015748037</v>
          </cell>
          <cell r="AC152">
            <v>67.613188976377955</v>
          </cell>
          <cell r="AD152">
            <v>67.613188976377955</v>
          </cell>
          <cell r="AE152">
            <v>66.248031496062993</v>
          </cell>
          <cell r="AF152">
            <v>24.248031496062996</v>
          </cell>
          <cell r="AG152">
            <v>40.633858267716533</v>
          </cell>
          <cell r="AH152" t="str">
            <v>N</v>
          </cell>
          <cell r="AI152">
            <v>44.1</v>
          </cell>
          <cell r="AJ152">
            <v>20</v>
          </cell>
          <cell r="AK152" t="str">
            <v>TBD</v>
          </cell>
          <cell r="AL152" t="str">
            <v>Y</v>
          </cell>
          <cell r="AM152">
            <v>200018403</v>
          </cell>
          <cell r="AN152">
            <v>200028403</v>
          </cell>
          <cell r="AO152">
            <v>200018303</v>
          </cell>
          <cell r="AP152">
            <v>200028303</v>
          </cell>
          <cell r="AQ152">
            <v>200018203</v>
          </cell>
          <cell r="AR152">
            <v>200028203</v>
          </cell>
          <cell r="AS152">
            <v>14.555555555555557</v>
          </cell>
          <cell r="AT152">
            <v>19.704952178195999</v>
          </cell>
          <cell r="AU152">
            <v>14.705534151836694</v>
          </cell>
          <cell r="AV152">
            <v>10.043842940733546</v>
          </cell>
          <cell r="AW152">
            <v>41193</v>
          </cell>
        </row>
        <row r="153">
          <cell r="C153" t="str">
            <v>Q.Cells - QPRO-G2 230-265_S</v>
          </cell>
          <cell r="D153" t="str">
            <v>Standard Claw</v>
          </cell>
          <cell r="E153">
            <v>5000005</v>
          </cell>
          <cell r="F153">
            <v>39.370078740157481</v>
          </cell>
          <cell r="G153">
            <v>65.748031496062993</v>
          </cell>
          <cell r="H153">
            <v>1.9685039370078741</v>
          </cell>
          <cell r="I153">
            <v>200010705</v>
          </cell>
          <cell r="J153">
            <v>200010805</v>
          </cell>
          <cell r="K153">
            <v>200013805</v>
          </cell>
          <cell r="L153">
            <v>200016305</v>
          </cell>
          <cell r="M153">
            <v>500012570</v>
          </cell>
          <cell r="N153">
            <v>500012670</v>
          </cell>
          <cell r="O153">
            <v>500012570</v>
          </cell>
          <cell r="P153">
            <v>500012670</v>
          </cell>
          <cell r="Q153">
            <v>11.465358118784648</v>
          </cell>
          <cell r="R153">
            <v>10.246997301541942</v>
          </cell>
          <cell r="S153">
            <v>4.835724312021207</v>
          </cell>
          <cell r="T153">
            <v>4.835724312021207</v>
          </cell>
          <cell r="U153">
            <v>11.465358118784648</v>
          </cell>
          <cell r="V153">
            <v>10.246997301541942</v>
          </cell>
          <cell r="W153">
            <v>50</v>
          </cell>
          <cell r="X153">
            <v>36.007874015748037</v>
          </cell>
          <cell r="Y153">
            <v>67.613188976377955</v>
          </cell>
          <cell r="Z153">
            <v>36.007874015748037</v>
          </cell>
          <cell r="AA153">
            <v>67.613188976377955</v>
          </cell>
          <cell r="AB153">
            <v>36.007874015748037</v>
          </cell>
          <cell r="AC153">
            <v>67.613188976377955</v>
          </cell>
          <cell r="AD153">
            <v>67.613188976377955</v>
          </cell>
          <cell r="AE153">
            <v>66.248031496062993</v>
          </cell>
          <cell r="AF153">
            <v>24.248031496062996</v>
          </cell>
          <cell r="AG153">
            <v>40.633858267716533</v>
          </cell>
          <cell r="AH153" t="str">
            <v>N</v>
          </cell>
          <cell r="AI153">
            <v>44.1</v>
          </cell>
          <cell r="AJ153">
            <v>20</v>
          </cell>
          <cell r="AK153" t="str">
            <v>TBD</v>
          </cell>
          <cell r="AL153" t="str">
            <v>Y</v>
          </cell>
          <cell r="AM153">
            <v>200018403</v>
          </cell>
          <cell r="AN153">
            <v>200028403</v>
          </cell>
          <cell r="AO153">
            <v>200018303</v>
          </cell>
          <cell r="AP153">
            <v>200028303</v>
          </cell>
          <cell r="AQ153">
            <v>200018203</v>
          </cell>
          <cell r="AR153">
            <v>200028203</v>
          </cell>
          <cell r="AS153">
            <v>14.555555555555557</v>
          </cell>
          <cell r="AT153">
            <v>19.704952178195999</v>
          </cell>
          <cell r="AU153">
            <v>14.705534151836694</v>
          </cell>
          <cell r="AV153">
            <v>10.043842940733546</v>
          </cell>
          <cell r="AW153">
            <v>41193</v>
          </cell>
        </row>
        <row r="154">
          <cell r="C154" t="str">
            <v>REC Solar - REC205-230AE_S</v>
          </cell>
          <cell r="D154" t="str">
            <v>Standard Claw</v>
          </cell>
          <cell r="E154">
            <v>5000005</v>
          </cell>
          <cell r="F154">
            <v>39.015748031496067</v>
          </cell>
          <cell r="G154">
            <v>65.551181102362207</v>
          </cell>
          <cell r="H154">
            <v>1.6929133858267718</v>
          </cell>
          <cell r="I154">
            <v>200010705</v>
          </cell>
          <cell r="J154">
            <v>200010805</v>
          </cell>
          <cell r="K154">
            <v>200013804</v>
          </cell>
          <cell r="L154">
            <v>200016304</v>
          </cell>
          <cell r="M154">
            <v>500012569</v>
          </cell>
          <cell r="N154">
            <v>500012669</v>
          </cell>
          <cell r="O154">
            <v>500012570</v>
          </cell>
          <cell r="P154">
            <v>500012670</v>
          </cell>
          <cell r="Q154">
            <v>11.712001665978303</v>
          </cell>
          <cell r="R154">
            <v>10.466810122774502</v>
          </cell>
          <cell r="S154">
            <v>4.9385655202770034</v>
          </cell>
          <cell r="T154">
            <v>4.9385655202770034</v>
          </cell>
          <cell r="U154">
            <v>11.712001665978303</v>
          </cell>
          <cell r="V154">
            <v>10.466810122774502</v>
          </cell>
          <cell r="W154">
            <v>50</v>
          </cell>
          <cell r="X154">
            <v>35.259842519685044</v>
          </cell>
          <cell r="Y154">
            <v>67.0226377952756</v>
          </cell>
          <cell r="Z154">
            <v>35.259842519685044</v>
          </cell>
          <cell r="AA154">
            <v>67.0226377952756</v>
          </cell>
          <cell r="AB154">
            <v>35.259842519685044</v>
          </cell>
          <cell r="AC154">
            <v>67.0226377952756</v>
          </cell>
          <cell r="AD154">
            <v>67.0226377952756</v>
          </cell>
          <cell r="AE154">
            <v>66.051181102362207</v>
          </cell>
          <cell r="AF154">
            <v>24.051181102362211</v>
          </cell>
          <cell r="AG154">
            <v>39.885826771653548</v>
          </cell>
          <cell r="AH154" t="str">
            <v>N</v>
          </cell>
          <cell r="AI154">
            <v>48.510000000000005</v>
          </cell>
          <cell r="AJ154">
            <v>22</v>
          </cell>
          <cell r="AK154" t="str">
            <v>TBD</v>
          </cell>
          <cell r="AL154" t="str">
            <v>Y</v>
          </cell>
          <cell r="AM154">
            <v>200018403</v>
          </cell>
          <cell r="AN154">
            <v>200028403</v>
          </cell>
          <cell r="AO154">
            <v>200018303</v>
          </cell>
          <cell r="AP154">
            <v>200028303</v>
          </cell>
          <cell r="AQ154">
            <v>200018203</v>
          </cell>
          <cell r="AR154">
            <v>200028203</v>
          </cell>
          <cell r="AS154">
            <v>14.555555555555557</v>
          </cell>
          <cell r="AT154">
            <v>20.090266090541991</v>
          </cell>
          <cell r="AU154">
            <v>14.987729769699868</v>
          </cell>
          <cell r="AV154">
            <v>10.23421820704114</v>
          </cell>
          <cell r="AW154">
            <v>40665</v>
          </cell>
        </row>
        <row r="155">
          <cell r="C155" t="str">
            <v>REC Solar - REC 220-245 PE _S</v>
          </cell>
          <cell r="D155" t="str">
            <v>Standard Claw</v>
          </cell>
          <cell r="E155">
            <v>5000005</v>
          </cell>
          <cell r="F155">
            <v>39.015748031496067</v>
          </cell>
          <cell r="G155">
            <v>65.551181102362207</v>
          </cell>
          <cell r="H155">
            <v>1.4960629921259843</v>
          </cell>
          <cell r="I155">
            <v>200010705</v>
          </cell>
          <cell r="J155">
            <v>200010805</v>
          </cell>
          <cell r="K155">
            <v>200013805</v>
          </cell>
          <cell r="L155">
            <v>200016305</v>
          </cell>
          <cell r="M155">
            <v>500012570</v>
          </cell>
          <cell r="N155">
            <v>500012670</v>
          </cell>
          <cell r="O155">
            <v>500012570</v>
          </cell>
          <cell r="P155">
            <v>500012670</v>
          </cell>
          <cell r="Q155">
            <v>11.529244460694249</v>
          </cell>
          <cell r="R155">
            <v>10.303937693229198</v>
          </cell>
          <cell r="S155">
            <v>4.8623697312523513</v>
          </cell>
          <cell r="T155">
            <v>4.8623697312523513</v>
          </cell>
          <cell r="U155">
            <v>11.529244460694249</v>
          </cell>
          <cell r="V155">
            <v>10.303937693229198</v>
          </cell>
          <cell r="W155">
            <v>50</v>
          </cell>
          <cell r="X155">
            <v>35.811023622047244</v>
          </cell>
          <cell r="Y155">
            <v>67.573818897637793</v>
          </cell>
          <cell r="Z155">
            <v>35.811023622047244</v>
          </cell>
          <cell r="AA155">
            <v>67.573818897637793</v>
          </cell>
          <cell r="AB155">
            <v>35.811023622047244</v>
          </cell>
          <cell r="AC155">
            <v>67.573818897637793</v>
          </cell>
          <cell r="AD155">
            <v>67.573818897637793</v>
          </cell>
          <cell r="AE155">
            <v>66.051181102362207</v>
          </cell>
          <cell r="AF155">
            <v>24.051181102362211</v>
          </cell>
          <cell r="AG155">
            <v>40.437007874015748</v>
          </cell>
          <cell r="AH155" t="str">
            <v>N</v>
          </cell>
          <cell r="AI155">
            <v>39.69</v>
          </cell>
          <cell r="AJ155">
            <v>18</v>
          </cell>
          <cell r="AK155" t="str">
            <v>TBD</v>
          </cell>
          <cell r="AL155" t="str">
            <v>Y</v>
          </cell>
          <cell r="AM155">
            <v>200018403</v>
          </cell>
          <cell r="AN155">
            <v>200028403</v>
          </cell>
          <cell r="AO155">
            <v>200018303</v>
          </cell>
          <cell r="AP155">
            <v>200028303</v>
          </cell>
          <cell r="AQ155">
            <v>200018203</v>
          </cell>
          <cell r="AR155">
            <v>200028203</v>
          </cell>
          <cell r="AS155">
            <v>14.555555555555557</v>
          </cell>
          <cell r="AT155">
            <v>19.804878512480695</v>
          </cell>
          <cell r="AU155">
            <v>14.778748578610935</v>
          </cell>
          <cell r="AV155">
            <v>10.093247965686727</v>
          </cell>
          <cell r="AW155">
            <v>41261</v>
          </cell>
        </row>
        <row r="156">
          <cell r="C156" t="str">
            <v>Renogy - RNG 230-250 D-P_S</v>
          </cell>
          <cell r="D156" t="str">
            <v>Standard Claw</v>
          </cell>
          <cell r="E156">
            <v>5000005</v>
          </cell>
          <cell r="F156">
            <v>38.976377952755911</v>
          </cell>
          <cell r="G156">
            <v>64.960629921259851</v>
          </cell>
          <cell r="H156">
            <v>1.9685039370078741</v>
          </cell>
          <cell r="I156">
            <v>200010704</v>
          </cell>
          <cell r="J156">
            <v>200010804</v>
          </cell>
          <cell r="K156">
            <v>200013804</v>
          </cell>
          <cell r="L156">
            <v>200016304</v>
          </cell>
          <cell r="M156">
            <v>500012569</v>
          </cell>
          <cell r="N156">
            <v>500012669</v>
          </cell>
          <cell r="O156">
            <v>500012569</v>
          </cell>
          <cell r="P156">
            <v>500012669</v>
          </cell>
          <cell r="Q156">
            <v>11.725279318414811</v>
          </cell>
          <cell r="R156">
            <v>10.478642249707667</v>
          </cell>
          <cell r="S156">
            <v>4.9440996728708777</v>
          </cell>
          <cell r="T156">
            <v>4.9440996728708777</v>
          </cell>
          <cell r="U156">
            <v>11.725279318414811</v>
          </cell>
          <cell r="V156">
            <v>10.478642249707667</v>
          </cell>
          <cell r="W156">
            <v>50</v>
          </cell>
          <cell r="X156">
            <v>35.220472440944881</v>
          </cell>
          <cell r="Y156">
            <v>66.43208661417323</v>
          </cell>
          <cell r="Z156">
            <v>35.220472440944881</v>
          </cell>
          <cell r="AA156">
            <v>66.43208661417323</v>
          </cell>
          <cell r="AB156">
            <v>35.220472440944881</v>
          </cell>
          <cell r="AC156">
            <v>66.43208661417323</v>
          </cell>
          <cell r="AD156">
            <v>66.43208661417323</v>
          </cell>
          <cell r="AE156">
            <v>65.460629921259851</v>
          </cell>
          <cell r="AF156">
            <v>23.460629921259848</v>
          </cell>
          <cell r="AG156">
            <v>39.846456692913392</v>
          </cell>
          <cell r="AH156" t="str">
            <v>Y</v>
          </cell>
          <cell r="AI156">
            <v>41.895000000000003</v>
          </cell>
          <cell r="AJ156">
            <v>19</v>
          </cell>
          <cell r="AK156" t="str">
            <v>TBD</v>
          </cell>
          <cell r="AL156" t="str">
            <v>Y</v>
          </cell>
          <cell r="AM156">
            <v>200018403</v>
          </cell>
          <cell r="AN156">
            <v>200028403</v>
          </cell>
          <cell r="AO156">
            <v>200018303</v>
          </cell>
          <cell r="AP156">
            <v>200028303</v>
          </cell>
          <cell r="AQ156">
            <v>200018203</v>
          </cell>
          <cell r="AR156">
            <v>200028203</v>
          </cell>
          <cell r="AS156">
            <v>14.555555555555557</v>
          </cell>
          <cell r="AT156">
            <v>20.110973161651764</v>
          </cell>
          <cell r="AU156">
            <v>15.002886128524771</v>
          </cell>
          <cell r="AV156">
            <v>10.244439167746933</v>
          </cell>
          <cell r="AW156">
            <v>40980</v>
          </cell>
        </row>
        <row r="157">
          <cell r="C157" t="str">
            <v>Renogy - RNG 270-300 D-P_S</v>
          </cell>
          <cell r="D157" t="str">
            <v>Standard Claw</v>
          </cell>
          <cell r="E157">
            <v>5000005</v>
          </cell>
          <cell r="F157">
            <v>38.976377952755911</v>
          </cell>
          <cell r="G157">
            <v>76.929133858267718</v>
          </cell>
          <cell r="H157">
            <v>1.9685039370078741</v>
          </cell>
          <cell r="I157">
            <v>200010707</v>
          </cell>
          <cell r="J157">
            <v>200010807</v>
          </cell>
          <cell r="K157">
            <v>200013807</v>
          </cell>
          <cell r="L157">
            <v>200016307</v>
          </cell>
          <cell r="M157">
            <v>500012581</v>
          </cell>
          <cell r="N157">
            <v>500012681</v>
          </cell>
          <cell r="O157">
            <v>500012581</v>
          </cell>
          <cell r="P157">
            <v>500012681</v>
          </cell>
          <cell r="Q157">
            <v>11.725279318414811</v>
          </cell>
          <cell r="R157">
            <v>10.478642249707667</v>
          </cell>
          <cell r="S157">
            <v>4.9440996728708777</v>
          </cell>
          <cell r="T157">
            <v>4.9440996728708777</v>
          </cell>
          <cell r="U157">
            <v>11.725279318414811</v>
          </cell>
          <cell r="V157">
            <v>10.478642249707667</v>
          </cell>
          <cell r="W157">
            <v>40</v>
          </cell>
          <cell r="X157">
            <v>35.220472440944881</v>
          </cell>
          <cell r="Y157">
            <v>78.400590551181111</v>
          </cell>
          <cell r="Z157">
            <v>35.220472440944881</v>
          </cell>
          <cell r="AA157">
            <v>78.400590551181111</v>
          </cell>
          <cell r="AB157">
            <v>35.220472440944881</v>
          </cell>
          <cell r="AC157">
            <v>78.400590551181111</v>
          </cell>
          <cell r="AD157">
            <v>78.400590551181111</v>
          </cell>
          <cell r="AE157">
            <v>77.429133858267718</v>
          </cell>
          <cell r="AF157">
            <v>35.429133858267726</v>
          </cell>
          <cell r="AG157">
            <v>39.846456692913392</v>
          </cell>
          <cell r="AH157" t="str">
            <v>Y</v>
          </cell>
          <cell r="AI157">
            <v>50.715000000000003</v>
          </cell>
          <cell r="AJ157">
            <v>23</v>
          </cell>
          <cell r="AK157" t="str">
            <v>TBD</v>
          </cell>
          <cell r="AL157" t="str">
            <v>Y</v>
          </cell>
          <cell r="AM157">
            <v>200018407</v>
          </cell>
          <cell r="AN157">
            <v>200028407</v>
          </cell>
          <cell r="AO157">
            <v>200018307</v>
          </cell>
          <cell r="AP157">
            <v>200028307</v>
          </cell>
          <cell r="AQ157">
            <v>200018207</v>
          </cell>
          <cell r="AR157">
            <v>200028207</v>
          </cell>
          <cell r="AS157">
            <v>17.222222222222221</v>
          </cell>
          <cell r="AT157">
            <v>20.110973161651764</v>
          </cell>
          <cell r="AU157">
            <v>15.002886128524771</v>
          </cell>
          <cell r="AV157">
            <v>10.244439167746933</v>
          </cell>
          <cell r="AW157">
            <v>41026</v>
          </cell>
        </row>
        <row r="158">
          <cell r="C158" t="str">
            <v>S-Energy - SM-PC8 Rail 195-220_M</v>
          </cell>
          <cell r="D158" t="str">
            <v>Short Clamp Multi Claw</v>
          </cell>
          <cell r="E158">
            <v>500000701</v>
          </cell>
          <cell r="F158">
            <v>39.330708661417326</v>
          </cell>
          <cell r="G158">
            <v>59.251968503937015</v>
          </cell>
          <cell r="H158">
            <v>1.9685039370078741</v>
          </cell>
          <cell r="I158">
            <v>200010703</v>
          </cell>
          <cell r="J158">
            <v>200010803</v>
          </cell>
          <cell r="K158">
            <v>200013803</v>
          </cell>
          <cell r="L158">
            <v>200016303</v>
          </cell>
          <cell r="M158">
            <v>500012562</v>
          </cell>
          <cell r="N158">
            <v>500012662</v>
          </cell>
          <cell r="O158">
            <v>500012563</v>
          </cell>
          <cell r="P158">
            <v>500012663</v>
          </cell>
          <cell r="Q158">
            <v>10.974871106573744</v>
          </cell>
          <cell r="R158">
            <v>9.8097507734764164</v>
          </cell>
          <cell r="S158">
            <v>4.6309905154437647</v>
          </cell>
          <cell r="T158">
            <v>4.6309905154437647</v>
          </cell>
          <cell r="U158">
            <v>10.974871106573744</v>
          </cell>
          <cell r="V158">
            <v>9.8097507734764164</v>
          </cell>
          <cell r="W158">
            <v>30</v>
          </cell>
          <cell r="X158">
            <v>37.596062992125987</v>
          </cell>
          <cell r="Y158">
            <v>59.827362204724416</v>
          </cell>
          <cell r="Z158">
            <v>37.596062992125987</v>
          </cell>
          <cell r="AA158">
            <v>59.827362204724416</v>
          </cell>
          <cell r="AB158">
            <v>37.596062992125987</v>
          </cell>
          <cell r="AC158">
            <v>59.827362204724416</v>
          </cell>
          <cell r="AD158">
            <v>59.827362204724416</v>
          </cell>
          <cell r="AE158">
            <v>59.751968503937015</v>
          </cell>
          <cell r="AF158">
            <v>17.751968503937011</v>
          </cell>
          <cell r="AG158">
            <v>40.437007874015748</v>
          </cell>
          <cell r="AH158" t="str">
            <v>N</v>
          </cell>
          <cell r="AI158">
            <v>39.69</v>
          </cell>
          <cell r="AJ158">
            <v>18</v>
          </cell>
          <cell r="AK158" t="str">
            <v>TBD</v>
          </cell>
          <cell r="AL158" t="str">
            <v>Y</v>
          </cell>
          <cell r="AM158">
            <v>200018401</v>
          </cell>
          <cell r="AN158">
            <v>200028401</v>
          </cell>
          <cell r="AO158">
            <v>200018301</v>
          </cell>
          <cell r="AP158">
            <v>200028301</v>
          </cell>
          <cell r="AQ158">
            <v>200018201</v>
          </cell>
          <cell r="AR158">
            <v>200028201</v>
          </cell>
          <cell r="AS158">
            <v>13.22222222222222</v>
          </cell>
          <cell r="AT158">
            <v>19.804878512480695</v>
          </cell>
          <cell r="AU158">
            <v>14.778748578610935</v>
          </cell>
          <cell r="AV158">
            <v>10.093247965686727</v>
          </cell>
          <cell r="AW158">
            <v>41026</v>
          </cell>
        </row>
        <row r="159">
          <cell r="C159" t="str">
            <v>S-Energy - SM-PC8 Rail 225-250_M</v>
          </cell>
          <cell r="D159" t="str">
            <v>Short Clamp Multi Claw</v>
          </cell>
          <cell r="E159">
            <v>500000701</v>
          </cell>
          <cell r="F159">
            <v>39.330708661417326</v>
          </cell>
          <cell r="G159">
            <v>65.551181102362207</v>
          </cell>
          <cell r="H159">
            <v>1.9685039370078741</v>
          </cell>
          <cell r="I159">
            <v>200010704</v>
          </cell>
          <cell r="J159">
            <v>200010804</v>
          </cell>
          <cell r="K159">
            <v>200013804</v>
          </cell>
          <cell r="L159">
            <v>200016304</v>
          </cell>
          <cell r="M159">
            <v>500012568</v>
          </cell>
          <cell r="N159">
            <v>500012668</v>
          </cell>
          <cell r="O159">
            <v>500012569</v>
          </cell>
          <cell r="P159">
            <v>500012669</v>
          </cell>
          <cell r="Q159">
            <v>10.974871106573744</v>
          </cell>
          <cell r="R159">
            <v>9.8097507734764164</v>
          </cell>
          <cell r="S159">
            <v>4.6309905154437647</v>
          </cell>
          <cell r="T159">
            <v>4.6309905154437647</v>
          </cell>
          <cell r="U159">
            <v>10.974871106573744</v>
          </cell>
          <cell r="V159">
            <v>9.8097507734764164</v>
          </cell>
          <cell r="W159">
            <v>30</v>
          </cell>
          <cell r="X159">
            <v>37.596062992125987</v>
          </cell>
          <cell r="Y159">
            <v>66.126574803149609</v>
          </cell>
          <cell r="Z159">
            <v>37.596062992125987</v>
          </cell>
          <cell r="AA159">
            <v>66.126574803149609</v>
          </cell>
          <cell r="AB159">
            <v>37.596062992125987</v>
          </cell>
          <cell r="AC159">
            <v>66.126574803149609</v>
          </cell>
          <cell r="AD159">
            <v>66.126574803149609</v>
          </cell>
          <cell r="AE159">
            <v>66.051181102362207</v>
          </cell>
          <cell r="AF159">
            <v>24.051181102362211</v>
          </cell>
          <cell r="AG159">
            <v>40.437007874015748</v>
          </cell>
          <cell r="AH159" t="str">
            <v>N</v>
          </cell>
          <cell r="AI159">
            <v>44.1</v>
          </cell>
          <cell r="AJ159">
            <v>20</v>
          </cell>
          <cell r="AK159" t="str">
            <v>TBD</v>
          </cell>
          <cell r="AL159" t="str">
            <v>Y</v>
          </cell>
          <cell r="AM159">
            <v>200018403</v>
          </cell>
          <cell r="AN159">
            <v>200028403</v>
          </cell>
          <cell r="AO159">
            <v>200018303</v>
          </cell>
          <cell r="AP159">
            <v>200028303</v>
          </cell>
          <cell r="AQ159">
            <v>200018203</v>
          </cell>
          <cell r="AR159">
            <v>200028203</v>
          </cell>
          <cell r="AS159">
            <v>14.555555555555557</v>
          </cell>
          <cell r="AT159">
            <v>19.804878512480695</v>
          </cell>
          <cell r="AU159">
            <v>14.778748578610935</v>
          </cell>
          <cell r="AV159">
            <v>10.093247965686727</v>
          </cell>
          <cell r="AW159">
            <v>41026</v>
          </cell>
        </row>
        <row r="160">
          <cell r="C160" t="str">
            <v>S-Energy - SM-PC8 Rail 260-295_M</v>
          </cell>
          <cell r="D160" t="str">
            <v>Short Clamp Multi Claw</v>
          </cell>
          <cell r="E160">
            <v>500000701</v>
          </cell>
          <cell r="F160">
            <v>39.330708661417326</v>
          </cell>
          <cell r="G160">
            <v>78.149606299212607</v>
          </cell>
          <cell r="H160">
            <v>1.9685039370078741</v>
          </cell>
          <cell r="I160">
            <v>200010707</v>
          </cell>
          <cell r="J160">
            <v>200010807</v>
          </cell>
          <cell r="K160">
            <v>200013807</v>
          </cell>
          <cell r="L160">
            <v>200016307</v>
          </cell>
          <cell r="M160">
            <v>500012581</v>
          </cell>
          <cell r="N160">
            <v>500012681</v>
          </cell>
          <cell r="O160">
            <v>500012581</v>
          </cell>
          <cell r="P160">
            <v>500012681</v>
          </cell>
          <cell r="Q160">
            <v>10.974871106573744</v>
          </cell>
          <cell r="R160">
            <v>9.8097507734764164</v>
          </cell>
          <cell r="S160">
            <v>4.6309905154437647</v>
          </cell>
          <cell r="T160">
            <v>4.6309905154437647</v>
          </cell>
          <cell r="U160">
            <v>10.974871106573744</v>
          </cell>
          <cell r="V160">
            <v>9.8097507734764164</v>
          </cell>
          <cell r="W160">
            <v>30</v>
          </cell>
          <cell r="X160">
            <v>37.596062992125987</v>
          </cell>
          <cell r="Y160">
            <v>78.725000000000009</v>
          </cell>
          <cell r="Z160">
            <v>37.596062992125987</v>
          </cell>
          <cell r="AA160">
            <v>78.725000000000009</v>
          </cell>
          <cell r="AB160">
            <v>37.596062992125987</v>
          </cell>
          <cell r="AC160">
            <v>78.725000000000009</v>
          </cell>
          <cell r="AD160">
            <v>78.725000000000009</v>
          </cell>
          <cell r="AE160">
            <v>78.649606299212607</v>
          </cell>
          <cell r="AF160">
            <v>36.649606299212607</v>
          </cell>
          <cell r="AG160">
            <v>40.437007874015748</v>
          </cell>
          <cell r="AH160" t="str">
            <v>N</v>
          </cell>
          <cell r="AI160">
            <v>50.715000000000003</v>
          </cell>
          <cell r="AJ160">
            <v>23</v>
          </cell>
          <cell r="AK160" t="str">
            <v>TBD</v>
          </cell>
          <cell r="AL160" t="str">
            <v>Y</v>
          </cell>
          <cell r="AM160">
            <v>200018407</v>
          </cell>
          <cell r="AN160">
            <v>200028407</v>
          </cell>
          <cell r="AO160">
            <v>200018307</v>
          </cell>
          <cell r="AP160">
            <v>200028307</v>
          </cell>
          <cell r="AQ160">
            <v>200018207</v>
          </cell>
          <cell r="AR160">
            <v>200028207</v>
          </cell>
          <cell r="AS160">
            <v>17.222222222222221</v>
          </cell>
          <cell r="AT160">
            <v>19.804878512480695</v>
          </cell>
          <cell r="AU160">
            <v>14.778748578610935</v>
          </cell>
          <cell r="AV160">
            <v>10.093247965686727</v>
          </cell>
          <cell r="AW160">
            <v>41026</v>
          </cell>
        </row>
        <row r="161">
          <cell r="C161" t="str">
            <v>S-Energy - SM-MC8 Rail 220-240_M</v>
          </cell>
          <cell r="D161" t="str">
            <v>Short Clamp Multi Claw</v>
          </cell>
          <cell r="E161">
            <v>500000701</v>
          </cell>
          <cell r="F161">
            <v>39.330708661417326</v>
          </cell>
          <cell r="G161">
            <v>59.251968503937015</v>
          </cell>
          <cell r="H161">
            <v>1.9685039370078741</v>
          </cell>
          <cell r="I161">
            <v>200010703</v>
          </cell>
          <cell r="J161">
            <v>200010803</v>
          </cell>
          <cell r="K161">
            <v>200013803</v>
          </cell>
          <cell r="L161">
            <v>200016303</v>
          </cell>
          <cell r="M161">
            <v>500012562</v>
          </cell>
          <cell r="N161">
            <v>500012662</v>
          </cell>
          <cell r="O161">
            <v>500012563</v>
          </cell>
          <cell r="P161">
            <v>500012663</v>
          </cell>
          <cell r="Q161">
            <v>10.974871106573744</v>
          </cell>
          <cell r="R161">
            <v>9.8097507734764164</v>
          </cell>
          <cell r="S161">
            <v>4.6309905154437647</v>
          </cell>
          <cell r="T161">
            <v>4.6309905154437647</v>
          </cell>
          <cell r="U161">
            <v>10.974871106573744</v>
          </cell>
          <cell r="V161">
            <v>9.8097507734764164</v>
          </cell>
          <cell r="W161">
            <v>30</v>
          </cell>
          <cell r="X161">
            <v>37.596062992125987</v>
          </cell>
          <cell r="Y161">
            <v>59.827362204724416</v>
          </cell>
          <cell r="Z161">
            <v>37.596062992125987</v>
          </cell>
          <cell r="AA161">
            <v>59.827362204724416</v>
          </cell>
          <cell r="AB161">
            <v>37.596062992125987</v>
          </cell>
          <cell r="AC161">
            <v>59.827362204724416</v>
          </cell>
          <cell r="AD161">
            <v>59.827362204724416</v>
          </cell>
          <cell r="AE161">
            <v>59.751968503937015</v>
          </cell>
          <cell r="AF161">
            <v>17.751968503937011</v>
          </cell>
          <cell r="AG161">
            <v>40.437007874015748</v>
          </cell>
          <cell r="AH161" t="str">
            <v>N</v>
          </cell>
          <cell r="AI161">
            <v>39.69</v>
          </cell>
          <cell r="AJ161">
            <v>18</v>
          </cell>
          <cell r="AK161" t="str">
            <v>TBD</v>
          </cell>
          <cell r="AL161" t="str">
            <v>Y</v>
          </cell>
          <cell r="AM161">
            <v>200018401</v>
          </cell>
          <cell r="AN161">
            <v>200028401</v>
          </cell>
          <cell r="AO161">
            <v>200018301</v>
          </cell>
          <cell r="AP161">
            <v>200028301</v>
          </cell>
          <cell r="AQ161">
            <v>200018201</v>
          </cell>
          <cell r="AR161">
            <v>200028201</v>
          </cell>
          <cell r="AS161">
            <v>13.22222222222222</v>
          </cell>
          <cell r="AT161">
            <v>19.804878512480695</v>
          </cell>
          <cell r="AU161">
            <v>14.778748578610935</v>
          </cell>
          <cell r="AV161">
            <v>10.093247965686727</v>
          </cell>
          <cell r="AW161">
            <v>41026</v>
          </cell>
        </row>
        <row r="162">
          <cell r="C162" t="str">
            <v>S-Energy - SM-MC8 Rail 245-260_M</v>
          </cell>
          <cell r="D162" t="str">
            <v>Short Clamp Multi Claw</v>
          </cell>
          <cell r="E162">
            <v>500000701</v>
          </cell>
          <cell r="F162">
            <v>39.330708661417326</v>
          </cell>
          <cell r="G162">
            <v>65.551181102362207</v>
          </cell>
          <cell r="H162">
            <v>1.9685039370078741</v>
          </cell>
          <cell r="I162">
            <v>200010704</v>
          </cell>
          <cell r="J162">
            <v>200010804</v>
          </cell>
          <cell r="K162">
            <v>200013804</v>
          </cell>
          <cell r="L162">
            <v>200016304</v>
          </cell>
          <cell r="M162">
            <v>500012568</v>
          </cell>
          <cell r="N162">
            <v>500012668</v>
          </cell>
          <cell r="O162">
            <v>500012569</v>
          </cell>
          <cell r="P162">
            <v>500012669</v>
          </cell>
          <cell r="Q162">
            <v>10.974871106573744</v>
          </cell>
          <cell r="R162">
            <v>9.8097507734764164</v>
          </cell>
          <cell r="S162">
            <v>4.6309905154437647</v>
          </cell>
          <cell r="T162">
            <v>4.6309905154437647</v>
          </cell>
          <cell r="U162">
            <v>10.974871106573744</v>
          </cell>
          <cell r="V162">
            <v>9.8097507734764164</v>
          </cell>
          <cell r="W162">
            <v>30</v>
          </cell>
          <cell r="X162">
            <v>37.596062992125987</v>
          </cell>
          <cell r="Y162">
            <v>66.126574803149609</v>
          </cell>
          <cell r="Z162">
            <v>37.596062992125987</v>
          </cell>
          <cell r="AA162">
            <v>66.126574803149609</v>
          </cell>
          <cell r="AB162">
            <v>37.596062992125987</v>
          </cell>
          <cell r="AC162">
            <v>66.126574803149609</v>
          </cell>
          <cell r="AD162">
            <v>66.126574803149609</v>
          </cell>
          <cell r="AE162">
            <v>66.051181102362207</v>
          </cell>
          <cell r="AF162">
            <v>24.051181102362211</v>
          </cell>
          <cell r="AG162">
            <v>40.437007874015748</v>
          </cell>
          <cell r="AH162" t="str">
            <v>N</v>
          </cell>
          <cell r="AI162">
            <v>44.1</v>
          </cell>
          <cell r="AJ162">
            <v>20</v>
          </cell>
          <cell r="AK162" t="str">
            <v>TBD</v>
          </cell>
          <cell r="AL162" t="str">
            <v>Y</v>
          </cell>
          <cell r="AM162">
            <v>200018403</v>
          </cell>
          <cell r="AN162">
            <v>200028403</v>
          </cell>
          <cell r="AO162">
            <v>200018303</v>
          </cell>
          <cell r="AP162">
            <v>200028303</v>
          </cell>
          <cell r="AQ162">
            <v>200018203</v>
          </cell>
          <cell r="AR162">
            <v>200028203</v>
          </cell>
          <cell r="AS162">
            <v>14.555555555555557</v>
          </cell>
          <cell r="AT162">
            <v>19.804878512480695</v>
          </cell>
          <cell r="AU162">
            <v>14.778748578610935</v>
          </cell>
          <cell r="AV162">
            <v>10.093247965686727</v>
          </cell>
          <cell r="AW162">
            <v>41026</v>
          </cell>
        </row>
        <row r="163">
          <cell r="C163" t="str">
            <v>S-Energy - SM-PC8 Hole 195-220_S</v>
          </cell>
          <cell r="D163" t="str">
            <v>Standard Claw</v>
          </cell>
          <cell r="E163">
            <v>5000005</v>
          </cell>
          <cell r="F163">
            <v>39.330708661417326</v>
          </cell>
          <cell r="G163">
            <v>59.251968503937015</v>
          </cell>
          <cell r="H163">
            <v>1.9685039370078741</v>
          </cell>
          <cell r="I163">
            <v>200010703</v>
          </cell>
          <cell r="J163">
            <v>200010803</v>
          </cell>
          <cell r="K163">
            <v>200013803</v>
          </cell>
          <cell r="L163">
            <v>200016303</v>
          </cell>
          <cell r="M163">
            <v>500012563</v>
          </cell>
          <cell r="N163">
            <v>500012663</v>
          </cell>
          <cell r="O163">
            <v>500012564</v>
          </cell>
          <cell r="P163">
            <v>500012664</v>
          </cell>
          <cell r="Q163">
            <v>11.529244460694249</v>
          </cell>
          <cell r="R163">
            <v>10.303937693229198</v>
          </cell>
          <cell r="S163">
            <v>4.8623697312523513</v>
          </cell>
          <cell r="T163">
            <v>4.8623697312523513</v>
          </cell>
          <cell r="U163">
            <v>11.529244460694249</v>
          </cell>
          <cell r="V163">
            <v>10.303937693229198</v>
          </cell>
          <cell r="W163">
            <v>30</v>
          </cell>
          <cell r="X163">
            <v>35.811023622047244</v>
          </cell>
          <cell r="Y163">
            <v>60.959645669291341</v>
          </cell>
          <cell r="Z163">
            <v>35.811023622047244</v>
          </cell>
          <cell r="AA163">
            <v>60.959645669291341</v>
          </cell>
          <cell r="AB163">
            <v>35.811023622047244</v>
          </cell>
          <cell r="AC163">
            <v>60.959645669291341</v>
          </cell>
          <cell r="AD163">
            <v>60.959645669291341</v>
          </cell>
          <cell r="AE163">
            <v>59.751968503937015</v>
          </cell>
          <cell r="AF163">
            <v>17.751968503937011</v>
          </cell>
          <cell r="AG163">
            <v>40.437007874015748</v>
          </cell>
          <cell r="AH163" t="str">
            <v>N</v>
          </cell>
          <cell r="AI163">
            <v>39.69</v>
          </cell>
          <cell r="AJ163">
            <v>18</v>
          </cell>
          <cell r="AK163" t="str">
            <v>TBD</v>
          </cell>
          <cell r="AL163" t="str">
            <v>Y</v>
          </cell>
          <cell r="AM163">
            <v>200018401</v>
          </cell>
          <cell r="AN163">
            <v>200028401</v>
          </cell>
          <cell r="AO163">
            <v>200018301</v>
          </cell>
          <cell r="AP163">
            <v>200028301</v>
          </cell>
          <cell r="AQ163">
            <v>200018201</v>
          </cell>
          <cell r="AR163">
            <v>200028201</v>
          </cell>
          <cell r="AS163">
            <v>13.22222222222222</v>
          </cell>
          <cell r="AT163">
            <v>19.804878512480695</v>
          </cell>
          <cell r="AU163">
            <v>14.778748578610935</v>
          </cell>
          <cell r="AV163">
            <v>10.093247965686727</v>
          </cell>
          <cell r="AW163">
            <v>41026</v>
          </cell>
        </row>
        <row r="164">
          <cell r="C164" t="str">
            <v>S-Energy - SM-PC8 Hole 225-250_S</v>
          </cell>
          <cell r="D164" t="str">
            <v>Standard Claw</v>
          </cell>
          <cell r="E164">
            <v>5000005</v>
          </cell>
          <cell r="F164">
            <v>39.330708661417326</v>
          </cell>
          <cell r="G164">
            <v>65.551181102362207</v>
          </cell>
          <cell r="H164">
            <v>1.9685039370078741</v>
          </cell>
          <cell r="I164">
            <v>200010705</v>
          </cell>
          <cell r="J164">
            <v>200010805</v>
          </cell>
          <cell r="K164">
            <v>200013805</v>
          </cell>
          <cell r="L164">
            <v>200016305</v>
          </cell>
          <cell r="M164">
            <v>500012570</v>
          </cell>
          <cell r="N164">
            <v>500012670</v>
          </cell>
          <cell r="O164">
            <v>500012570</v>
          </cell>
          <cell r="P164">
            <v>500012670</v>
          </cell>
          <cell r="Q164">
            <v>11.529244460694249</v>
          </cell>
          <cell r="R164">
            <v>10.303937693229198</v>
          </cell>
          <cell r="S164">
            <v>4.8623697312523513</v>
          </cell>
          <cell r="T164">
            <v>4.8623697312523513</v>
          </cell>
          <cell r="U164">
            <v>11.529244460694249</v>
          </cell>
          <cell r="V164">
            <v>10.303937693229198</v>
          </cell>
          <cell r="W164">
            <v>30</v>
          </cell>
          <cell r="X164">
            <v>35.811023622047244</v>
          </cell>
          <cell r="Y164">
            <v>67.258858267716533</v>
          </cell>
          <cell r="Z164">
            <v>35.811023622047244</v>
          </cell>
          <cell r="AA164">
            <v>67.258858267716533</v>
          </cell>
          <cell r="AB164">
            <v>35.811023622047244</v>
          </cell>
          <cell r="AC164">
            <v>67.258858267716533</v>
          </cell>
          <cell r="AD164">
            <v>67.258858267716533</v>
          </cell>
          <cell r="AE164">
            <v>66.051181102362207</v>
          </cell>
          <cell r="AF164">
            <v>24.051181102362211</v>
          </cell>
          <cell r="AG164">
            <v>40.437007874015748</v>
          </cell>
          <cell r="AH164" t="str">
            <v>N</v>
          </cell>
          <cell r="AI164">
            <v>44.1</v>
          </cell>
          <cell r="AJ164">
            <v>20</v>
          </cell>
          <cell r="AK164" t="str">
            <v>TBD</v>
          </cell>
          <cell r="AL164" t="str">
            <v>Y</v>
          </cell>
          <cell r="AM164">
            <v>200018403</v>
          </cell>
          <cell r="AN164">
            <v>200028403</v>
          </cell>
          <cell r="AO164">
            <v>200018303</v>
          </cell>
          <cell r="AP164">
            <v>200028303</v>
          </cell>
          <cell r="AQ164">
            <v>200018203</v>
          </cell>
          <cell r="AR164">
            <v>200028203</v>
          </cell>
          <cell r="AS164">
            <v>14.555555555555557</v>
          </cell>
          <cell r="AT164">
            <v>19.804878512480695</v>
          </cell>
          <cell r="AU164">
            <v>14.778748578610935</v>
          </cell>
          <cell r="AV164">
            <v>10.093247965686727</v>
          </cell>
          <cell r="AW164">
            <v>41026</v>
          </cell>
        </row>
        <row r="165">
          <cell r="C165" t="str">
            <v>S-Energy - SM-PC8 Hole 260-295_S</v>
          </cell>
          <cell r="D165" t="str">
            <v>Standard Claw</v>
          </cell>
          <cell r="E165">
            <v>5000005</v>
          </cell>
          <cell r="F165">
            <v>39.330708661417326</v>
          </cell>
          <cell r="G165">
            <v>78.149606299212607</v>
          </cell>
          <cell r="H165">
            <v>1.9685039370078741</v>
          </cell>
          <cell r="I165">
            <v>200010708</v>
          </cell>
          <cell r="J165">
            <v>200010808</v>
          </cell>
          <cell r="K165">
            <v>200013808</v>
          </cell>
          <cell r="L165">
            <v>200016308</v>
          </cell>
          <cell r="M165">
            <v>500012582</v>
          </cell>
          <cell r="N165">
            <v>500012682</v>
          </cell>
          <cell r="O165">
            <v>500012582</v>
          </cell>
          <cell r="P165">
            <v>500012682</v>
          </cell>
          <cell r="Q165">
            <v>11.529244460694249</v>
          </cell>
          <cell r="R165">
            <v>10.303937693229198</v>
          </cell>
          <cell r="S165">
            <v>4.8623697312523513</v>
          </cell>
          <cell r="T165">
            <v>4.8623697312523513</v>
          </cell>
          <cell r="U165">
            <v>11.529244460694249</v>
          </cell>
          <cell r="V165">
            <v>10.303937693229198</v>
          </cell>
          <cell r="W165">
            <v>30</v>
          </cell>
          <cell r="X165">
            <v>35.811023622047244</v>
          </cell>
          <cell r="Y165">
            <v>79.857283464566933</v>
          </cell>
          <cell r="Z165">
            <v>35.811023622047244</v>
          </cell>
          <cell r="AA165">
            <v>79.857283464566933</v>
          </cell>
          <cell r="AB165">
            <v>35.811023622047244</v>
          </cell>
          <cell r="AC165">
            <v>79.857283464566933</v>
          </cell>
          <cell r="AD165">
            <v>79.857283464566933</v>
          </cell>
          <cell r="AE165">
            <v>78.649606299212607</v>
          </cell>
          <cell r="AF165">
            <v>36.649606299212607</v>
          </cell>
          <cell r="AG165">
            <v>40.437007874015748</v>
          </cell>
          <cell r="AH165" t="str">
            <v>N</v>
          </cell>
          <cell r="AI165">
            <v>50.715000000000003</v>
          </cell>
          <cell r="AJ165">
            <v>23</v>
          </cell>
          <cell r="AK165" t="str">
            <v>TBD</v>
          </cell>
          <cell r="AL165" t="str">
            <v>Y</v>
          </cell>
          <cell r="AM165">
            <v>200018407</v>
          </cell>
          <cell r="AN165">
            <v>200028407</v>
          </cell>
          <cell r="AO165">
            <v>200018307</v>
          </cell>
          <cell r="AP165">
            <v>200028307</v>
          </cell>
          <cell r="AQ165">
            <v>200018207</v>
          </cell>
          <cell r="AR165">
            <v>200028207</v>
          </cell>
          <cell r="AS165">
            <v>17.222222222222221</v>
          </cell>
          <cell r="AT165">
            <v>19.804878512480695</v>
          </cell>
          <cell r="AU165">
            <v>14.778748578610935</v>
          </cell>
          <cell r="AV165">
            <v>10.093247965686727</v>
          </cell>
          <cell r="AW165">
            <v>41026</v>
          </cell>
        </row>
        <row r="166">
          <cell r="C166" t="str">
            <v>S-Energy - SM-MC8 Hole 220-240_S</v>
          </cell>
          <cell r="D166" t="str">
            <v>Standard Claw</v>
          </cell>
          <cell r="E166">
            <v>5000005</v>
          </cell>
          <cell r="F166">
            <v>39.330708661417326</v>
          </cell>
          <cell r="G166">
            <v>59.251968503937015</v>
          </cell>
          <cell r="H166">
            <v>1.9685039370078741</v>
          </cell>
          <cell r="I166">
            <v>200010703</v>
          </cell>
          <cell r="J166">
            <v>200010803</v>
          </cell>
          <cell r="K166">
            <v>200013803</v>
          </cell>
          <cell r="L166">
            <v>200016303</v>
          </cell>
          <cell r="M166">
            <v>500012563</v>
          </cell>
          <cell r="N166">
            <v>500012663</v>
          </cell>
          <cell r="O166">
            <v>500012564</v>
          </cell>
          <cell r="P166">
            <v>500012664</v>
          </cell>
          <cell r="Q166">
            <v>11.529244460694249</v>
          </cell>
          <cell r="R166">
            <v>10.303937693229198</v>
          </cell>
          <cell r="S166">
            <v>4.8623697312523513</v>
          </cell>
          <cell r="T166">
            <v>4.8623697312523513</v>
          </cell>
          <cell r="U166">
            <v>11.529244460694249</v>
          </cell>
          <cell r="V166">
            <v>10.303937693229198</v>
          </cell>
          <cell r="W166">
            <v>30</v>
          </cell>
          <cell r="X166">
            <v>35.811023622047244</v>
          </cell>
          <cell r="Y166">
            <v>60.959645669291341</v>
          </cell>
          <cell r="Z166">
            <v>35.811023622047244</v>
          </cell>
          <cell r="AA166">
            <v>60.959645669291341</v>
          </cell>
          <cell r="AB166">
            <v>35.811023622047244</v>
          </cell>
          <cell r="AC166">
            <v>60.959645669291341</v>
          </cell>
          <cell r="AD166">
            <v>60.959645669291341</v>
          </cell>
          <cell r="AE166">
            <v>59.751968503937015</v>
          </cell>
          <cell r="AF166">
            <v>17.751968503937011</v>
          </cell>
          <cell r="AG166">
            <v>40.437007874015748</v>
          </cell>
          <cell r="AH166" t="str">
            <v>N</v>
          </cell>
          <cell r="AI166">
            <v>39.69</v>
          </cell>
          <cell r="AJ166">
            <v>18</v>
          </cell>
          <cell r="AK166" t="str">
            <v>TBD</v>
          </cell>
          <cell r="AL166" t="str">
            <v>Y</v>
          </cell>
          <cell r="AM166">
            <v>200018401</v>
          </cell>
          <cell r="AN166">
            <v>200028401</v>
          </cell>
          <cell r="AO166">
            <v>200018301</v>
          </cell>
          <cell r="AP166">
            <v>200028301</v>
          </cell>
          <cell r="AQ166">
            <v>200018201</v>
          </cell>
          <cell r="AR166">
            <v>200028201</v>
          </cell>
          <cell r="AS166">
            <v>13.22222222222222</v>
          </cell>
          <cell r="AT166">
            <v>19.804878512480695</v>
          </cell>
          <cell r="AU166">
            <v>14.778748578610935</v>
          </cell>
          <cell r="AV166">
            <v>10.093247965686727</v>
          </cell>
          <cell r="AW166">
            <v>41026</v>
          </cell>
        </row>
        <row r="167">
          <cell r="C167" t="str">
            <v>S-Energy - SM-MC8 Hole 245-260_S</v>
          </cell>
          <cell r="D167" t="str">
            <v>Standard Claw</v>
          </cell>
          <cell r="E167">
            <v>5000005</v>
          </cell>
          <cell r="F167">
            <v>39.330708661417326</v>
          </cell>
          <cell r="G167">
            <v>65.551181102362207</v>
          </cell>
          <cell r="H167">
            <v>1.9685039370078741</v>
          </cell>
          <cell r="I167">
            <v>200010705</v>
          </cell>
          <cell r="J167">
            <v>200010805</v>
          </cell>
          <cell r="K167">
            <v>200013805</v>
          </cell>
          <cell r="L167">
            <v>200016305</v>
          </cell>
          <cell r="M167">
            <v>500012570</v>
          </cell>
          <cell r="N167">
            <v>500012670</v>
          </cell>
          <cell r="O167">
            <v>500012570</v>
          </cell>
          <cell r="P167">
            <v>500012670</v>
          </cell>
          <cell r="Q167">
            <v>11.529244460694249</v>
          </cell>
          <cell r="R167">
            <v>10.303937693229198</v>
          </cell>
          <cell r="S167">
            <v>4.8623697312523513</v>
          </cell>
          <cell r="T167">
            <v>4.8623697312523513</v>
          </cell>
          <cell r="U167">
            <v>11.529244460694249</v>
          </cell>
          <cell r="V167">
            <v>10.303937693229198</v>
          </cell>
          <cell r="W167">
            <v>30</v>
          </cell>
          <cell r="X167">
            <v>35.811023622047244</v>
          </cell>
          <cell r="Y167">
            <v>67.258858267716533</v>
          </cell>
          <cell r="Z167">
            <v>35.811023622047244</v>
          </cell>
          <cell r="AA167">
            <v>67.258858267716533</v>
          </cell>
          <cell r="AB167">
            <v>35.811023622047244</v>
          </cell>
          <cell r="AC167">
            <v>67.258858267716533</v>
          </cell>
          <cell r="AD167">
            <v>67.258858267716533</v>
          </cell>
          <cell r="AE167">
            <v>66.051181102362207</v>
          </cell>
          <cell r="AF167">
            <v>24.051181102362211</v>
          </cell>
          <cell r="AG167">
            <v>40.437007874015748</v>
          </cell>
          <cell r="AH167" t="str">
            <v>N</v>
          </cell>
          <cell r="AI167">
            <v>44.1</v>
          </cell>
          <cell r="AJ167">
            <v>20</v>
          </cell>
          <cell r="AK167" t="str">
            <v>TBD</v>
          </cell>
          <cell r="AL167" t="str">
            <v>Y</v>
          </cell>
          <cell r="AM167">
            <v>200018403</v>
          </cell>
          <cell r="AN167">
            <v>200028403</v>
          </cell>
          <cell r="AO167">
            <v>200018303</v>
          </cell>
          <cell r="AP167">
            <v>200028303</v>
          </cell>
          <cell r="AQ167">
            <v>200018203</v>
          </cell>
          <cell r="AR167">
            <v>200028203</v>
          </cell>
          <cell r="AS167">
            <v>14.555555555555557</v>
          </cell>
          <cell r="AT167">
            <v>19.804878512480695</v>
          </cell>
          <cell r="AU167">
            <v>14.778748578610935</v>
          </cell>
          <cell r="AV167">
            <v>10.093247965686727</v>
          </cell>
          <cell r="AW167">
            <v>41026</v>
          </cell>
        </row>
        <row r="168">
          <cell r="C168" t="str">
            <v>Samsung - LPC 235-250 SM-05-06-08_S</v>
          </cell>
          <cell r="D168" t="str">
            <v>Standard Claw</v>
          </cell>
          <cell r="E168">
            <v>5000005</v>
          </cell>
          <cell r="F168">
            <v>38.661417322834644</v>
          </cell>
          <cell r="G168">
            <v>64.173228346456696</v>
          </cell>
          <cell r="H168">
            <v>1.8110236220472442</v>
          </cell>
          <cell r="I168">
            <v>200010704</v>
          </cell>
          <cell r="J168">
            <v>200010804</v>
          </cell>
          <cell r="K168">
            <v>200013804</v>
          </cell>
          <cell r="L168">
            <v>200016304</v>
          </cell>
          <cell r="M168">
            <v>500012568</v>
          </cell>
          <cell r="N168">
            <v>500012668</v>
          </cell>
          <cell r="O168">
            <v>500012569</v>
          </cell>
          <cell r="P168">
            <v>500012669</v>
          </cell>
          <cell r="Q168">
            <v>11.646065132777842</v>
          </cell>
          <cell r="R168">
            <v>10.40805030701417</v>
          </cell>
          <cell r="S168">
            <v>4.911079789514722</v>
          </cell>
          <cell r="T168">
            <v>4.911079789514722</v>
          </cell>
          <cell r="U168">
            <v>11.646065132777842</v>
          </cell>
          <cell r="V168">
            <v>10.40805030701417</v>
          </cell>
          <cell r="W168">
            <v>50</v>
          </cell>
          <cell r="X168">
            <v>35.45669291338583</v>
          </cell>
          <cell r="Y168">
            <v>66.195866141732282</v>
          </cell>
          <cell r="Z168">
            <v>35.45669291338583</v>
          </cell>
          <cell r="AA168">
            <v>66.195866141732282</v>
          </cell>
          <cell r="AB168">
            <v>35.45669291338583</v>
          </cell>
          <cell r="AC168">
            <v>66.195866141732282</v>
          </cell>
          <cell r="AD168">
            <v>66.195866141732282</v>
          </cell>
          <cell r="AE168">
            <v>64.673228346456696</v>
          </cell>
          <cell r="AF168">
            <v>22.673228346456696</v>
          </cell>
          <cell r="AG168">
            <v>40.082677165354333</v>
          </cell>
          <cell r="AH168" t="str">
            <v>Y</v>
          </cell>
          <cell r="AI168">
            <v>41.013000000000005</v>
          </cell>
          <cell r="AJ168">
            <v>18.600000000000001</v>
          </cell>
          <cell r="AK168" t="str">
            <v>TBD</v>
          </cell>
          <cell r="AL168" t="str">
            <v>Y</v>
          </cell>
          <cell r="AM168">
            <v>200018403</v>
          </cell>
          <cell r="AN168">
            <v>200028403</v>
          </cell>
          <cell r="AO168">
            <v>200018303</v>
          </cell>
          <cell r="AP168">
            <v>200028303</v>
          </cell>
          <cell r="AQ168">
            <v>200018203</v>
          </cell>
          <cell r="AR168">
            <v>200028203</v>
          </cell>
          <cell r="AS168">
            <v>14.555555555555557</v>
          </cell>
          <cell r="AT168">
            <v>19.987381438876472</v>
          </cell>
          <cell r="AU168">
            <v>14.912410483320945</v>
          </cell>
          <cell r="AV168">
            <v>10.183419458492327</v>
          </cell>
          <cell r="AW168">
            <v>40807</v>
          </cell>
        </row>
        <row r="169">
          <cell r="C169" t="str">
            <v>Samsung - PV-MBA1AG 240-250_M</v>
          </cell>
          <cell r="D169" t="str">
            <v>Short Clamp Multi Claw</v>
          </cell>
          <cell r="E169">
            <v>500000701</v>
          </cell>
          <cell r="F169">
            <v>39.055118110236222</v>
          </cell>
          <cell r="G169">
            <v>64.724409448818903</v>
          </cell>
          <cell r="H169">
            <v>1.8110236220472442</v>
          </cell>
          <cell r="I169">
            <v>200010704</v>
          </cell>
          <cell r="J169">
            <v>200010804</v>
          </cell>
          <cell r="K169">
            <v>200013804</v>
          </cell>
          <cell r="L169">
            <v>200016304</v>
          </cell>
          <cell r="M169">
            <v>500012568</v>
          </cell>
          <cell r="N169">
            <v>500012668</v>
          </cell>
          <cell r="O169">
            <v>500012568</v>
          </cell>
          <cell r="P169">
            <v>500012668</v>
          </cell>
          <cell r="Q169">
            <v>10.963248121106982</v>
          </cell>
          <cell r="R169">
            <v>9.7993875846612788</v>
          </cell>
          <cell r="S169">
            <v>4.6261355187561186</v>
          </cell>
          <cell r="T169">
            <v>4.6261355187561186</v>
          </cell>
          <cell r="U169">
            <v>10.963248121106982</v>
          </cell>
          <cell r="V169">
            <v>9.7993875846612788</v>
          </cell>
          <cell r="W169">
            <v>50</v>
          </cell>
          <cell r="X169">
            <v>37.635433070866149</v>
          </cell>
          <cell r="Y169">
            <v>65.299803149606305</v>
          </cell>
          <cell r="Z169">
            <v>37.635433070866149</v>
          </cell>
          <cell r="AA169">
            <v>65.299803149606305</v>
          </cell>
          <cell r="AB169">
            <v>37.635433070866149</v>
          </cell>
          <cell r="AC169">
            <v>65.299803149606305</v>
          </cell>
          <cell r="AD169">
            <v>65.299803149606305</v>
          </cell>
          <cell r="AE169">
            <v>65.224409448818903</v>
          </cell>
          <cell r="AF169">
            <v>23.224409448818903</v>
          </cell>
          <cell r="AG169">
            <v>40.161417322834652</v>
          </cell>
          <cell r="AH169" t="str">
            <v>Y</v>
          </cell>
          <cell r="AI169">
            <v>44.540999999999997</v>
          </cell>
          <cell r="AJ169">
            <v>20.2</v>
          </cell>
          <cell r="AK169" t="str">
            <v>TBD</v>
          </cell>
          <cell r="AL169" t="str">
            <v>Y</v>
          </cell>
          <cell r="AM169">
            <v>200018403</v>
          </cell>
          <cell r="AN169">
            <v>200028403</v>
          </cell>
          <cell r="AO169">
            <v>200018303</v>
          </cell>
          <cell r="AP169">
            <v>200028303</v>
          </cell>
          <cell r="AQ169">
            <v>200018203</v>
          </cell>
          <cell r="AR169">
            <v>200028203</v>
          </cell>
          <cell r="AS169">
            <v>14.555555555555557</v>
          </cell>
          <cell r="AT169">
            <v>19.946528641915926</v>
          </cell>
          <cell r="AU169">
            <v>14.882496831605591</v>
          </cell>
          <cell r="AV169">
            <v>10.163241640344483</v>
          </cell>
          <cell r="AW169">
            <v>40807</v>
          </cell>
        </row>
        <row r="170">
          <cell r="C170" t="str">
            <v>Samsung - PV-EBA1AG 245-255_M</v>
          </cell>
          <cell r="D170" t="str">
            <v>Short Clamp Multi Claw</v>
          </cell>
          <cell r="E170">
            <v>500000701</v>
          </cell>
          <cell r="F170">
            <v>39.055118110236222</v>
          </cell>
          <cell r="G170">
            <v>64.724409448818903</v>
          </cell>
          <cell r="H170">
            <v>1.8110236220472442</v>
          </cell>
          <cell r="I170">
            <v>200010704</v>
          </cell>
          <cell r="J170">
            <v>200010804</v>
          </cell>
          <cell r="K170">
            <v>200013804</v>
          </cell>
          <cell r="L170">
            <v>200016304</v>
          </cell>
          <cell r="M170">
            <v>500012568</v>
          </cell>
          <cell r="N170">
            <v>500012668</v>
          </cell>
          <cell r="O170">
            <v>500012568</v>
          </cell>
          <cell r="P170">
            <v>500012668</v>
          </cell>
          <cell r="Q170">
            <v>10.963248121106982</v>
          </cell>
          <cell r="R170">
            <v>9.7993875846612788</v>
          </cell>
          <cell r="S170">
            <v>4.6261355187561186</v>
          </cell>
          <cell r="T170">
            <v>4.6261355187561186</v>
          </cell>
          <cell r="U170">
            <v>10.963248121106982</v>
          </cell>
          <cell r="V170">
            <v>9.7993875846612788</v>
          </cell>
          <cell r="W170">
            <v>50</v>
          </cell>
          <cell r="X170">
            <v>37.635433070866149</v>
          </cell>
          <cell r="Y170">
            <v>65.299803149606305</v>
          </cell>
          <cell r="Z170">
            <v>37.635433070866149</v>
          </cell>
          <cell r="AA170">
            <v>65.299803149606305</v>
          </cell>
          <cell r="AB170">
            <v>37.635433070866149</v>
          </cell>
          <cell r="AC170">
            <v>65.299803149606305</v>
          </cell>
          <cell r="AD170">
            <v>65.299803149606305</v>
          </cell>
          <cell r="AE170">
            <v>65.224409448818903</v>
          </cell>
          <cell r="AF170">
            <v>23.224409448818903</v>
          </cell>
          <cell r="AG170">
            <v>40.161417322834652</v>
          </cell>
          <cell r="AH170" t="str">
            <v>Y</v>
          </cell>
          <cell r="AI170">
            <v>44.540999999999997</v>
          </cell>
          <cell r="AJ170">
            <v>20.2</v>
          </cell>
          <cell r="AK170" t="str">
            <v>TBD</v>
          </cell>
          <cell r="AL170" t="str">
            <v>Y</v>
          </cell>
          <cell r="AM170">
            <v>200018403</v>
          </cell>
          <cell r="AN170">
            <v>200028403</v>
          </cell>
          <cell r="AO170">
            <v>200018303</v>
          </cell>
          <cell r="AP170">
            <v>200028303</v>
          </cell>
          <cell r="AQ170">
            <v>200018203</v>
          </cell>
          <cell r="AR170">
            <v>200028203</v>
          </cell>
          <cell r="AS170">
            <v>14.555555555555557</v>
          </cell>
          <cell r="AT170">
            <v>19.946528641915926</v>
          </cell>
          <cell r="AU170">
            <v>14.882496831605591</v>
          </cell>
          <cell r="AV170">
            <v>10.163241640344483</v>
          </cell>
          <cell r="AW170">
            <v>40807</v>
          </cell>
        </row>
        <row r="171">
          <cell r="C171" t="str">
            <v>Scheuten - Multisol P6-54 190-215 _S</v>
          </cell>
          <cell r="D171" t="str">
            <v>Standard Claw</v>
          </cell>
          <cell r="E171">
            <v>5000005</v>
          </cell>
          <cell r="F171">
            <v>39.370078740157481</v>
          </cell>
          <cell r="G171">
            <v>59.055118110236222</v>
          </cell>
          <cell r="H171">
            <v>1.6535433070866143</v>
          </cell>
          <cell r="I171">
            <v>200010703</v>
          </cell>
          <cell r="J171">
            <v>200010803</v>
          </cell>
          <cell r="K171">
            <v>200013803</v>
          </cell>
          <cell r="L171">
            <v>200016303</v>
          </cell>
          <cell r="M171">
            <v>500012563</v>
          </cell>
          <cell r="N171">
            <v>500012663</v>
          </cell>
          <cell r="O171">
            <v>500012564</v>
          </cell>
          <cell r="P171">
            <v>500012664</v>
          </cell>
          <cell r="Q171">
            <v>11.389629250601068</v>
          </cell>
          <cell r="R171">
            <v>10.17949851730765</v>
          </cell>
          <cell r="S171">
            <v>4.8041332214318873</v>
          </cell>
          <cell r="T171">
            <v>4.8041332214318873</v>
          </cell>
          <cell r="U171">
            <v>11.389629250601068</v>
          </cell>
          <cell r="V171">
            <v>10.17949851730765</v>
          </cell>
          <cell r="W171">
            <v>50</v>
          </cell>
          <cell r="X171">
            <v>36.244094488188978</v>
          </cell>
          <cell r="Y171">
            <v>60.915551181102359</v>
          </cell>
          <cell r="Z171">
            <v>36.244094488188978</v>
          </cell>
          <cell r="AA171">
            <v>60.915551181102359</v>
          </cell>
          <cell r="AB171">
            <v>36.244094488188978</v>
          </cell>
          <cell r="AC171">
            <v>60.915551181102359</v>
          </cell>
          <cell r="AD171">
            <v>60.915551181102359</v>
          </cell>
          <cell r="AE171">
            <v>59.555118110236222</v>
          </cell>
          <cell r="AF171">
            <v>17.555118110236226</v>
          </cell>
          <cell r="AG171">
            <v>40.625984251968511</v>
          </cell>
          <cell r="AH171" t="str">
            <v>N</v>
          </cell>
          <cell r="AI171">
            <v>44.1</v>
          </cell>
          <cell r="AJ171">
            <v>20</v>
          </cell>
          <cell r="AK171" t="str">
            <v>TBD</v>
          </cell>
          <cell r="AL171" t="str">
            <v>Y</v>
          </cell>
          <cell r="AM171">
            <v>200018401</v>
          </cell>
          <cell r="AN171">
            <v>200028401</v>
          </cell>
          <cell r="AO171">
            <v>200018301</v>
          </cell>
          <cell r="AP171">
            <v>200028301</v>
          </cell>
          <cell r="AQ171">
            <v>200018201</v>
          </cell>
          <cell r="AR171">
            <v>200028201</v>
          </cell>
          <cell r="AS171">
            <v>13.22222222222222</v>
          </cell>
          <cell r="AT171">
            <v>19.708929443717658</v>
          </cell>
          <cell r="AU171">
            <v>14.708448636174264</v>
          </cell>
          <cell r="AV171">
            <v>10.045809804739942</v>
          </cell>
          <cell r="AW171">
            <v>40617</v>
          </cell>
        </row>
        <row r="172">
          <cell r="C172" t="str">
            <v>Scheuten - Multisol P6-60 215-230_S</v>
          </cell>
          <cell r="D172" t="str">
            <v>Standard Claw</v>
          </cell>
          <cell r="E172">
            <v>5000005</v>
          </cell>
          <cell r="F172">
            <v>39.370078740157481</v>
          </cell>
          <cell r="G172">
            <v>65.354330708661422</v>
          </cell>
          <cell r="H172">
            <v>1.6535433070866143</v>
          </cell>
          <cell r="I172">
            <v>200010705</v>
          </cell>
          <cell r="J172">
            <v>200010805</v>
          </cell>
          <cell r="K172">
            <v>200013805</v>
          </cell>
          <cell r="L172">
            <v>200016305</v>
          </cell>
          <cell r="M172">
            <v>500012569</v>
          </cell>
          <cell r="N172">
            <v>500012669</v>
          </cell>
          <cell r="O172">
            <v>500012570</v>
          </cell>
          <cell r="P172">
            <v>500012670</v>
          </cell>
          <cell r="Q172">
            <v>11.389629250601068</v>
          </cell>
          <cell r="R172">
            <v>10.17949851730765</v>
          </cell>
          <cell r="S172">
            <v>4.8041332214318873</v>
          </cell>
          <cell r="T172">
            <v>4.8041332214318873</v>
          </cell>
          <cell r="U172">
            <v>11.389629250601068</v>
          </cell>
          <cell r="V172">
            <v>10.17949851730765</v>
          </cell>
          <cell r="W172">
            <v>50</v>
          </cell>
          <cell r="X172">
            <v>36.244094488188978</v>
          </cell>
          <cell r="Y172">
            <v>67.214763779527559</v>
          </cell>
          <cell r="Z172">
            <v>36.244094488188978</v>
          </cell>
          <cell r="AA172">
            <v>67.214763779527559</v>
          </cell>
          <cell r="AB172">
            <v>36.244094488188978</v>
          </cell>
          <cell r="AC172">
            <v>67.214763779527559</v>
          </cell>
          <cell r="AD172">
            <v>67.214763779527559</v>
          </cell>
          <cell r="AE172">
            <v>65.854330708661422</v>
          </cell>
          <cell r="AF172">
            <v>23.854330708661422</v>
          </cell>
          <cell r="AG172">
            <v>40.625984251968511</v>
          </cell>
          <cell r="AH172" t="str">
            <v>N</v>
          </cell>
          <cell r="AI172">
            <v>48.510000000000005</v>
          </cell>
          <cell r="AJ172">
            <v>22</v>
          </cell>
          <cell r="AK172" t="str">
            <v>TBD</v>
          </cell>
          <cell r="AL172" t="str">
            <v>Y</v>
          </cell>
          <cell r="AM172">
            <v>200018403</v>
          </cell>
          <cell r="AN172">
            <v>200028403</v>
          </cell>
          <cell r="AO172">
            <v>200018303</v>
          </cell>
          <cell r="AP172">
            <v>200028303</v>
          </cell>
          <cell r="AQ172">
            <v>200018203</v>
          </cell>
          <cell r="AR172">
            <v>200028203</v>
          </cell>
          <cell r="AS172">
            <v>14.555555555555557</v>
          </cell>
          <cell r="AT172">
            <v>19.708929443717658</v>
          </cell>
          <cell r="AU172">
            <v>14.708448636174264</v>
          </cell>
          <cell r="AV172">
            <v>10.045809804739942</v>
          </cell>
          <cell r="AW172">
            <v>40617</v>
          </cell>
        </row>
        <row r="173">
          <cell r="C173" t="str">
            <v>Schott Solar - Perform Poly 220-245_S</v>
          </cell>
          <cell r="D173" t="str">
            <v>Standard Claw</v>
          </cell>
          <cell r="E173">
            <v>5000005</v>
          </cell>
          <cell r="F173">
            <v>39.094488188976378</v>
          </cell>
          <cell r="G173">
            <v>66.338582677165363</v>
          </cell>
          <cell r="H173">
            <v>1.9685039370078741</v>
          </cell>
          <cell r="I173">
            <v>200010705</v>
          </cell>
          <cell r="J173">
            <v>200010805</v>
          </cell>
          <cell r="K173">
            <v>200013805</v>
          </cell>
          <cell r="L173">
            <v>200016305</v>
          </cell>
          <cell r="M173">
            <v>500012571</v>
          </cell>
          <cell r="N173">
            <v>500012671</v>
          </cell>
          <cell r="O173">
            <v>500012571</v>
          </cell>
          <cell r="P173">
            <v>500012671</v>
          </cell>
          <cell r="Q173">
            <v>11.452666303839393</v>
          </cell>
          <cell r="R173">
            <v>10.235685070109877</v>
          </cell>
          <cell r="S173">
            <v>4.8304302751074495</v>
          </cell>
          <cell r="T173">
            <v>4.8304302751074495</v>
          </cell>
          <cell r="U173">
            <v>11.452666303839393</v>
          </cell>
          <cell r="V173">
            <v>10.235685070109877</v>
          </cell>
          <cell r="W173">
            <v>40</v>
          </cell>
          <cell r="X173">
            <v>36.047244094488192</v>
          </cell>
          <cell r="Y173">
            <v>68.435236220472447</v>
          </cell>
          <cell r="Z173">
            <v>36.047244094488192</v>
          </cell>
          <cell r="AA173">
            <v>68.435236220472447</v>
          </cell>
          <cell r="AB173">
            <v>36.047244094488192</v>
          </cell>
          <cell r="AC173">
            <v>68.435236220472447</v>
          </cell>
          <cell r="AD173">
            <v>68.435236220472447</v>
          </cell>
          <cell r="AE173">
            <v>66.838582677165363</v>
          </cell>
          <cell r="AF173">
            <v>24.838582677165359</v>
          </cell>
          <cell r="AG173">
            <v>40.586614173228355</v>
          </cell>
          <cell r="AH173" t="str">
            <v>N</v>
          </cell>
          <cell r="AI173">
            <v>41.454000000000001</v>
          </cell>
          <cell r="AJ173">
            <v>18.8</v>
          </cell>
          <cell r="AK173" t="str">
            <v>TBD</v>
          </cell>
          <cell r="AL173" t="str">
            <v>Y</v>
          </cell>
          <cell r="AM173">
            <v>200018403</v>
          </cell>
          <cell r="AN173">
            <v>200028403</v>
          </cell>
          <cell r="AO173">
            <v>200018303</v>
          </cell>
          <cell r="AP173">
            <v>200028303</v>
          </cell>
          <cell r="AQ173">
            <v>200018203</v>
          </cell>
          <cell r="AR173">
            <v>200028203</v>
          </cell>
          <cell r="AS173">
            <v>14.555555555555557</v>
          </cell>
          <cell r="AT173">
            <v>19.72884040690586</v>
          </cell>
          <cell r="AU173">
            <v>14.723038605804456</v>
          </cell>
          <cell r="AV173">
            <v>10.055655752081003</v>
          </cell>
          <cell r="AW173">
            <v>40962</v>
          </cell>
        </row>
        <row r="174">
          <cell r="C174" t="str">
            <v>Schuco - MPE 220-230 PS 09_X</v>
          </cell>
          <cell r="D174" t="str">
            <v>Long Claw (Schuco MPE PS09)</v>
          </cell>
          <cell r="E174">
            <v>500003904</v>
          </cell>
          <cell r="F174">
            <v>39.133858267716541</v>
          </cell>
          <cell r="G174">
            <v>65.039370078740163</v>
          </cell>
          <cell r="H174">
            <v>1.7716535433070868</v>
          </cell>
          <cell r="I174">
            <v>200010704</v>
          </cell>
          <cell r="J174">
            <v>200010804</v>
          </cell>
          <cell r="K174">
            <v>200013804</v>
          </cell>
          <cell r="L174">
            <v>200016304</v>
          </cell>
          <cell r="M174">
            <v>500012568</v>
          </cell>
          <cell r="N174">
            <v>500012668</v>
          </cell>
          <cell r="O174">
            <v>500012568</v>
          </cell>
          <cell r="P174">
            <v>500012668</v>
          </cell>
          <cell r="Q174">
            <v>10.902516800852544</v>
          </cell>
          <cell r="R174">
            <v>9.7452374785622045</v>
          </cell>
          <cell r="S174">
            <v>4.6007650933375821</v>
          </cell>
          <cell r="T174">
            <v>4.6007650933375821</v>
          </cell>
          <cell r="U174">
            <v>10.902516800852544</v>
          </cell>
          <cell r="V174">
            <v>9.7452374785622045</v>
          </cell>
          <cell r="W174">
            <v>50</v>
          </cell>
          <cell r="X174">
            <v>37.842519685039377</v>
          </cell>
          <cell r="Y174">
            <v>65.794291338582681</v>
          </cell>
          <cell r="Z174">
            <v>37.842519685039377</v>
          </cell>
          <cell r="AA174">
            <v>65.794291338582681</v>
          </cell>
          <cell r="AB174">
            <v>37.842519685039377</v>
          </cell>
          <cell r="AC174">
            <v>65.794291338582681</v>
          </cell>
          <cell r="AD174">
            <v>65.794291338582681</v>
          </cell>
          <cell r="AE174">
            <v>65.539370078740163</v>
          </cell>
          <cell r="AF174">
            <v>23.539370078740163</v>
          </cell>
          <cell r="AG174">
            <v>40.240157480314963</v>
          </cell>
          <cell r="AH174" t="str">
            <v>N</v>
          </cell>
          <cell r="AI174">
            <v>44.1</v>
          </cell>
          <cell r="AJ174">
            <v>20</v>
          </cell>
          <cell r="AK174" t="str">
            <v>TBD</v>
          </cell>
          <cell r="AL174" t="str">
            <v>Y</v>
          </cell>
          <cell r="AM174">
            <v>200018403</v>
          </cell>
          <cell r="AN174">
            <v>200028403</v>
          </cell>
          <cell r="AO174">
            <v>200018303</v>
          </cell>
          <cell r="AP174">
            <v>200028303</v>
          </cell>
          <cell r="AQ174">
            <v>200018203</v>
          </cell>
          <cell r="AR174">
            <v>200028203</v>
          </cell>
          <cell r="AS174">
            <v>14.555555555555557</v>
          </cell>
          <cell r="AT174">
            <v>19.905846229389603</v>
          </cell>
          <cell r="AU174">
            <v>14.852704372847956</v>
          </cell>
          <cell r="AV174">
            <v>10.143144054640397</v>
          </cell>
          <cell r="AW174">
            <v>40617</v>
          </cell>
        </row>
        <row r="175">
          <cell r="C175" t="str">
            <v>Schuco - MPE 220-230 PS 09_L</v>
          </cell>
          <cell r="D175" t="str">
            <v>2nd Gen Long Claw (Schuco MPE PS09)</v>
          </cell>
          <cell r="E175">
            <v>500014404</v>
          </cell>
          <cell r="F175">
            <v>39.133858267716541</v>
          </cell>
          <cell r="G175">
            <v>65.039370078740163</v>
          </cell>
          <cell r="H175">
            <v>1.7716535433070868</v>
          </cell>
          <cell r="I175">
            <v>200010704</v>
          </cell>
          <cell r="J175">
            <v>200010804</v>
          </cell>
          <cell r="K175">
            <v>200013804</v>
          </cell>
          <cell r="L175">
            <v>200016304</v>
          </cell>
          <cell r="M175">
            <v>500012568</v>
          </cell>
          <cell r="N175">
            <v>500012668</v>
          </cell>
          <cell r="O175">
            <v>500012568</v>
          </cell>
          <cell r="P175">
            <v>500012668</v>
          </cell>
          <cell r="Q175">
            <v>10.41563801751966</v>
          </cell>
          <cell r="R175">
            <v>9.3110390770937794</v>
          </cell>
          <cell r="S175">
            <v>4.3972196268899051</v>
          </cell>
          <cell r="T175">
            <v>4.3972196268899051</v>
          </cell>
          <cell r="U175">
            <v>10.41563801751966</v>
          </cell>
          <cell r="V175">
            <v>9.3110390770937794</v>
          </cell>
          <cell r="W175">
            <v>50</v>
          </cell>
          <cell r="X175">
            <v>39.590551181102363</v>
          </cell>
          <cell r="Y175">
            <v>65.794291338582681</v>
          </cell>
          <cell r="Z175">
            <v>39.590551181102363</v>
          </cell>
          <cell r="AA175">
            <v>65.794291338582681</v>
          </cell>
          <cell r="AB175">
            <v>39.590551181102363</v>
          </cell>
          <cell r="AC175">
            <v>65.794291338582681</v>
          </cell>
          <cell r="AD175">
            <v>65.794291338582681</v>
          </cell>
          <cell r="AE175">
            <v>65.539370078740163</v>
          </cell>
          <cell r="AF175">
            <v>23.539370078740163</v>
          </cell>
          <cell r="AG175">
            <v>40.240157480314963</v>
          </cell>
          <cell r="AH175" t="str">
            <v>N</v>
          </cell>
          <cell r="AI175">
            <v>44.1</v>
          </cell>
          <cell r="AJ175">
            <v>20</v>
          </cell>
          <cell r="AK175" t="str">
            <v>TBD</v>
          </cell>
          <cell r="AL175" t="str">
            <v>Y</v>
          </cell>
          <cell r="AM175">
            <v>200018403</v>
          </cell>
          <cell r="AN175">
            <v>200028403</v>
          </cell>
          <cell r="AO175">
            <v>200018303</v>
          </cell>
          <cell r="AP175">
            <v>200028303</v>
          </cell>
          <cell r="AQ175">
            <v>200018203</v>
          </cell>
          <cell r="AR175">
            <v>200028203</v>
          </cell>
          <cell r="AS175">
            <v>14.555555555555557</v>
          </cell>
          <cell r="AT175">
            <v>19.905846229389603</v>
          </cell>
          <cell r="AU175">
            <v>14.852704372847956</v>
          </cell>
          <cell r="AV175">
            <v>10.143144054640397</v>
          </cell>
          <cell r="AW175">
            <v>40617</v>
          </cell>
        </row>
        <row r="176">
          <cell r="C176" t="str">
            <v>Sharp - NU-Q-U 230-240 F1-F2-F3-F4_X</v>
          </cell>
          <cell r="D176" t="str">
            <v>Long Claw (Sharp)</v>
          </cell>
          <cell r="E176">
            <v>500003901</v>
          </cell>
          <cell r="F176">
            <v>39.133858267716541</v>
          </cell>
          <cell r="G176">
            <v>64.566929133858267</v>
          </cell>
          <cell r="H176">
            <v>1.8110236220472442</v>
          </cell>
          <cell r="I176">
            <v>200010704</v>
          </cell>
          <cell r="J176">
            <v>200010804</v>
          </cell>
          <cell r="K176">
            <v>200013804</v>
          </cell>
          <cell r="L176">
            <v>200016304</v>
          </cell>
          <cell r="M176">
            <v>500012568</v>
          </cell>
          <cell r="N176">
            <v>500012668</v>
          </cell>
          <cell r="O176">
            <v>500012568</v>
          </cell>
          <cell r="P176">
            <v>500012668</v>
          </cell>
          <cell r="Q176">
            <v>10.902516800852544</v>
          </cell>
          <cell r="R176">
            <v>9.7452374785622045</v>
          </cell>
          <cell r="S176">
            <v>4.6007650933375821</v>
          </cell>
          <cell r="T176">
            <v>4.6007650933375821</v>
          </cell>
          <cell r="U176">
            <v>10.902516800852544</v>
          </cell>
          <cell r="V176">
            <v>9.7452374785622045</v>
          </cell>
          <cell r="W176">
            <v>50</v>
          </cell>
          <cell r="X176">
            <v>37.842519685039377</v>
          </cell>
          <cell r="Y176">
            <v>65.321850393700785</v>
          </cell>
          <cell r="Z176">
            <v>37.842519685039377</v>
          </cell>
          <cell r="AA176">
            <v>65.321850393700785</v>
          </cell>
          <cell r="AB176">
            <v>37.842519685039377</v>
          </cell>
          <cell r="AC176">
            <v>65.321850393700785</v>
          </cell>
          <cell r="AD176">
            <v>65.321850393700785</v>
          </cell>
          <cell r="AE176" t="str">
            <v>NA</v>
          </cell>
          <cell r="AF176" t="str">
            <v>NA</v>
          </cell>
          <cell r="AG176" t="str">
            <v>NA</v>
          </cell>
          <cell r="AH176" t="str">
            <v>Y</v>
          </cell>
          <cell r="AI176">
            <v>41.895000000000003</v>
          </cell>
          <cell r="AJ176">
            <v>19</v>
          </cell>
          <cell r="AK176" t="str">
            <v>TBD</v>
          </cell>
          <cell r="AL176" t="str">
            <v>N</v>
          </cell>
          <cell r="AM176" t="str">
            <v>2000184TBD</v>
          </cell>
          <cell r="AN176" t="str">
            <v>2000284TBD</v>
          </cell>
          <cell r="AO176" t="str">
            <v>2000183TBD</v>
          </cell>
          <cell r="AP176" t="str">
            <v>2000283TBD</v>
          </cell>
          <cell r="AQ176" t="str">
            <v>2000182TBD</v>
          </cell>
          <cell r="AR176" t="str">
            <v>2000282TBD</v>
          </cell>
          <cell r="AS176" t="str">
            <v>TBD</v>
          </cell>
          <cell r="AT176" t="str">
            <v>NA</v>
          </cell>
          <cell r="AU176" t="str">
            <v>NA</v>
          </cell>
          <cell r="AV176" t="str">
            <v>NA</v>
          </cell>
          <cell r="AW176">
            <v>41317</v>
          </cell>
        </row>
        <row r="177">
          <cell r="C177" t="str">
            <v>Sharp - NU-Q-U 230-240 F1-F2-F3-F4_L</v>
          </cell>
          <cell r="D177" t="str">
            <v>2nd Gen Long Claw (Sharp)</v>
          </cell>
          <cell r="E177">
            <v>500014401</v>
          </cell>
          <cell r="F177">
            <v>39.133858267716541</v>
          </cell>
          <cell r="G177">
            <v>64.566929133858267</v>
          </cell>
          <cell r="H177">
            <v>1.8110236220472442</v>
          </cell>
          <cell r="I177">
            <v>200010704</v>
          </cell>
          <cell r="J177">
            <v>200010804</v>
          </cell>
          <cell r="K177">
            <v>200013804</v>
          </cell>
          <cell r="L177">
            <v>200016304</v>
          </cell>
          <cell r="M177">
            <v>500012568</v>
          </cell>
          <cell r="N177">
            <v>500012668</v>
          </cell>
          <cell r="O177">
            <v>500012568</v>
          </cell>
          <cell r="P177">
            <v>500012668</v>
          </cell>
          <cell r="Q177">
            <v>10.305798776616593</v>
          </cell>
          <cell r="R177">
            <v>9.2130650449241358</v>
          </cell>
          <cell r="S177">
            <v>4.3512632993337474</v>
          </cell>
          <cell r="T177">
            <v>4.3512632993337474</v>
          </cell>
          <cell r="U177">
            <v>10.305798776616593</v>
          </cell>
          <cell r="V177">
            <v>9.2130650449241358</v>
          </cell>
          <cell r="W177">
            <v>50</v>
          </cell>
          <cell r="X177">
            <v>40.007874015748037</v>
          </cell>
          <cell r="Y177">
            <v>65.321850393700785</v>
          </cell>
          <cell r="Z177">
            <v>40.007874015748037</v>
          </cell>
          <cell r="AA177">
            <v>65.321850393700785</v>
          </cell>
          <cell r="AB177">
            <v>40.007874015748037</v>
          </cell>
          <cell r="AC177">
            <v>65.321850393700785</v>
          </cell>
          <cell r="AD177">
            <v>65.321850393700785</v>
          </cell>
          <cell r="AE177" t="str">
            <v>NA</v>
          </cell>
          <cell r="AF177" t="str">
            <v>NA</v>
          </cell>
          <cell r="AG177" t="str">
            <v>NA</v>
          </cell>
          <cell r="AH177" t="str">
            <v>Y</v>
          </cell>
          <cell r="AI177">
            <v>41.895000000000003</v>
          </cell>
          <cell r="AJ177">
            <v>19</v>
          </cell>
          <cell r="AK177" t="str">
            <v>TBD</v>
          </cell>
          <cell r="AL177" t="str">
            <v>N</v>
          </cell>
          <cell r="AM177" t="str">
            <v>2000184TBD</v>
          </cell>
          <cell r="AN177" t="str">
            <v>2000284TBD</v>
          </cell>
          <cell r="AO177" t="str">
            <v>2000183TBD</v>
          </cell>
          <cell r="AP177" t="str">
            <v>2000283TBD</v>
          </cell>
          <cell r="AQ177" t="str">
            <v>2000182TBD</v>
          </cell>
          <cell r="AR177" t="str">
            <v>2000282TBD</v>
          </cell>
          <cell r="AS177" t="str">
            <v>TBD</v>
          </cell>
          <cell r="AT177" t="str">
            <v>NA</v>
          </cell>
          <cell r="AU177" t="str">
            <v>NA</v>
          </cell>
          <cell r="AV177" t="str">
            <v>NA</v>
          </cell>
          <cell r="AW177">
            <v>41317</v>
          </cell>
        </row>
        <row r="178">
          <cell r="C178" t="str">
            <v>Sharp - ND- 200-240 QCJ-UCJ-UC1_X</v>
          </cell>
          <cell r="D178" t="str">
            <v>Long Claw (Sharp)</v>
          </cell>
          <cell r="E178">
            <v>500003901</v>
          </cell>
          <cell r="F178">
            <v>39.133858267716541</v>
          </cell>
          <cell r="G178">
            <v>64.566929133858267</v>
          </cell>
          <cell r="H178">
            <v>1.8110236220472442</v>
          </cell>
          <cell r="I178">
            <v>200010704</v>
          </cell>
          <cell r="J178">
            <v>200010804</v>
          </cell>
          <cell r="K178">
            <v>200013804</v>
          </cell>
          <cell r="L178">
            <v>200016304</v>
          </cell>
          <cell r="M178">
            <v>500012568</v>
          </cell>
          <cell r="N178">
            <v>500012668</v>
          </cell>
          <cell r="O178">
            <v>500012568</v>
          </cell>
          <cell r="P178">
            <v>500012668</v>
          </cell>
          <cell r="Q178">
            <v>10.902516800852544</v>
          </cell>
          <cell r="R178">
            <v>9.7452374785622045</v>
          </cell>
          <cell r="S178">
            <v>4.6007650933375821</v>
          </cell>
          <cell r="T178">
            <v>4.6007650933375821</v>
          </cell>
          <cell r="U178">
            <v>10.902516800852544</v>
          </cell>
          <cell r="V178">
            <v>9.7452374785622045</v>
          </cell>
          <cell r="W178">
            <v>50</v>
          </cell>
          <cell r="X178">
            <v>37.842519685039377</v>
          </cell>
          <cell r="Y178">
            <v>65.321850393700785</v>
          </cell>
          <cell r="Z178">
            <v>37.842519685039377</v>
          </cell>
          <cell r="AA178">
            <v>65.321850393700785</v>
          </cell>
          <cell r="AB178">
            <v>37.842519685039377</v>
          </cell>
          <cell r="AC178">
            <v>65.321850393700785</v>
          </cell>
          <cell r="AD178">
            <v>65.321850393700785</v>
          </cell>
          <cell r="AE178" t="str">
            <v>NA</v>
          </cell>
          <cell r="AF178" t="str">
            <v>NA</v>
          </cell>
          <cell r="AG178" t="str">
            <v>NA</v>
          </cell>
          <cell r="AH178" t="str">
            <v>Y</v>
          </cell>
          <cell r="AI178">
            <v>41.895000000000003</v>
          </cell>
          <cell r="AJ178">
            <v>19</v>
          </cell>
          <cell r="AK178" t="str">
            <v>TBD</v>
          </cell>
          <cell r="AL178" t="str">
            <v>N</v>
          </cell>
          <cell r="AM178" t="str">
            <v>2000184TBD</v>
          </cell>
          <cell r="AN178" t="str">
            <v>2000284TBD</v>
          </cell>
          <cell r="AO178" t="str">
            <v>2000183TBD</v>
          </cell>
          <cell r="AP178" t="str">
            <v>2000283TBD</v>
          </cell>
          <cell r="AQ178" t="str">
            <v>2000182TBD</v>
          </cell>
          <cell r="AR178" t="str">
            <v>2000282TBD</v>
          </cell>
          <cell r="AS178" t="str">
            <v>TBD</v>
          </cell>
          <cell r="AT178" t="str">
            <v>NA</v>
          </cell>
          <cell r="AU178" t="str">
            <v>NA</v>
          </cell>
          <cell r="AV178" t="str">
            <v>NA</v>
          </cell>
          <cell r="AW178">
            <v>41317</v>
          </cell>
        </row>
        <row r="179">
          <cell r="C179" t="str">
            <v>Sharp - ND- 200-240 QCJ-UCJ-UC1_L</v>
          </cell>
          <cell r="D179" t="str">
            <v>2nd Gen Long Claw (Sharp)</v>
          </cell>
          <cell r="E179">
            <v>500014401</v>
          </cell>
          <cell r="F179">
            <v>39.133858267716541</v>
          </cell>
          <cell r="G179">
            <v>64.566929133858267</v>
          </cell>
          <cell r="H179">
            <v>1.8110236220472442</v>
          </cell>
          <cell r="I179">
            <v>200010704</v>
          </cell>
          <cell r="J179">
            <v>200010804</v>
          </cell>
          <cell r="K179">
            <v>200013804</v>
          </cell>
          <cell r="L179">
            <v>200016304</v>
          </cell>
          <cell r="M179">
            <v>500012568</v>
          </cell>
          <cell r="N179">
            <v>500012668</v>
          </cell>
          <cell r="O179">
            <v>500012568</v>
          </cell>
          <cell r="P179">
            <v>500012668</v>
          </cell>
          <cell r="Q179">
            <v>10.305798776616593</v>
          </cell>
          <cell r="R179">
            <v>9.2130650449241358</v>
          </cell>
          <cell r="S179">
            <v>4.3512632993337474</v>
          </cell>
          <cell r="T179">
            <v>4.3512632993337474</v>
          </cell>
          <cell r="U179">
            <v>10.305798776616593</v>
          </cell>
          <cell r="V179">
            <v>9.2130650449241358</v>
          </cell>
          <cell r="W179">
            <v>50</v>
          </cell>
          <cell r="X179">
            <v>40.007874015748037</v>
          </cell>
          <cell r="Y179">
            <v>65.321850393700785</v>
          </cell>
          <cell r="Z179">
            <v>40.007874015748037</v>
          </cell>
          <cell r="AA179">
            <v>65.321850393700785</v>
          </cell>
          <cell r="AB179">
            <v>40.007874015748037</v>
          </cell>
          <cell r="AC179">
            <v>65.321850393700785</v>
          </cell>
          <cell r="AD179">
            <v>65.321850393700785</v>
          </cell>
          <cell r="AE179" t="str">
            <v>NA</v>
          </cell>
          <cell r="AF179" t="str">
            <v>NA</v>
          </cell>
          <cell r="AG179" t="str">
            <v>NA</v>
          </cell>
          <cell r="AH179" t="str">
            <v>Y</v>
          </cell>
          <cell r="AI179">
            <v>41.895000000000003</v>
          </cell>
          <cell r="AJ179">
            <v>19</v>
          </cell>
          <cell r="AK179" t="str">
            <v>TBD</v>
          </cell>
          <cell r="AL179" t="str">
            <v>N</v>
          </cell>
          <cell r="AM179" t="str">
            <v>2000184TBD</v>
          </cell>
          <cell r="AN179" t="str">
            <v>2000284TBD</v>
          </cell>
          <cell r="AO179" t="str">
            <v>2000183TBD</v>
          </cell>
          <cell r="AP179" t="str">
            <v>2000283TBD</v>
          </cell>
          <cell r="AQ179" t="str">
            <v>2000182TBD</v>
          </cell>
          <cell r="AR179" t="str">
            <v>2000282TBD</v>
          </cell>
          <cell r="AS179" t="str">
            <v>TBD</v>
          </cell>
          <cell r="AT179" t="str">
            <v>NA</v>
          </cell>
          <cell r="AU179" t="str">
            <v>NA</v>
          </cell>
          <cell r="AV179" t="str">
            <v>NA</v>
          </cell>
          <cell r="AW179">
            <v>41317</v>
          </cell>
        </row>
        <row r="180">
          <cell r="C180" t="str">
            <v>Sharp - ND-H-L-U 230-245 C1-C5-Q2_X</v>
          </cell>
          <cell r="D180" t="str">
            <v>Long Claw (Sharp)</v>
          </cell>
          <cell r="E180">
            <v>500003901</v>
          </cell>
          <cell r="F180">
            <v>39.133858267716541</v>
          </cell>
          <cell r="G180">
            <v>64.566929133858267</v>
          </cell>
          <cell r="H180">
            <v>1.8110236220472442</v>
          </cell>
          <cell r="I180">
            <v>200010704</v>
          </cell>
          <cell r="J180">
            <v>200010804</v>
          </cell>
          <cell r="K180">
            <v>200013804</v>
          </cell>
          <cell r="L180">
            <v>200016304</v>
          </cell>
          <cell r="M180">
            <v>500012568</v>
          </cell>
          <cell r="N180">
            <v>500012668</v>
          </cell>
          <cell r="O180">
            <v>500012568</v>
          </cell>
          <cell r="P180">
            <v>500012668</v>
          </cell>
          <cell r="Q180">
            <v>10.902516800852544</v>
          </cell>
          <cell r="R180">
            <v>9.7452374785622045</v>
          </cell>
          <cell r="S180">
            <v>4.6007650933375821</v>
          </cell>
          <cell r="T180">
            <v>4.6007650933375821</v>
          </cell>
          <cell r="U180">
            <v>10.902516800852544</v>
          </cell>
          <cell r="V180">
            <v>9.7452374785622045</v>
          </cell>
          <cell r="W180">
            <v>50</v>
          </cell>
          <cell r="X180">
            <v>37.842519685039377</v>
          </cell>
          <cell r="Y180">
            <v>65.321850393700785</v>
          </cell>
          <cell r="Z180">
            <v>37.842519685039377</v>
          </cell>
          <cell r="AA180">
            <v>65.321850393700785</v>
          </cell>
          <cell r="AB180">
            <v>37.842519685039377</v>
          </cell>
          <cell r="AC180">
            <v>65.321850393700785</v>
          </cell>
          <cell r="AD180">
            <v>65.321850393700785</v>
          </cell>
          <cell r="AE180" t="str">
            <v>NA</v>
          </cell>
          <cell r="AF180" t="str">
            <v>NA</v>
          </cell>
          <cell r="AG180" t="str">
            <v>NA</v>
          </cell>
          <cell r="AH180" t="str">
            <v>Y</v>
          </cell>
          <cell r="AI180">
            <v>41.895000000000003</v>
          </cell>
          <cell r="AJ180">
            <v>19</v>
          </cell>
          <cell r="AK180" t="str">
            <v>TBD</v>
          </cell>
          <cell r="AL180" t="str">
            <v>N</v>
          </cell>
          <cell r="AM180" t="str">
            <v>2000184TBD</v>
          </cell>
          <cell r="AN180" t="str">
            <v>2000284TBD</v>
          </cell>
          <cell r="AO180" t="str">
            <v>2000183TBD</v>
          </cell>
          <cell r="AP180" t="str">
            <v>2000283TBD</v>
          </cell>
          <cell r="AQ180" t="str">
            <v>2000182TBD</v>
          </cell>
          <cell r="AR180" t="str">
            <v>2000282TBD</v>
          </cell>
          <cell r="AS180" t="str">
            <v>TBD</v>
          </cell>
          <cell r="AT180" t="str">
            <v>NA</v>
          </cell>
          <cell r="AU180" t="str">
            <v>NA</v>
          </cell>
          <cell r="AV180" t="str">
            <v>NA</v>
          </cell>
          <cell r="AW180">
            <v>41317</v>
          </cell>
        </row>
        <row r="181">
          <cell r="C181" t="str">
            <v>Sharp - ND-H-L-U 230-245 C1-C5-Q2_L</v>
          </cell>
          <cell r="D181" t="str">
            <v>2nd Gen Long Claw (Sharp)</v>
          </cell>
          <cell r="E181">
            <v>500014401</v>
          </cell>
          <cell r="F181">
            <v>39.133858267716541</v>
          </cell>
          <cell r="G181">
            <v>64.566929133858267</v>
          </cell>
          <cell r="H181">
            <v>1.8110236220472442</v>
          </cell>
          <cell r="I181">
            <v>200010704</v>
          </cell>
          <cell r="J181">
            <v>200010804</v>
          </cell>
          <cell r="K181">
            <v>200013804</v>
          </cell>
          <cell r="L181">
            <v>200016304</v>
          </cell>
          <cell r="M181">
            <v>500012568</v>
          </cell>
          <cell r="N181">
            <v>500012668</v>
          </cell>
          <cell r="O181">
            <v>500012568</v>
          </cell>
          <cell r="P181">
            <v>500012668</v>
          </cell>
          <cell r="Q181">
            <v>10.305798776616593</v>
          </cell>
          <cell r="R181">
            <v>9.2130650449241358</v>
          </cell>
          <cell r="S181">
            <v>4.3512632993337474</v>
          </cell>
          <cell r="T181">
            <v>4.3512632993337474</v>
          </cell>
          <cell r="U181">
            <v>10.305798776616593</v>
          </cell>
          <cell r="V181">
            <v>9.2130650449241358</v>
          </cell>
          <cell r="W181">
            <v>50</v>
          </cell>
          <cell r="X181">
            <v>40.007874015748037</v>
          </cell>
          <cell r="Y181">
            <v>65.321850393700785</v>
          </cell>
          <cell r="Z181">
            <v>40.007874015748037</v>
          </cell>
          <cell r="AA181">
            <v>65.321850393700785</v>
          </cell>
          <cell r="AB181">
            <v>40.007874015748037</v>
          </cell>
          <cell r="AC181">
            <v>65.321850393700785</v>
          </cell>
          <cell r="AD181">
            <v>65.321850393700785</v>
          </cell>
          <cell r="AE181" t="str">
            <v>NA</v>
          </cell>
          <cell r="AF181" t="str">
            <v>NA</v>
          </cell>
          <cell r="AG181" t="str">
            <v>NA</v>
          </cell>
          <cell r="AH181" t="str">
            <v>Y</v>
          </cell>
          <cell r="AI181">
            <v>41.895000000000003</v>
          </cell>
          <cell r="AJ181">
            <v>19</v>
          </cell>
          <cell r="AK181" t="str">
            <v>TBD</v>
          </cell>
          <cell r="AL181" t="str">
            <v>N</v>
          </cell>
          <cell r="AM181" t="str">
            <v>2000184TBD</v>
          </cell>
          <cell r="AN181" t="str">
            <v>2000284TBD</v>
          </cell>
          <cell r="AO181" t="str">
            <v>2000183TBD</v>
          </cell>
          <cell r="AP181" t="str">
            <v>2000283TBD</v>
          </cell>
          <cell r="AQ181" t="str">
            <v>2000182TBD</v>
          </cell>
          <cell r="AR181" t="str">
            <v>2000282TBD</v>
          </cell>
          <cell r="AS181" t="str">
            <v>TBD</v>
          </cell>
          <cell r="AT181" t="str">
            <v>NA</v>
          </cell>
          <cell r="AU181" t="str">
            <v>NA</v>
          </cell>
          <cell r="AV181" t="str">
            <v>NA</v>
          </cell>
          <cell r="AW181">
            <v>41317</v>
          </cell>
        </row>
        <row r="182">
          <cell r="C182" t="str">
            <v>Siliken - SLK60P6L 225-255_S</v>
          </cell>
          <cell r="D182" t="str">
            <v>Standard Claw</v>
          </cell>
          <cell r="E182">
            <v>5000005</v>
          </cell>
          <cell r="F182">
            <v>38.976377952755911</v>
          </cell>
          <cell r="G182">
            <v>64.566929133858267</v>
          </cell>
          <cell r="H182">
            <v>1.5748031496062993</v>
          </cell>
          <cell r="I182">
            <v>200010704</v>
          </cell>
          <cell r="J182">
            <v>200010804</v>
          </cell>
          <cell r="K182">
            <v>200013804</v>
          </cell>
          <cell r="L182">
            <v>200016304</v>
          </cell>
          <cell r="M182">
            <v>500012569</v>
          </cell>
          <cell r="N182">
            <v>500012669</v>
          </cell>
          <cell r="O182">
            <v>500012569</v>
          </cell>
          <cell r="P182">
            <v>500012669</v>
          </cell>
          <cell r="Q182">
            <v>11.567921568027101</v>
          </cell>
          <cell r="R182">
            <v>10.338408394627242</v>
          </cell>
          <cell r="S182">
            <v>4.8784985689262594</v>
          </cell>
          <cell r="T182">
            <v>4.8784985689262594</v>
          </cell>
          <cell r="U182">
            <v>11.567921568027101</v>
          </cell>
          <cell r="V182">
            <v>10.338408394627242</v>
          </cell>
          <cell r="W182">
            <v>55</v>
          </cell>
          <cell r="X182">
            <v>35.692913385826778</v>
          </cell>
          <cell r="Y182">
            <v>66.510826771653541</v>
          </cell>
          <cell r="Z182">
            <v>35.692913385826778</v>
          </cell>
          <cell r="AA182">
            <v>66.510826771653541</v>
          </cell>
          <cell r="AB182">
            <v>35.692913385826778</v>
          </cell>
          <cell r="AC182">
            <v>66.510826771653541</v>
          </cell>
          <cell r="AD182">
            <v>66.510826771653541</v>
          </cell>
          <cell r="AE182">
            <v>65.066929133858267</v>
          </cell>
          <cell r="AF182">
            <v>23.066929133858274</v>
          </cell>
          <cell r="AG182">
            <v>40.318897637795274</v>
          </cell>
          <cell r="AH182" t="str">
            <v>Y</v>
          </cell>
          <cell r="AI182">
            <v>41.895000000000003</v>
          </cell>
          <cell r="AJ182">
            <v>19</v>
          </cell>
          <cell r="AK182" t="str">
            <v>TBD</v>
          </cell>
          <cell r="AL182" t="str">
            <v>Y</v>
          </cell>
          <cell r="AM182">
            <v>200018403</v>
          </cell>
          <cell r="AN182">
            <v>200028403</v>
          </cell>
          <cell r="AO182">
            <v>200018303</v>
          </cell>
          <cell r="AP182">
            <v>200028303</v>
          </cell>
          <cell r="AQ182">
            <v>200018203</v>
          </cell>
          <cell r="AR182">
            <v>200028203</v>
          </cell>
          <cell r="AS182">
            <v>14.555555555555557</v>
          </cell>
          <cell r="AT182">
            <v>19.865333113183517</v>
          </cell>
          <cell r="AU182">
            <v>14.823032363177612</v>
          </cell>
          <cell r="AV182">
            <v>10.123126221214482</v>
          </cell>
          <cell r="AW182">
            <v>41317</v>
          </cell>
        </row>
        <row r="183">
          <cell r="C183" t="str">
            <v>Siliken - SLK72P6L 280-305_S</v>
          </cell>
          <cell r="D183" t="str">
            <v>Standard Claw</v>
          </cell>
          <cell r="E183">
            <v>5000005</v>
          </cell>
          <cell r="F183">
            <v>38.976377952755911</v>
          </cell>
          <cell r="G183">
            <v>77.165354330708666</v>
          </cell>
          <cell r="H183">
            <v>1.5748031496062993</v>
          </cell>
          <cell r="I183">
            <v>200010708</v>
          </cell>
          <cell r="J183">
            <v>200010808</v>
          </cell>
          <cell r="K183">
            <v>200013808</v>
          </cell>
          <cell r="L183">
            <v>200016308</v>
          </cell>
          <cell r="M183">
            <v>500012581</v>
          </cell>
          <cell r="N183">
            <v>500012681</v>
          </cell>
          <cell r="O183">
            <v>500012582</v>
          </cell>
          <cell r="P183">
            <v>500012682</v>
          </cell>
          <cell r="Q183">
            <v>11.567921568027101</v>
          </cell>
          <cell r="R183">
            <v>10.338408394627242</v>
          </cell>
          <cell r="S183">
            <v>4.8784985689262594</v>
          </cell>
          <cell r="T183">
            <v>4.8784985689262594</v>
          </cell>
          <cell r="U183">
            <v>11.567921568027101</v>
          </cell>
          <cell r="V183">
            <v>10.338408394627242</v>
          </cell>
          <cell r="W183">
            <v>55</v>
          </cell>
          <cell r="X183">
            <v>35.692913385826778</v>
          </cell>
          <cell r="Y183">
            <v>79.109251968503941</v>
          </cell>
          <cell r="Z183">
            <v>35.692913385826778</v>
          </cell>
          <cell r="AA183">
            <v>79.109251968503941</v>
          </cell>
          <cell r="AB183">
            <v>35.692913385826778</v>
          </cell>
          <cell r="AC183">
            <v>79.109251968503941</v>
          </cell>
          <cell r="AD183">
            <v>79.109251968503941</v>
          </cell>
          <cell r="AE183">
            <v>77.665354330708666</v>
          </cell>
          <cell r="AF183">
            <v>35.665354330708666</v>
          </cell>
          <cell r="AG183">
            <v>40.318897637795274</v>
          </cell>
          <cell r="AH183" t="str">
            <v>N</v>
          </cell>
          <cell r="AI183">
            <v>50.715000000000003</v>
          </cell>
          <cell r="AJ183">
            <v>23</v>
          </cell>
          <cell r="AK183" t="str">
            <v>TBD</v>
          </cell>
          <cell r="AL183" t="str">
            <v>Y</v>
          </cell>
          <cell r="AM183">
            <v>200018407</v>
          </cell>
          <cell r="AN183">
            <v>200028407</v>
          </cell>
          <cell r="AO183">
            <v>200018307</v>
          </cell>
          <cell r="AP183">
            <v>200028307</v>
          </cell>
          <cell r="AQ183">
            <v>200018207</v>
          </cell>
          <cell r="AR183">
            <v>200028207</v>
          </cell>
          <cell r="AS183">
            <v>17.222222222222221</v>
          </cell>
          <cell r="AT183">
            <v>19.865333113183517</v>
          </cell>
          <cell r="AU183">
            <v>14.823032363177612</v>
          </cell>
          <cell r="AV183">
            <v>10.123126221214482</v>
          </cell>
          <cell r="AW183">
            <v>40962</v>
          </cell>
        </row>
        <row r="184">
          <cell r="C184" t="str">
            <v>Solarworld - Sunmodule Plus SW poly 220-245_X</v>
          </cell>
          <cell r="D184" t="str">
            <v>Long Claw (Solarworld)</v>
          </cell>
          <cell r="E184">
            <v>500003906</v>
          </cell>
          <cell r="F184">
            <v>39.409448818897637</v>
          </cell>
          <cell r="G184">
            <v>65.944881889763778</v>
          </cell>
          <cell r="H184">
            <v>1.2204724409448819</v>
          </cell>
          <cell r="I184">
            <v>200010704</v>
          </cell>
          <cell r="J184">
            <v>200010804</v>
          </cell>
          <cell r="K184">
            <v>200013804</v>
          </cell>
          <cell r="L184">
            <v>200016304</v>
          </cell>
          <cell r="M184">
            <v>500012569</v>
          </cell>
          <cell r="N184">
            <v>500012669</v>
          </cell>
          <cell r="O184">
            <v>500012569</v>
          </cell>
          <cell r="P184">
            <v>500012669</v>
          </cell>
          <cell r="Q184">
            <v>10.822737897385357</v>
          </cell>
          <cell r="R184">
            <v>9.6741004596157492</v>
          </cell>
          <cell r="S184">
            <v>4.5674310720656335</v>
          </cell>
          <cell r="T184">
            <v>4.5674310720656335</v>
          </cell>
          <cell r="U184">
            <v>10.822737897385357</v>
          </cell>
          <cell r="V184">
            <v>9.6741004596157492</v>
          </cell>
          <cell r="W184">
            <v>0</v>
          </cell>
          <cell r="X184">
            <v>38.118110236220474</v>
          </cell>
          <cell r="Y184">
            <v>66.699803149606296</v>
          </cell>
          <cell r="Z184">
            <v>38.118110236220474</v>
          </cell>
          <cell r="AA184">
            <v>66.699803149606296</v>
          </cell>
          <cell r="AB184">
            <v>38.118110236220474</v>
          </cell>
          <cell r="AC184">
            <v>66.699803149606296</v>
          </cell>
          <cell r="AD184">
            <v>66.699803149606296</v>
          </cell>
          <cell r="AE184" t="str">
            <v>NA</v>
          </cell>
          <cell r="AF184" t="str">
            <v>NA</v>
          </cell>
          <cell r="AG184" t="str">
            <v>NA</v>
          </cell>
          <cell r="AH184" t="str">
            <v>N</v>
          </cell>
          <cell r="AI184">
            <v>46.746000000000002</v>
          </cell>
          <cell r="AJ184">
            <v>21.2</v>
          </cell>
          <cell r="AK184" t="str">
            <v>TBD</v>
          </cell>
          <cell r="AL184" t="str">
            <v>N</v>
          </cell>
          <cell r="AM184" t="str">
            <v>2000184TBD</v>
          </cell>
          <cell r="AN184" t="str">
            <v>2000284TBD</v>
          </cell>
          <cell r="AO184" t="str">
            <v>2000183TBD</v>
          </cell>
          <cell r="AP184" t="str">
            <v>2000283TBD</v>
          </cell>
          <cell r="AQ184" t="str">
            <v>2000182TBD</v>
          </cell>
          <cell r="AR184" t="str">
            <v>2000282TBD</v>
          </cell>
          <cell r="AS184" t="str">
            <v>TBD</v>
          </cell>
          <cell r="AT184" t="str">
            <v>NA</v>
          </cell>
          <cell r="AU184" t="str">
            <v>NA</v>
          </cell>
          <cell r="AV184" t="str">
            <v>NA</v>
          </cell>
          <cell r="AW184">
            <v>41226</v>
          </cell>
        </row>
        <row r="185">
          <cell r="C185" t="str">
            <v>Solarworld - Sunmodule Plus SW poly 220-245_L</v>
          </cell>
          <cell r="D185" t="str">
            <v>2nd Gen Long Claw (Solarworld)</v>
          </cell>
          <cell r="E185">
            <v>500014406</v>
          </cell>
          <cell r="F185">
            <v>39.409448818897637</v>
          </cell>
          <cell r="G185">
            <v>65.944881889763778</v>
          </cell>
          <cell r="H185">
            <v>1.2204724409448819</v>
          </cell>
          <cell r="I185">
            <v>200010704</v>
          </cell>
          <cell r="J185">
            <v>200010804</v>
          </cell>
          <cell r="K185">
            <v>200013804</v>
          </cell>
          <cell r="L185">
            <v>200016304</v>
          </cell>
          <cell r="M185">
            <v>500012569</v>
          </cell>
          <cell r="N185">
            <v>500012669</v>
          </cell>
          <cell r="O185">
            <v>500012569</v>
          </cell>
          <cell r="P185">
            <v>500012669</v>
          </cell>
          <cell r="Q185">
            <v>10.378071043466617</v>
          </cell>
          <cell r="R185">
            <v>9.2775310056174831</v>
          </cell>
          <cell r="S185">
            <v>4.3815032414171657</v>
          </cell>
          <cell r="T185">
            <v>4.3815032414171657</v>
          </cell>
          <cell r="U185">
            <v>10.378071043466617</v>
          </cell>
          <cell r="V185">
            <v>9.2775310056174831</v>
          </cell>
          <cell r="W185">
            <v>30</v>
          </cell>
          <cell r="X185">
            <v>39.732283464566933</v>
          </cell>
          <cell r="Y185">
            <v>66.699803149606296</v>
          </cell>
          <cell r="Z185">
            <v>39.732283464566933</v>
          </cell>
          <cell r="AA185">
            <v>66.699803149606296</v>
          </cell>
          <cell r="AB185">
            <v>39.732283464566933</v>
          </cell>
          <cell r="AC185">
            <v>66.699803149606296</v>
          </cell>
          <cell r="AD185">
            <v>66.699803149606296</v>
          </cell>
          <cell r="AE185" t="str">
            <v>NA</v>
          </cell>
          <cell r="AF185" t="str">
            <v>NA</v>
          </cell>
          <cell r="AG185" t="str">
            <v>NA</v>
          </cell>
          <cell r="AH185" t="str">
            <v>N</v>
          </cell>
          <cell r="AI185">
            <v>46.746000000000002</v>
          </cell>
          <cell r="AJ185">
            <v>21.2</v>
          </cell>
          <cell r="AK185" t="str">
            <v>TBD</v>
          </cell>
          <cell r="AL185" t="str">
            <v>N</v>
          </cell>
          <cell r="AM185" t="str">
            <v>2000184TBD</v>
          </cell>
          <cell r="AN185" t="str">
            <v>2000284TBD</v>
          </cell>
          <cell r="AO185" t="str">
            <v>2000183TBD</v>
          </cell>
          <cell r="AP185" t="str">
            <v>2000283TBD</v>
          </cell>
          <cell r="AQ185" t="str">
            <v>2000182TBD</v>
          </cell>
          <cell r="AR185" t="str">
            <v>2000282TBD</v>
          </cell>
          <cell r="AS185" t="str">
            <v>TBD</v>
          </cell>
          <cell r="AT185" t="str">
            <v>NA</v>
          </cell>
          <cell r="AU185" t="str">
            <v>NA</v>
          </cell>
          <cell r="AV185" t="str">
            <v>NA</v>
          </cell>
          <cell r="AW185">
            <v>41226</v>
          </cell>
        </row>
        <row r="186">
          <cell r="C186" t="str">
            <v>Solarworld - Sunmodule Plus SW mono 225-255_X</v>
          </cell>
          <cell r="D186" t="str">
            <v>Long Claw (Solarworld)</v>
          </cell>
          <cell r="E186">
            <v>500003906</v>
          </cell>
          <cell r="F186">
            <v>39.409448818897637</v>
          </cell>
          <cell r="G186">
            <v>65.944881889763778</v>
          </cell>
          <cell r="H186">
            <v>1.2204724409448819</v>
          </cell>
          <cell r="I186">
            <v>200010704</v>
          </cell>
          <cell r="J186">
            <v>200010804</v>
          </cell>
          <cell r="K186">
            <v>200013804</v>
          </cell>
          <cell r="L186">
            <v>200016304</v>
          </cell>
          <cell r="M186">
            <v>500012569</v>
          </cell>
          <cell r="N186">
            <v>500012669</v>
          </cell>
          <cell r="O186">
            <v>500012569</v>
          </cell>
          <cell r="P186">
            <v>500012669</v>
          </cell>
          <cell r="Q186">
            <v>10.822737897385357</v>
          </cell>
          <cell r="R186">
            <v>9.6741004596157492</v>
          </cell>
          <cell r="S186">
            <v>4.5674310720656335</v>
          </cell>
          <cell r="T186">
            <v>4.5674310720656335</v>
          </cell>
          <cell r="U186">
            <v>10.822737897385357</v>
          </cell>
          <cell r="V186">
            <v>9.6741004596157492</v>
          </cell>
          <cell r="W186">
            <v>0</v>
          </cell>
          <cell r="X186">
            <v>38.118110236220474</v>
          </cell>
          <cell r="Y186">
            <v>66.699803149606296</v>
          </cell>
          <cell r="Z186">
            <v>38.118110236220474</v>
          </cell>
          <cell r="AA186">
            <v>66.699803149606296</v>
          </cell>
          <cell r="AB186">
            <v>38.118110236220474</v>
          </cell>
          <cell r="AC186">
            <v>66.699803149606296</v>
          </cell>
          <cell r="AD186">
            <v>66.699803149606296</v>
          </cell>
          <cell r="AE186" t="str">
            <v>NA</v>
          </cell>
          <cell r="AF186" t="str">
            <v>NA</v>
          </cell>
          <cell r="AG186" t="str">
            <v>NA</v>
          </cell>
          <cell r="AH186" t="str">
            <v>N</v>
          </cell>
          <cell r="AI186">
            <v>46.746000000000002</v>
          </cell>
          <cell r="AJ186">
            <v>21.2</v>
          </cell>
          <cell r="AK186" t="str">
            <v>TBD</v>
          </cell>
          <cell r="AL186" t="str">
            <v>N</v>
          </cell>
          <cell r="AM186" t="str">
            <v>2000184TBD</v>
          </cell>
          <cell r="AN186" t="str">
            <v>2000284TBD</v>
          </cell>
          <cell r="AO186" t="str">
            <v>2000183TBD</v>
          </cell>
          <cell r="AP186" t="str">
            <v>2000283TBD</v>
          </cell>
          <cell r="AQ186" t="str">
            <v>2000182TBD</v>
          </cell>
          <cell r="AR186" t="str">
            <v>2000282TBD</v>
          </cell>
          <cell r="AS186" t="str">
            <v>TBD</v>
          </cell>
          <cell r="AT186" t="str">
            <v>NA</v>
          </cell>
          <cell r="AU186" t="str">
            <v>NA</v>
          </cell>
          <cell r="AV186" t="str">
            <v>NA</v>
          </cell>
          <cell r="AW186">
            <v>41226</v>
          </cell>
        </row>
        <row r="187">
          <cell r="C187" t="str">
            <v>Solarworld - Sunmodule Plus SW mono 225-255_L</v>
          </cell>
          <cell r="D187" t="str">
            <v>2nd Gen Long Claw (Solarworld)</v>
          </cell>
          <cell r="E187">
            <v>500014406</v>
          </cell>
          <cell r="F187">
            <v>39.409448818897637</v>
          </cell>
          <cell r="G187">
            <v>65.944881889763778</v>
          </cell>
          <cell r="H187">
            <v>1.2204724409448819</v>
          </cell>
          <cell r="I187">
            <v>200010704</v>
          </cell>
          <cell r="J187">
            <v>200010804</v>
          </cell>
          <cell r="K187">
            <v>200013804</v>
          </cell>
          <cell r="L187">
            <v>200016304</v>
          </cell>
          <cell r="M187">
            <v>500012569</v>
          </cell>
          <cell r="N187">
            <v>500012669</v>
          </cell>
          <cell r="O187">
            <v>500012569</v>
          </cell>
          <cell r="P187">
            <v>500012669</v>
          </cell>
          <cell r="Q187">
            <v>10.378071043466617</v>
          </cell>
          <cell r="R187">
            <v>9.2775310056174831</v>
          </cell>
          <cell r="S187">
            <v>4.3815032414171657</v>
          </cell>
          <cell r="T187">
            <v>4.3815032414171657</v>
          </cell>
          <cell r="U187">
            <v>10.378071043466617</v>
          </cell>
          <cell r="V187">
            <v>9.2775310056174831</v>
          </cell>
          <cell r="W187">
            <v>30</v>
          </cell>
          <cell r="X187">
            <v>39.732283464566933</v>
          </cell>
          <cell r="Y187">
            <v>66.699803149606296</v>
          </cell>
          <cell r="Z187">
            <v>39.732283464566933</v>
          </cell>
          <cell r="AA187">
            <v>66.699803149606296</v>
          </cell>
          <cell r="AB187">
            <v>39.732283464566933</v>
          </cell>
          <cell r="AC187">
            <v>66.699803149606296</v>
          </cell>
          <cell r="AD187">
            <v>66.699803149606296</v>
          </cell>
          <cell r="AE187" t="str">
            <v>NA</v>
          </cell>
          <cell r="AF187" t="str">
            <v>NA</v>
          </cell>
          <cell r="AG187" t="str">
            <v>NA</v>
          </cell>
          <cell r="AH187" t="str">
            <v>N</v>
          </cell>
          <cell r="AI187">
            <v>46.746000000000002</v>
          </cell>
          <cell r="AJ187">
            <v>21.2</v>
          </cell>
          <cell r="AK187" t="str">
            <v>TBD</v>
          </cell>
          <cell r="AL187" t="str">
            <v>N</v>
          </cell>
          <cell r="AM187" t="str">
            <v>2000184TBD</v>
          </cell>
          <cell r="AN187" t="str">
            <v>2000284TBD</v>
          </cell>
          <cell r="AO187" t="str">
            <v>2000183TBD</v>
          </cell>
          <cell r="AP187" t="str">
            <v>2000283TBD</v>
          </cell>
          <cell r="AQ187" t="str">
            <v>2000182TBD</v>
          </cell>
          <cell r="AR187" t="str">
            <v>2000282TBD</v>
          </cell>
          <cell r="AS187" t="str">
            <v>TBD</v>
          </cell>
          <cell r="AT187" t="str">
            <v>NA</v>
          </cell>
          <cell r="AU187" t="str">
            <v>NA</v>
          </cell>
          <cell r="AV187" t="str">
            <v>NA</v>
          </cell>
          <cell r="AW187">
            <v>41226</v>
          </cell>
        </row>
        <row r="188">
          <cell r="C188" t="str">
            <v>Solvinti - S-235-245 C_S</v>
          </cell>
          <cell r="D188" t="str">
            <v>Standard Claw</v>
          </cell>
          <cell r="E188">
            <v>5000005</v>
          </cell>
          <cell r="F188">
            <v>39.055118110236222</v>
          </cell>
          <cell r="G188">
            <v>64.960629921259851</v>
          </cell>
          <cell r="H188">
            <v>1.8110236220472442</v>
          </cell>
          <cell r="I188">
            <v>200010704</v>
          </cell>
          <cell r="J188">
            <v>200010804</v>
          </cell>
          <cell r="K188">
            <v>200013804</v>
          </cell>
          <cell r="L188">
            <v>200016304</v>
          </cell>
          <cell r="M188">
            <v>500012568</v>
          </cell>
          <cell r="N188">
            <v>500012668</v>
          </cell>
          <cell r="O188">
            <v>500012569</v>
          </cell>
          <cell r="P188">
            <v>500012669</v>
          </cell>
          <cell r="Q188">
            <v>11.832602308505239</v>
          </cell>
          <cell r="R188">
            <v>10.574276773282593</v>
          </cell>
          <cell r="S188">
            <v>4.9888240185700683</v>
          </cell>
          <cell r="T188">
            <v>4.9888240185700683</v>
          </cell>
          <cell r="U188">
            <v>11.832602308505239</v>
          </cell>
          <cell r="V188">
            <v>10.574276773282593</v>
          </cell>
          <cell r="W188">
            <v>50</v>
          </cell>
          <cell r="X188">
            <v>34.905511811023622</v>
          </cell>
          <cell r="Y188">
            <v>66.038385826771659</v>
          </cell>
          <cell r="Z188">
            <v>34.905511811023622</v>
          </cell>
          <cell r="AA188">
            <v>66.038385826771659</v>
          </cell>
          <cell r="AB188">
            <v>34.905511811023622</v>
          </cell>
          <cell r="AC188">
            <v>66.038385826771659</v>
          </cell>
          <cell r="AD188">
            <v>66.038385826771659</v>
          </cell>
          <cell r="AE188">
            <v>65.460629921259851</v>
          </cell>
          <cell r="AF188">
            <v>23.460629921259848</v>
          </cell>
          <cell r="AG188">
            <v>39.531496062992126</v>
          </cell>
          <cell r="AH188" t="str">
            <v>N</v>
          </cell>
          <cell r="AI188">
            <v>50.715000000000003</v>
          </cell>
          <cell r="AJ188">
            <v>23</v>
          </cell>
          <cell r="AK188" t="str">
            <v>TBD</v>
          </cell>
          <cell r="AL188" t="str">
            <v>Y</v>
          </cell>
          <cell r="AM188">
            <v>200018403</v>
          </cell>
          <cell r="AN188">
            <v>200028403</v>
          </cell>
          <cell r="AO188">
            <v>200018303</v>
          </cell>
          <cell r="AP188">
            <v>200028303</v>
          </cell>
          <cell r="AQ188">
            <v>200018203</v>
          </cell>
          <cell r="AR188">
            <v>200028203</v>
          </cell>
          <cell r="AS188">
            <v>14.555555555555557</v>
          </cell>
          <cell r="AT188">
            <v>20.278215219832653</v>
          </cell>
          <cell r="AU188">
            <v>15.125263254990072</v>
          </cell>
          <cell r="AV188">
            <v>10.326951853502411</v>
          </cell>
          <cell r="AW188">
            <v>40617</v>
          </cell>
        </row>
        <row r="189">
          <cell r="C189" t="str">
            <v>Stion - STN 125-140_S</v>
          </cell>
          <cell r="D189" t="str">
            <v>Standard Claw</v>
          </cell>
          <cell r="E189">
            <v>5000005</v>
          </cell>
          <cell r="F189">
            <v>25.826771653543307</v>
          </cell>
          <cell r="G189">
            <v>65.196850393700785</v>
          </cell>
          <cell r="H189">
            <v>1.3779527559055118</v>
          </cell>
          <cell r="I189">
            <v>200010704</v>
          </cell>
          <cell r="J189">
            <v>200010804</v>
          </cell>
          <cell r="K189">
            <v>200013804</v>
          </cell>
          <cell r="L189">
            <v>200016304</v>
          </cell>
          <cell r="M189">
            <v>500012569</v>
          </cell>
          <cell r="N189">
            <v>500012669</v>
          </cell>
          <cell r="O189">
            <v>500012569</v>
          </cell>
          <cell r="P189">
            <v>500012669</v>
          </cell>
          <cell r="Q189">
            <v>18.646759082927325</v>
          </cell>
          <cell r="R189">
            <v>16.627087624346455</v>
          </cell>
          <cell r="S189">
            <v>7.7930967180026212</v>
          </cell>
          <cell r="T189">
            <v>7.7930967180026212</v>
          </cell>
          <cell r="U189">
            <v>18.646759082927325</v>
          </cell>
          <cell r="V189">
            <v>16.627087624346455</v>
          </cell>
          <cell r="W189">
            <v>30</v>
          </cell>
          <cell r="X189">
            <v>22.385826771653544</v>
          </cell>
          <cell r="Y189">
            <v>66.663582677165351</v>
          </cell>
          <cell r="Z189">
            <v>22.385826771653544</v>
          </cell>
          <cell r="AA189">
            <v>66.663582677165351</v>
          </cell>
          <cell r="AB189">
            <v>22.385826771653544</v>
          </cell>
          <cell r="AC189">
            <v>66.663582677165351</v>
          </cell>
          <cell r="AD189">
            <v>66.663582677165351</v>
          </cell>
          <cell r="AE189">
            <v>65.696850393700799</v>
          </cell>
          <cell r="AF189">
            <v>23.696850393700792</v>
          </cell>
          <cell r="AG189">
            <v>26.688976377952756</v>
          </cell>
          <cell r="AH189" t="str">
            <v>Y</v>
          </cell>
          <cell r="AI189">
            <v>36.603000000000002</v>
          </cell>
          <cell r="AJ189">
            <v>16.600000000000001</v>
          </cell>
          <cell r="AK189" t="str">
            <v>TBD</v>
          </cell>
          <cell r="AL189" t="str">
            <v>Y</v>
          </cell>
          <cell r="AM189">
            <v>200018403</v>
          </cell>
          <cell r="AN189">
            <v>200028403</v>
          </cell>
          <cell r="AO189">
            <v>200018303</v>
          </cell>
          <cell r="AP189">
            <v>200028303</v>
          </cell>
          <cell r="AQ189">
            <v>200018203</v>
          </cell>
          <cell r="AR189">
            <v>200028203</v>
          </cell>
          <cell r="AS189">
            <v>14.555555555555557</v>
          </cell>
          <cell r="AT189">
            <v>30.887233777756016</v>
          </cell>
          <cell r="AU189">
            <v>22.736128511518519</v>
          </cell>
          <cell r="AV189">
            <v>15.39820352823091</v>
          </cell>
          <cell r="AW189">
            <v>41193</v>
          </cell>
        </row>
        <row r="190">
          <cell r="C190" t="str">
            <v>Suniva - ART245-60_S</v>
          </cell>
          <cell r="D190" t="str">
            <v>Standard Claw</v>
          </cell>
          <cell r="E190">
            <v>5000005</v>
          </cell>
          <cell r="F190">
            <v>38.661417322834644</v>
          </cell>
          <cell r="G190">
            <v>65.078740157480325</v>
          </cell>
          <cell r="H190">
            <v>1.8110236220472442</v>
          </cell>
          <cell r="I190">
            <v>200010705</v>
          </cell>
          <cell r="J190">
            <v>200010805</v>
          </cell>
          <cell r="K190">
            <v>200013805</v>
          </cell>
          <cell r="L190">
            <v>200016305</v>
          </cell>
          <cell r="M190">
            <v>500012569</v>
          </cell>
          <cell r="N190">
            <v>500012669</v>
          </cell>
          <cell r="O190">
            <v>500012570</v>
          </cell>
          <cell r="P190">
            <v>500012670</v>
          </cell>
          <cell r="Q190">
            <v>11.63296745038237</v>
          </cell>
          <cell r="R190">
            <v>10.396377871112776</v>
          </cell>
          <cell r="S190">
            <v>4.9056193610673633</v>
          </cell>
          <cell r="T190">
            <v>4.9056193610673633</v>
          </cell>
          <cell r="U190">
            <v>11.63296745038237</v>
          </cell>
          <cell r="V190">
            <v>10.396377871112776</v>
          </cell>
          <cell r="W190">
            <v>50</v>
          </cell>
          <cell r="X190">
            <v>35.496062992125985</v>
          </cell>
          <cell r="Y190">
            <v>67.140748031496074</v>
          </cell>
          <cell r="Z190">
            <v>35.496062992125985</v>
          </cell>
          <cell r="AA190">
            <v>67.140748031496074</v>
          </cell>
          <cell r="AB190">
            <v>35.496062992125985</v>
          </cell>
          <cell r="AC190">
            <v>67.140748031496074</v>
          </cell>
          <cell r="AD190">
            <v>67.140748031496074</v>
          </cell>
          <cell r="AE190">
            <v>65.578740157480325</v>
          </cell>
          <cell r="AF190">
            <v>23.578740157480318</v>
          </cell>
          <cell r="AG190">
            <v>40.122047244094489</v>
          </cell>
          <cell r="AH190" t="str">
            <v>Y</v>
          </cell>
          <cell r="AI190">
            <v>41.211450000000006</v>
          </cell>
          <cell r="AJ190">
            <v>18.690000000000001</v>
          </cell>
          <cell r="AK190" t="str">
            <v>TBD</v>
          </cell>
          <cell r="AL190" t="str">
            <v>Y</v>
          </cell>
          <cell r="AM190">
            <v>200018403</v>
          </cell>
          <cell r="AN190">
            <v>200028403</v>
          </cell>
          <cell r="AO190">
            <v>200018303</v>
          </cell>
          <cell r="AP190">
            <v>200028303</v>
          </cell>
          <cell r="AQ190">
            <v>200018203</v>
          </cell>
          <cell r="AR190">
            <v>200028203</v>
          </cell>
          <cell r="AS190">
            <v>14.555555555555557</v>
          </cell>
          <cell r="AT190">
            <v>19.966933673962352</v>
          </cell>
          <cell r="AU190">
            <v>14.897438461609681</v>
          </cell>
          <cell r="AV190">
            <v>10.173320490201343</v>
          </cell>
          <cell r="AW190">
            <v>40843</v>
          </cell>
        </row>
        <row r="191">
          <cell r="C191" t="str">
            <v>Suniva - OPT 60 250-265_S</v>
          </cell>
          <cell r="D191" t="str">
            <v>Standard Claw</v>
          </cell>
          <cell r="E191">
            <v>5000005</v>
          </cell>
          <cell r="F191">
            <v>38.661417322834644</v>
          </cell>
          <cell r="G191">
            <v>65.078740157480325</v>
          </cell>
          <cell r="H191">
            <v>1.8110236220472442</v>
          </cell>
          <cell r="I191">
            <v>200010705</v>
          </cell>
          <cell r="J191">
            <v>200010805</v>
          </cell>
          <cell r="K191">
            <v>200013805</v>
          </cell>
          <cell r="L191">
            <v>200016305</v>
          </cell>
          <cell r="M191">
            <v>500012569</v>
          </cell>
          <cell r="N191">
            <v>500012669</v>
          </cell>
          <cell r="O191">
            <v>500012570</v>
          </cell>
          <cell r="P191">
            <v>500012670</v>
          </cell>
          <cell r="Q191">
            <v>11.63296745038237</v>
          </cell>
          <cell r="R191">
            <v>10.396377871112776</v>
          </cell>
          <cell r="S191">
            <v>4.9056193610673633</v>
          </cell>
          <cell r="T191">
            <v>4.9056193610673633</v>
          </cell>
          <cell r="U191">
            <v>11.63296745038237</v>
          </cell>
          <cell r="V191">
            <v>10.396377871112776</v>
          </cell>
          <cell r="W191">
            <v>50</v>
          </cell>
          <cell r="X191">
            <v>35.496062992125985</v>
          </cell>
          <cell r="Y191">
            <v>67.140748031496074</v>
          </cell>
          <cell r="Z191">
            <v>35.496062992125985</v>
          </cell>
          <cell r="AA191">
            <v>67.140748031496074</v>
          </cell>
          <cell r="AB191">
            <v>35.496062992125985</v>
          </cell>
          <cell r="AC191">
            <v>67.140748031496074</v>
          </cell>
          <cell r="AD191">
            <v>67.140748031496074</v>
          </cell>
          <cell r="AE191">
            <v>65.578740157480325</v>
          </cell>
          <cell r="AF191">
            <v>23.578740157480318</v>
          </cell>
          <cell r="AG191">
            <v>40.122047244094489</v>
          </cell>
          <cell r="AH191" t="str">
            <v>Y</v>
          </cell>
          <cell r="AI191">
            <v>39.5</v>
          </cell>
          <cell r="AJ191">
            <v>17.899999999999999</v>
          </cell>
          <cell r="AK191" t="str">
            <v>TBD</v>
          </cell>
          <cell r="AL191" t="str">
            <v>Y</v>
          </cell>
          <cell r="AM191">
            <v>200018403</v>
          </cell>
          <cell r="AN191">
            <v>200028403</v>
          </cell>
          <cell r="AO191">
            <v>200018303</v>
          </cell>
          <cell r="AP191">
            <v>200028303</v>
          </cell>
          <cell r="AQ191">
            <v>200018203</v>
          </cell>
          <cell r="AR191">
            <v>200028203</v>
          </cell>
          <cell r="AS191">
            <v>14.555555555555557</v>
          </cell>
          <cell r="AT191">
            <v>19.966933673962352</v>
          </cell>
          <cell r="AU191">
            <v>14.897438461609681</v>
          </cell>
          <cell r="AV191">
            <v>10.173320490201343</v>
          </cell>
          <cell r="AW191">
            <v>41226</v>
          </cell>
        </row>
        <row r="192">
          <cell r="C192" t="str">
            <v>Suniva - OPT 72  300-315_S</v>
          </cell>
          <cell r="D192" t="str">
            <v>Standard Claw</v>
          </cell>
          <cell r="E192">
            <v>5000005</v>
          </cell>
          <cell r="F192">
            <v>38.661417322834644</v>
          </cell>
          <cell r="G192">
            <v>77.5984251968504</v>
          </cell>
          <cell r="H192">
            <v>1.8110236220472442</v>
          </cell>
          <cell r="I192">
            <v>200010708</v>
          </cell>
          <cell r="J192">
            <v>200010808</v>
          </cell>
          <cell r="K192">
            <v>200013808</v>
          </cell>
          <cell r="L192">
            <v>200016308</v>
          </cell>
          <cell r="M192">
            <v>500012582</v>
          </cell>
          <cell r="N192">
            <v>500012682</v>
          </cell>
          <cell r="O192">
            <v>500012582</v>
          </cell>
          <cell r="P192">
            <v>500012682</v>
          </cell>
          <cell r="Q192">
            <v>11.63296745038237</v>
          </cell>
          <cell r="R192">
            <v>10.396377871112776</v>
          </cell>
          <cell r="S192">
            <v>4.9056193610673633</v>
          </cell>
          <cell r="T192">
            <v>4.9056193610673633</v>
          </cell>
          <cell r="U192">
            <v>11.63296745038237</v>
          </cell>
          <cell r="V192">
            <v>10.396377871112776</v>
          </cell>
          <cell r="W192">
            <v>30</v>
          </cell>
          <cell r="X192">
            <v>35.496062992125985</v>
          </cell>
          <cell r="Y192">
            <v>79.660433070866148</v>
          </cell>
          <cell r="Z192">
            <v>35.496062992125985</v>
          </cell>
          <cell r="AA192">
            <v>79.660433070866148</v>
          </cell>
          <cell r="AB192">
            <v>35.496062992125985</v>
          </cell>
          <cell r="AC192">
            <v>79.660433070866148</v>
          </cell>
          <cell r="AD192">
            <v>79.660433070866148</v>
          </cell>
          <cell r="AE192">
            <v>78.0984251968504</v>
          </cell>
          <cell r="AF192">
            <v>36.0984251968504</v>
          </cell>
          <cell r="AG192">
            <v>40.122047244094489</v>
          </cell>
          <cell r="AH192" t="str">
            <v>Y</v>
          </cell>
          <cell r="AI192">
            <v>50.715000000000003</v>
          </cell>
          <cell r="AJ192">
            <v>23</v>
          </cell>
          <cell r="AK192" t="str">
            <v>TBD</v>
          </cell>
          <cell r="AL192" t="str">
            <v>Y</v>
          </cell>
          <cell r="AM192">
            <v>200018407</v>
          </cell>
          <cell r="AN192">
            <v>200028407</v>
          </cell>
          <cell r="AO192">
            <v>200018307</v>
          </cell>
          <cell r="AP192">
            <v>200028307</v>
          </cell>
          <cell r="AQ192">
            <v>200018207</v>
          </cell>
          <cell r="AR192">
            <v>200028207</v>
          </cell>
          <cell r="AS192">
            <v>17.222222222222221</v>
          </cell>
          <cell r="AT192">
            <v>19.966933673962352</v>
          </cell>
          <cell r="AU192">
            <v>14.897438461609681</v>
          </cell>
          <cell r="AV192">
            <v>10.173320490201343</v>
          </cell>
          <cell r="AW192">
            <v>41254</v>
          </cell>
        </row>
        <row r="193">
          <cell r="C193" t="str">
            <v>Suniva - MVS 60 230-240_S</v>
          </cell>
          <cell r="D193" t="str">
            <v>Standard Claw</v>
          </cell>
          <cell r="E193">
            <v>5000005</v>
          </cell>
          <cell r="F193">
            <v>38.937007874015748</v>
          </cell>
          <cell r="G193">
            <v>65.157480314960637</v>
          </cell>
          <cell r="H193">
            <v>1.5354330708661419</v>
          </cell>
          <cell r="I193">
            <v>200010704</v>
          </cell>
          <cell r="J193">
            <v>200010804</v>
          </cell>
          <cell r="K193">
            <v>200013804</v>
          </cell>
          <cell r="L193">
            <v>200016304</v>
          </cell>
          <cell r="M193">
            <v>500012568</v>
          </cell>
          <cell r="N193">
            <v>500012668</v>
          </cell>
          <cell r="O193">
            <v>500012569</v>
          </cell>
          <cell r="P193">
            <v>500012669</v>
          </cell>
          <cell r="Q193">
            <v>11.873360468673903</v>
          </cell>
          <cell r="R193">
            <v>10.610593971182906</v>
          </cell>
          <cell r="S193">
            <v>5.0058052361358509</v>
          </cell>
          <cell r="T193">
            <v>5.0058052361358509</v>
          </cell>
          <cell r="U193">
            <v>11.873360468673903</v>
          </cell>
          <cell r="V193">
            <v>10.610593971182906</v>
          </cell>
          <cell r="W193">
            <v>50</v>
          </cell>
          <cell r="X193">
            <v>34.787401574803155</v>
          </cell>
          <cell r="Y193">
            <v>66.235236220472444</v>
          </cell>
          <cell r="Z193">
            <v>34.787401574803155</v>
          </cell>
          <cell r="AA193">
            <v>66.235236220472444</v>
          </cell>
          <cell r="AB193">
            <v>34.787401574803155</v>
          </cell>
          <cell r="AC193">
            <v>66.235236220472444</v>
          </cell>
          <cell r="AD193">
            <v>66.235236220472444</v>
          </cell>
          <cell r="AE193">
            <v>65.657480314960637</v>
          </cell>
          <cell r="AF193">
            <v>23.657480314960633</v>
          </cell>
          <cell r="AG193">
            <v>39.413385826771659</v>
          </cell>
          <cell r="AH193" t="str">
            <v>Y</v>
          </cell>
          <cell r="AI193">
            <v>43.218000000000004</v>
          </cell>
          <cell r="AJ193">
            <v>19.600000000000001</v>
          </cell>
          <cell r="AK193" t="str">
            <v>TBD</v>
          </cell>
          <cell r="AL193" t="str">
            <v>Y</v>
          </cell>
          <cell r="AM193">
            <v>200018403</v>
          </cell>
          <cell r="AN193">
            <v>200028403</v>
          </cell>
          <cell r="AO193">
            <v>200018303</v>
          </cell>
          <cell r="AP193">
            <v>200028303</v>
          </cell>
          <cell r="AQ193">
            <v>200018203</v>
          </cell>
          <cell r="AR193">
            <v>200028203</v>
          </cell>
          <cell r="AS193">
            <v>14.555555555555557</v>
          </cell>
          <cell r="AT193">
            <v>20.341667202100606</v>
          </cell>
          <cell r="AU193">
            <v>15.171677372068142</v>
          </cell>
          <cell r="AV193">
            <v>10.358239753326892</v>
          </cell>
          <cell r="AW193">
            <v>41227</v>
          </cell>
        </row>
        <row r="194">
          <cell r="C194" t="str">
            <v>Suniva - MVP 60 235-245_S</v>
          </cell>
          <cell r="D194" t="str">
            <v>Standard Claw</v>
          </cell>
          <cell r="E194">
            <v>5000005</v>
          </cell>
          <cell r="F194">
            <v>39.055118110236222</v>
          </cell>
          <cell r="G194">
            <v>64.566929133858267</v>
          </cell>
          <cell r="H194">
            <v>1.9685039370078741</v>
          </cell>
          <cell r="I194">
            <v>200010704</v>
          </cell>
          <cell r="J194">
            <v>200010804</v>
          </cell>
          <cell r="K194">
            <v>200013804</v>
          </cell>
          <cell r="L194">
            <v>200016304</v>
          </cell>
          <cell r="M194">
            <v>500012568</v>
          </cell>
          <cell r="N194">
            <v>500012668</v>
          </cell>
          <cell r="O194">
            <v>500012569</v>
          </cell>
          <cell r="P194">
            <v>500012669</v>
          </cell>
          <cell r="Q194">
            <v>11.698754267040043</v>
          </cell>
          <cell r="R194">
            <v>10.455004839041191</v>
          </cell>
          <cell r="S194">
            <v>4.9330437584696041</v>
          </cell>
          <cell r="T194">
            <v>4.9330437584696041</v>
          </cell>
          <cell r="U194">
            <v>11.698754267040043</v>
          </cell>
          <cell r="V194">
            <v>10.455004839041191</v>
          </cell>
          <cell r="W194">
            <v>50</v>
          </cell>
          <cell r="X194">
            <v>35.2992125984252</v>
          </cell>
          <cell r="Y194">
            <v>66.038385826771659</v>
          </cell>
          <cell r="Z194">
            <v>35.2992125984252</v>
          </cell>
          <cell r="AA194">
            <v>66.038385826771659</v>
          </cell>
          <cell r="AB194">
            <v>35.2992125984252</v>
          </cell>
          <cell r="AC194">
            <v>66.038385826771659</v>
          </cell>
          <cell r="AD194">
            <v>66.038385826771659</v>
          </cell>
          <cell r="AE194">
            <v>65.066929133858267</v>
          </cell>
          <cell r="AF194">
            <v>23.066929133858274</v>
          </cell>
          <cell r="AG194">
            <v>39.925196850393704</v>
          </cell>
          <cell r="AH194" t="str">
            <v>Y</v>
          </cell>
          <cell r="AI194">
            <v>43.218000000000004</v>
          </cell>
          <cell r="AJ194">
            <v>19.600000000000001</v>
          </cell>
          <cell r="AK194" t="str">
            <v>TBD</v>
          </cell>
          <cell r="AL194" t="str">
            <v>Y</v>
          </cell>
          <cell r="AM194">
            <v>200018403</v>
          </cell>
          <cell r="AN194">
            <v>200028403</v>
          </cell>
          <cell r="AO194">
            <v>200018303</v>
          </cell>
          <cell r="AP194">
            <v>200028303</v>
          </cell>
          <cell r="AQ194">
            <v>200018203</v>
          </cell>
          <cell r="AR194">
            <v>200028203</v>
          </cell>
          <cell r="AS194">
            <v>14.555555555555557</v>
          </cell>
          <cell r="AT194">
            <v>20.069602586497279</v>
          </cell>
          <cell r="AU194">
            <v>14.97260437224279</v>
          </cell>
          <cell r="AV194">
            <v>10.224017732239455</v>
          </cell>
          <cell r="AW194">
            <v>40886</v>
          </cell>
        </row>
        <row r="195">
          <cell r="C195" t="str">
            <v>Suniva - MVP 72 280-290_S</v>
          </cell>
          <cell r="D195" t="str">
            <v>Standard Claw</v>
          </cell>
          <cell r="E195">
            <v>5000005</v>
          </cell>
          <cell r="F195">
            <v>39.055118110236222</v>
          </cell>
          <cell r="G195">
            <v>77.00787401574803</v>
          </cell>
          <cell r="H195">
            <v>1.9685039370078741</v>
          </cell>
          <cell r="I195">
            <v>200010707</v>
          </cell>
          <cell r="J195">
            <v>200010807</v>
          </cell>
          <cell r="K195">
            <v>200013807</v>
          </cell>
          <cell r="L195">
            <v>200016307</v>
          </cell>
          <cell r="M195">
            <v>500012581</v>
          </cell>
          <cell r="N195">
            <v>500012681</v>
          </cell>
          <cell r="O195">
            <v>500012581</v>
          </cell>
          <cell r="P195">
            <v>500012681</v>
          </cell>
          <cell r="Q195">
            <v>11.698754267040043</v>
          </cell>
          <cell r="R195">
            <v>10.455004839041191</v>
          </cell>
          <cell r="S195">
            <v>4.9330437584696041</v>
          </cell>
          <cell r="T195">
            <v>4.9330437584696041</v>
          </cell>
          <cell r="U195">
            <v>11.698754267040043</v>
          </cell>
          <cell r="V195">
            <v>10.455004839041191</v>
          </cell>
          <cell r="W195">
            <v>30</v>
          </cell>
          <cell r="X195">
            <v>35.2992125984252</v>
          </cell>
          <cell r="Y195">
            <v>78.479330708661422</v>
          </cell>
          <cell r="Z195">
            <v>35.2992125984252</v>
          </cell>
          <cell r="AA195">
            <v>78.479330708661422</v>
          </cell>
          <cell r="AB195">
            <v>35.2992125984252</v>
          </cell>
          <cell r="AC195">
            <v>78.479330708661422</v>
          </cell>
          <cell r="AD195">
            <v>78.479330708661422</v>
          </cell>
          <cell r="AE195">
            <v>77.507874015748044</v>
          </cell>
          <cell r="AF195">
            <v>35.507874015748037</v>
          </cell>
          <cell r="AG195">
            <v>39.925196850393704</v>
          </cell>
          <cell r="AH195" t="str">
            <v>Y</v>
          </cell>
          <cell r="AI195">
            <v>50.935500000000005</v>
          </cell>
          <cell r="AJ195">
            <v>23.1</v>
          </cell>
          <cell r="AK195" t="str">
            <v>TBD</v>
          </cell>
          <cell r="AL195" t="str">
            <v>Y</v>
          </cell>
          <cell r="AM195">
            <v>200018407</v>
          </cell>
          <cell r="AN195">
            <v>200028407</v>
          </cell>
          <cell r="AO195">
            <v>200018307</v>
          </cell>
          <cell r="AP195">
            <v>200028307</v>
          </cell>
          <cell r="AQ195">
            <v>200018207</v>
          </cell>
          <cell r="AR195">
            <v>200028207</v>
          </cell>
          <cell r="AS195">
            <v>17.222222222222221</v>
          </cell>
          <cell r="AT195">
            <v>20.069602586497279</v>
          </cell>
          <cell r="AU195">
            <v>14.97260437224279</v>
          </cell>
          <cell r="AV195">
            <v>10.224017732239455</v>
          </cell>
          <cell r="AW195">
            <v>41123</v>
          </cell>
        </row>
        <row r="196">
          <cell r="C196" t="str">
            <v>Suniva - MVX 60 235-245_S</v>
          </cell>
          <cell r="D196" t="str">
            <v>Standard Claw</v>
          </cell>
          <cell r="E196">
            <v>5000005</v>
          </cell>
          <cell r="F196">
            <v>38.976377952755911</v>
          </cell>
          <cell r="G196">
            <v>64.960629921259851</v>
          </cell>
          <cell r="H196">
            <v>1.6535433070866143</v>
          </cell>
          <cell r="I196">
            <v>200010704</v>
          </cell>
          <cell r="J196">
            <v>200010804</v>
          </cell>
          <cell r="K196">
            <v>200013804</v>
          </cell>
          <cell r="L196">
            <v>200016304</v>
          </cell>
          <cell r="M196">
            <v>500012569</v>
          </cell>
          <cell r="N196">
            <v>500012669</v>
          </cell>
          <cell r="O196">
            <v>500012569</v>
          </cell>
          <cell r="P196">
            <v>500012669</v>
          </cell>
          <cell r="Q196">
            <v>11.646065132777842</v>
          </cell>
          <cell r="R196">
            <v>10.40805030701417</v>
          </cell>
          <cell r="S196">
            <v>4.911079789514722</v>
          </cell>
          <cell r="T196">
            <v>4.911079789514722</v>
          </cell>
          <cell r="U196">
            <v>11.646065132777842</v>
          </cell>
          <cell r="V196">
            <v>10.40805030701417</v>
          </cell>
          <cell r="W196">
            <v>50</v>
          </cell>
          <cell r="X196">
            <v>35.45669291338583</v>
          </cell>
          <cell r="Y196">
            <v>66.668307086614178</v>
          </cell>
          <cell r="Z196">
            <v>35.45669291338583</v>
          </cell>
          <cell r="AA196">
            <v>66.668307086614178</v>
          </cell>
          <cell r="AB196">
            <v>35.45669291338583</v>
          </cell>
          <cell r="AC196">
            <v>66.668307086614178</v>
          </cell>
          <cell r="AD196">
            <v>66.668307086614178</v>
          </cell>
          <cell r="AE196">
            <v>65.460629921259851</v>
          </cell>
          <cell r="AF196">
            <v>23.460629921259848</v>
          </cell>
          <cell r="AG196">
            <v>40.082677165354333</v>
          </cell>
          <cell r="AH196" t="str">
            <v>Y</v>
          </cell>
          <cell r="AI196">
            <v>42.997500000000002</v>
          </cell>
          <cell r="AJ196">
            <v>19.5</v>
          </cell>
          <cell r="AK196" t="str">
            <v>TBD</v>
          </cell>
          <cell r="AL196" t="str">
            <v>Y</v>
          </cell>
          <cell r="AM196">
            <v>200018403</v>
          </cell>
          <cell r="AN196">
            <v>200028403</v>
          </cell>
          <cell r="AO196">
            <v>200018303</v>
          </cell>
          <cell r="AP196">
            <v>200028303</v>
          </cell>
          <cell r="AQ196">
            <v>200018203</v>
          </cell>
          <cell r="AR196">
            <v>200028203</v>
          </cell>
          <cell r="AS196">
            <v>14.555555555555557</v>
          </cell>
          <cell r="AT196">
            <v>19.987381438876472</v>
          </cell>
          <cell r="AU196">
            <v>14.912410483320945</v>
          </cell>
          <cell r="AV196">
            <v>10.183419458492327</v>
          </cell>
          <cell r="AW196">
            <v>41123</v>
          </cell>
        </row>
        <row r="197">
          <cell r="C197" t="str">
            <v>Suniva - MVX 72 285-295_S</v>
          </cell>
          <cell r="D197" t="str">
            <v>Standard Claw</v>
          </cell>
          <cell r="E197">
            <v>5000005</v>
          </cell>
          <cell r="F197">
            <v>38.976377952755911</v>
          </cell>
          <cell r="G197">
            <v>77.559055118110237</v>
          </cell>
          <cell r="H197">
            <v>1.6535433070866143</v>
          </cell>
          <cell r="I197">
            <v>200010708</v>
          </cell>
          <cell r="J197">
            <v>200010808</v>
          </cell>
          <cell r="K197">
            <v>200013808</v>
          </cell>
          <cell r="L197">
            <v>200016308</v>
          </cell>
          <cell r="M197">
            <v>500012581</v>
          </cell>
          <cell r="N197">
            <v>500012681</v>
          </cell>
          <cell r="O197">
            <v>500012582</v>
          </cell>
          <cell r="P197">
            <v>500012682</v>
          </cell>
          <cell r="Q197">
            <v>11.646065132777842</v>
          </cell>
          <cell r="R197">
            <v>10.40805030701417</v>
          </cell>
          <cell r="S197">
            <v>4.911079789514722</v>
          </cell>
          <cell r="T197">
            <v>4.911079789514722</v>
          </cell>
          <cell r="U197">
            <v>11.646065132777842</v>
          </cell>
          <cell r="V197">
            <v>10.40805030701417</v>
          </cell>
          <cell r="W197">
            <v>30</v>
          </cell>
          <cell r="X197">
            <v>35.45669291338583</v>
          </cell>
          <cell r="Y197">
            <v>79.266732283464577</v>
          </cell>
          <cell r="Z197">
            <v>35.45669291338583</v>
          </cell>
          <cell r="AA197">
            <v>79.266732283464577</v>
          </cell>
          <cell r="AB197">
            <v>35.45669291338583</v>
          </cell>
          <cell r="AC197">
            <v>79.266732283464577</v>
          </cell>
          <cell r="AD197">
            <v>79.266732283464577</v>
          </cell>
          <cell r="AE197">
            <v>78.059055118110237</v>
          </cell>
          <cell r="AF197">
            <v>36.059055118110244</v>
          </cell>
          <cell r="AG197">
            <v>40.082677165354333</v>
          </cell>
          <cell r="AH197" t="str">
            <v>Y</v>
          </cell>
          <cell r="AI197">
            <v>58.432500000000005</v>
          </cell>
          <cell r="AJ197">
            <v>26.5</v>
          </cell>
          <cell r="AK197" t="str">
            <v>TBD</v>
          </cell>
          <cell r="AL197" t="str">
            <v>Y</v>
          </cell>
          <cell r="AM197">
            <v>200018407</v>
          </cell>
          <cell r="AN197">
            <v>200028407</v>
          </cell>
          <cell r="AO197">
            <v>200018307</v>
          </cell>
          <cell r="AP197">
            <v>200028307</v>
          </cell>
          <cell r="AQ197">
            <v>200018207</v>
          </cell>
          <cell r="AR197">
            <v>200028207</v>
          </cell>
          <cell r="AS197">
            <v>17.222222222222221</v>
          </cell>
          <cell r="AT197">
            <v>19.987381438876472</v>
          </cell>
          <cell r="AU197">
            <v>14.912410483320945</v>
          </cell>
          <cell r="AV197">
            <v>10.183419458492327</v>
          </cell>
          <cell r="AW197">
            <v>41123</v>
          </cell>
        </row>
        <row r="198">
          <cell r="C198" t="str">
            <v>Suntech - STP 180-185S-24-Adb+_M</v>
          </cell>
          <cell r="D198" t="str">
            <v>Short Clamp Multi Claw</v>
          </cell>
          <cell r="E198">
            <v>500000701</v>
          </cell>
          <cell r="F198">
            <v>31.811023622047244</v>
          </cell>
          <cell r="G198">
            <v>62.204724409448822</v>
          </cell>
          <cell r="H198">
            <v>1.3779527559055118</v>
          </cell>
          <cell r="I198">
            <v>200010703</v>
          </cell>
          <cell r="J198">
            <v>200010803</v>
          </cell>
          <cell r="K198">
            <v>200013803</v>
          </cell>
          <cell r="L198">
            <v>200016303</v>
          </cell>
          <cell r="M198">
            <v>500012565</v>
          </cell>
          <cell r="N198">
            <v>500012665</v>
          </cell>
          <cell r="O198">
            <v>500012565</v>
          </cell>
          <cell r="P198">
            <v>500012665</v>
          </cell>
          <cell r="Q198">
            <v>13.62171878398231</v>
          </cell>
          <cell r="R198">
            <v>12.167343817471885</v>
          </cell>
          <cell r="S198">
            <v>5.7321584003175321</v>
          </cell>
          <cell r="T198">
            <v>5.7321584003175321</v>
          </cell>
          <cell r="U198">
            <v>13.62171878398231</v>
          </cell>
          <cell r="V198">
            <v>12.167343817471885</v>
          </cell>
          <cell r="W198">
            <v>50</v>
          </cell>
          <cell r="X198">
            <v>30.391338582677168</v>
          </cell>
          <cell r="Y198">
            <v>62.780118110236224</v>
          </cell>
          <cell r="Z198">
            <v>30.391338582677168</v>
          </cell>
          <cell r="AA198">
            <v>62.780118110236224</v>
          </cell>
          <cell r="AB198">
            <v>30.391338582677168</v>
          </cell>
          <cell r="AC198">
            <v>62.780118110236224</v>
          </cell>
          <cell r="AD198">
            <v>62.780118110236224</v>
          </cell>
          <cell r="AE198">
            <v>62.704724409448822</v>
          </cell>
          <cell r="AF198">
            <v>20.704724409448822</v>
          </cell>
          <cell r="AG198">
            <v>32.681102362204726</v>
          </cell>
          <cell r="AH198" t="str">
            <v>N</v>
          </cell>
          <cell r="AI198">
            <v>37.926000000000002</v>
          </cell>
          <cell r="AJ198">
            <v>17.2</v>
          </cell>
          <cell r="AK198" t="str">
            <v>TBD</v>
          </cell>
          <cell r="AL198" t="str">
            <v>Y</v>
          </cell>
          <cell r="AM198">
            <v>200018402</v>
          </cell>
          <cell r="AN198">
            <v>200028402</v>
          </cell>
          <cell r="AO198">
            <v>200018302</v>
          </cell>
          <cell r="AP198">
            <v>200028302</v>
          </cell>
          <cell r="AQ198">
            <v>200018202</v>
          </cell>
          <cell r="AR198">
            <v>200028202</v>
          </cell>
          <cell r="AS198">
            <v>13.888888888888888</v>
          </cell>
          <cell r="AT198">
            <v>24.785769092963804</v>
          </cell>
          <cell r="AU198">
            <v>18.39852585667062</v>
          </cell>
          <cell r="AV198">
            <v>12.523577389800897</v>
          </cell>
          <cell r="AW198">
            <v>40617</v>
          </cell>
        </row>
        <row r="199">
          <cell r="C199" t="str">
            <v>Suntech - STP 180-190S-24-Ad+_M</v>
          </cell>
          <cell r="D199" t="str">
            <v>Short Clamp Multi Claw</v>
          </cell>
          <cell r="E199">
            <v>500000701</v>
          </cell>
          <cell r="F199">
            <v>31.811023622047244</v>
          </cell>
          <cell r="G199">
            <v>62.204724409448822</v>
          </cell>
          <cell r="H199">
            <v>1.3779527559055118</v>
          </cell>
          <cell r="I199">
            <v>200010703</v>
          </cell>
          <cell r="J199">
            <v>200010803</v>
          </cell>
          <cell r="K199">
            <v>200013803</v>
          </cell>
          <cell r="L199">
            <v>200016303</v>
          </cell>
          <cell r="M199">
            <v>500012565</v>
          </cell>
          <cell r="N199">
            <v>500012665</v>
          </cell>
          <cell r="O199">
            <v>500012565</v>
          </cell>
          <cell r="P199">
            <v>500012665</v>
          </cell>
          <cell r="Q199">
            <v>13.62171878398231</v>
          </cell>
          <cell r="R199">
            <v>12.167343817471885</v>
          </cell>
          <cell r="S199">
            <v>5.7321584003175321</v>
          </cell>
          <cell r="T199">
            <v>5.7321584003175321</v>
          </cell>
          <cell r="U199">
            <v>13.62171878398231</v>
          </cell>
          <cell r="V199">
            <v>12.167343817471885</v>
          </cell>
          <cell r="W199">
            <v>50</v>
          </cell>
          <cell r="X199">
            <v>30.391338582677168</v>
          </cell>
          <cell r="Y199">
            <v>62.780118110236224</v>
          </cell>
          <cell r="Z199">
            <v>30.391338582677168</v>
          </cell>
          <cell r="AA199">
            <v>62.780118110236224</v>
          </cell>
          <cell r="AB199">
            <v>30.391338582677168</v>
          </cell>
          <cell r="AC199">
            <v>62.780118110236224</v>
          </cell>
          <cell r="AD199">
            <v>62.780118110236224</v>
          </cell>
          <cell r="AE199">
            <v>62.704724409448822</v>
          </cell>
          <cell r="AF199">
            <v>20.704724409448822</v>
          </cell>
          <cell r="AG199">
            <v>32.681102362204726</v>
          </cell>
          <cell r="AH199" t="str">
            <v>N</v>
          </cell>
          <cell r="AI199">
            <v>37.926000000000002</v>
          </cell>
          <cell r="AJ199">
            <v>17.2</v>
          </cell>
          <cell r="AK199" t="str">
            <v>TBD</v>
          </cell>
          <cell r="AL199" t="str">
            <v>Y</v>
          </cell>
          <cell r="AM199">
            <v>200018402</v>
          </cell>
          <cell r="AN199">
            <v>200028402</v>
          </cell>
          <cell r="AO199">
            <v>200018302</v>
          </cell>
          <cell r="AP199">
            <v>200028302</v>
          </cell>
          <cell r="AQ199">
            <v>200018202</v>
          </cell>
          <cell r="AR199">
            <v>200028202</v>
          </cell>
          <cell r="AS199">
            <v>13.888888888888888</v>
          </cell>
          <cell r="AT199">
            <v>24.785769092963804</v>
          </cell>
          <cell r="AU199">
            <v>18.39852585667062</v>
          </cell>
          <cell r="AV199">
            <v>12.523577389800897</v>
          </cell>
          <cell r="AW199">
            <v>40617</v>
          </cell>
        </row>
        <row r="200">
          <cell r="C200" t="str">
            <v>Suntech - STP 240-245-20-Wd-Wde_S</v>
          </cell>
          <cell r="D200" t="str">
            <v>Standard Claw</v>
          </cell>
          <cell r="E200">
            <v>5000005</v>
          </cell>
          <cell r="F200">
            <v>39.055118110236222</v>
          </cell>
          <cell r="G200">
            <v>64.566929133858267</v>
          </cell>
          <cell r="H200">
            <v>1.3779527559055118</v>
          </cell>
          <cell r="I200">
            <v>200010704</v>
          </cell>
          <cell r="J200">
            <v>200010804</v>
          </cell>
          <cell r="K200">
            <v>200013804</v>
          </cell>
          <cell r="L200">
            <v>200016304</v>
          </cell>
          <cell r="M200">
            <v>500012568</v>
          </cell>
          <cell r="N200">
            <v>500012668</v>
          </cell>
          <cell r="O200">
            <v>500012569</v>
          </cell>
          <cell r="P200">
            <v>500012669</v>
          </cell>
          <cell r="Q200">
            <v>11.698754267040043</v>
          </cell>
          <cell r="R200">
            <v>10.455004839041191</v>
          </cell>
          <cell r="S200">
            <v>4.9330437584696041</v>
          </cell>
          <cell r="T200">
            <v>4.9330437584696041</v>
          </cell>
          <cell r="U200">
            <v>11.698754267040043</v>
          </cell>
          <cell r="V200">
            <v>10.455004839041191</v>
          </cell>
          <cell r="W200">
            <v>50</v>
          </cell>
          <cell r="X200">
            <v>35.2992125984252</v>
          </cell>
          <cell r="Y200">
            <v>66.038385826771659</v>
          </cell>
          <cell r="Z200">
            <v>35.2992125984252</v>
          </cell>
          <cell r="AA200">
            <v>66.038385826771659</v>
          </cell>
          <cell r="AB200">
            <v>35.2992125984252</v>
          </cell>
          <cell r="AC200">
            <v>66.038385826771659</v>
          </cell>
          <cell r="AD200">
            <v>66.038385826771659</v>
          </cell>
          <cell r="AE200">
            <v>65.066929133858267</v>
          </cell>
          <cell r="AF200">
            <v>23.066929133858274</v>
          </cell>
          <cell r="AG200">
            <v>39.925196850393704</v>
          </cell>
          <cell r="AH200" t="str">
            <v>N</v>
          </cell>
          <cell r="AI200">
            <v>40.131</v>
          </cell>
          <cell r="AJ200">
            <v>18.2</v>
          </cell>
          <cell r="AK200" t="str">
            <v>TBD</v>
          </cell>
          <cell r="AL200" t="str">
            <v>Y</v>
          </cell>
          <cell r="AM200">
            <v>200018403</v>
          </cell>
          <cell r="AN200">
            <v>200028403</v>
          </cell>
          <cell r="AO200">
            <v>200018303</v>
          </cell>
          <cell r="AP200">
            <v>200028303</v>
          </cell>
          <cell r="AQ200">
            <v>200018203</v>
          </cell>
          <cell r="AR200">
            <v>200028203</v>
          </cell>
          <cell r="AS200">
            <v>14.555555555555557</v>
          </cell>
          <cell r="AT200">
            <v>20.069602586497279</v>
          </cell>
          <cell r="AU200">
            <v>14.97260437224279</v>
          </cell>
          <cell r="AV200">
            <v>10.224017732239455</v>
          </cell>
          <cell r="AW200">
            <v>41254</v>
          </cell>
        </row>
        <row r="201">
          <cell r="C201" t="str">
            <v>Suntech - STP 275-295-24-Vd_S</v>
          </cell>
          <cell r="D201" t="str">
            <v>Standard Claw</v>
          </cell>
          <cell r="E201">
            <v>5000005</v>
          </cell>
          <cell r="F201">
            <v>39.055118110236222</v>
          </cell>
          <cell r="G201">
            <v>77.00787401574803</v>
          </cell>
          <cell r="H201">
            <v>1.9685039370078741</v>
          </cell>
          <cell r="I201">
            <v>200010707</v>
          </cell>
          <cell r="J201">
            <v>200010807</v>
          </cell>
          <cell r="K201">
            <v>200013807</v>
          </cell>
          <cell r="L201">
            <v>200016307</v>
          </cell>
          <cell r="M201">
            <v>500012581</v>
          </cell>
          <cell r="N201">
            <v>500012681</v>
          </cell>
          <cell r="O201">
            <v>500012581</v>
          </cell>
          <cell r="P201">
            <v>500012681</v>
          </cell>
          <cell r="Q201">
            <v>11.698754267040043</v>
          </cell>
          <cell r="R201">
            <v>10.455004839041191</v>
          </cell>
          <cell r="S201">
            <v>4.9330437584696041</v>
          </cell>
          <cell r="T201">
            <v>4.9330437584696041</v>
          </cell>
          <cell r="U201">
            <v>11.698754267040043</v>
          </cell>
          <cell r="V201">
            <v>10.455004839041191</v>
          </cell>
          <cell r="W201">
            <v>30</v>
          </cell>
          <cell r="X201">
            <v>35.2992125984252</v>
          </cell>
          <cell r="Y201">
            <v>78.479330708661422</v>
          </cell>
          <cell r="Z201">
            <v>35.2992125984252</v>
          </cell>
          <cell r="AA201">
            <v>78.479330708661422</v>
          </cell>
          <cell r="AB201">
            <v>35.2992125984252</v>
          </cell>
          <cell r="AC201">
            <v>78.479330708661422</v>
          </cell>
          <cell r="AD201">
            <v>78.479330708661422</v>
          </cell>
          <cell r="AE201">
            <v>77.507874015748044</v>
          </cell>
          <cell r="AF201">
            <v>35.507874015748037</v>
          </cell>
          <cell r="AG201">
            <v>39.925196850393704</v>
          </cell>
          <cell r="AH201" t="str">
            <v>Y</v>
          </cell>
          <cell r="AI201">
            <v>59.535000000000004</v>
          </cell>
          <cell r="AJ201">
            <v>27</v>
          </cell>
          <cell r="AK201" t="str">
            <v>TBD</v>
          </cell>
          <cell r="AL201" t="str">
            <v>Y</v>
          </cell>
          <cell r="AM201">
            <v>200018407</v>
          </cell>
          <cell r="AN201">
            <v>200028407</v>
          </cell>
          <cell r="AO201">
            <v>200018307</v>
          </cell>
          <cell r="AP201">
            <v>200028307</v>
          </cell>
          <cell r="AQ201">
            <v>200018207</v>
          </cell>
          <cell r="AR201">
            <v>200028207</v>
          </cell>
          <cell r="AS201">
            <v>17.222222222222221</v>
          </cell>
          <cell r="AT201">
            <v>20.069602586497279</v>
          </cell>
          <cell r="AU201">
            <v>14.97260437224279</v>
          </cell>
          <cell r="AV201">
            <v>10.224017732239455</v>
          </cell>
          <cell r="AW201">
            <v>41226</v>
          </cell>
        </row>
        <row r="202">
          <cell r="C202" t="str">
            <v>Suntech - STP 275-295-24-Vd_X</v>
          </cell>
          <cell r="D202" t="str">
            <v>Long Claw (Suntech STP-280)</v>
          </cell>
          <cell r="E202">
            <v>500003909</v>
          </cell>
          <cell r="F202">
            <v>39.055118110236222</v>
          </cell>
          <cell r="G202">
            <v>77.00787401574803</v>
          </cell>
          <cell r="H202">
            <v>1.9685039370078741</v>
          </cell>
          <cell r="I202">
            <v>200010707</v>
          </cell>
          <cell r="J202">
            <v>200010807</v>
          </cell>
          <cell r="K202">
            <v>200013807</v>
          </cell>
          <cell r="L202">
            <v>200016307</v>
          </cell>
          <cell r="M202">
            <v>500012580</v>
          </cell>
          <cell r="N202">
            <v>500012680</v>
          </cell>
          <cell r="O202">
            <v>500012580</v>
          </cell>
          <cell r="P202">
            <v>500012680</v>
          </cell>
          <cell r="Q202">
            <v>10.925528613606973</v>
          </cell>
          <cell r="R202">
            <v>9.7657558591012528</v>
          </cell>
          <cell r="S202">
            <v>4.610378750883191</v>
          </cell>
          <cell r="T202">
            <v>4.610378750883191</v>
          </cell>
          <cell r="U202">
            <v>10.925528613606973</v>
          </cell>
          <cell r="V202">
            <v>9.7657558591012528</v>
          </cell>
          <cell r="W202">
            <v>50</v>
          </cell>
          <cell r="X202">
            <v>37.763779527559059</v>
          </cell>
          <cell r="Y202">
            <v>77.762795275590548</v>
          </cell>
          <cell r="Z202">
            <v>37.763779527559059</v>
          </cell>
          <cell r="AA202">
            <v>77.762795275590548</v>
          </cell>
          <cell r="AB202">
            <v>37.763779527559059</v>
          </cell>
          <cell r="AC202">
            <v>77.762795275590548</v>
          </cell>
          <cell r="AD202">
            <v>77.762795275590548</v>
          </cell>
          <cell r="AE202">
            <v>77.507874015748044</v>
          </cell>
          <cell r="AF202">
            <v>35.507874015748037</v>
          </cell>
          <cell r="AG202">
            <v>39.925196850393704</v>
          </cell>
          <cell r="AH202" t="str">
            <v>Y</v>
          </cell>
          <cell r="AI202">
            <v>59.535000000000004</v>
          </cell>
          <cell r="AJ202">
            <v>27</v>
          </cell>
          <cell r="AK202" t="str">
            <v>TBD</v>
          </cell>
          <cell r="AL202" t="str">
            <v>Y</v>
          </cell>
          <cell r="AM202">
            <v>200018407</v>
          </cell>
          <cell r="AN202">
            <v>200028407</v>
          </cell>
          <cell r="AO202">
            <v>200018307</v>
          </cell>
          <cell r="AP202">
            <v>200028307</v>
          </cell>
          <cell r="AQ202">
            <v>200018207</v>
          </cell>
          <cell r="AR202">
            <v>200028207</v>
          </cell>
          <cell r="AS202">
            <v>17.222222222222221</v>
          </cell>
          <cell r="AT202">
            <v>20.069602586497279</v>
          </cell>
          <cell r="AU202">
            <v>14.97260437224279</v>
          </cell>
          <cell r="AV202">
            <v>10.224017732239455</v>
          </cell>
          <cell r="AW202">
            <v>41226</v>
          </cell>
        </row>
        <row r="203">
          <cell r="C203" t="str">
            <v>Suntech - STP 275-295-24-Vd_L</v>
          </cell>
          <cell r="D203" t="str">
            <v>2nd Gen Long Claw (Suntech STP-280)</v>
          </cell>
          <cell r="E203">
            <v>500014409</v>
          </cell>
          <cell r="F203">
            <v>39.055118110236222</v>
          </cell>
          <cell r="G203">
            <v>77.00787401574803</v>
          </cell>
          <cell r="H203">
            <v>1.9685039370078741</v>
          </cell>
          <cell r="I203">
            <v>200010707</v>
          </cell>
          <cell r="J203">
            <v>200010807</v>
          </cell>
          <cell r="K203">
            <v>200013807</v>
          </cell>
          <cell r="L203">
            <v>200016307</v>
          </cell>
          <cell r="M203">
            <v>500012580</v>
          </cell>
          <cell r="N203">
            <v>500012680</v>
          </cell>
          <cell r="O203">
            <v>500012580</v>
          </cell>
          <cell r="P203">
            <v>500012680</v>
          </cell>
          <cell r="Q203">
            <v>10.491598561783562</v>
          </cell>
          <cell r="R203">
            <v>9.3787899813738882</v>
          </cell>
          <cell r="S203">
            <v>4.4289934295908475</v>
          </cell>
          <cell r="T203">
            <v>4.4289934295908475</v>
          </cell>
          <cell r="U203">
            <v>10.491598561783562</v>
          </cell>
          <cell r="V203">
            <v>9.3787899813738882</v>
          </cell>
          <cell r="W203">
            <v>50</v>
          </cell>
          <cell r="X203">
            <v>39.30708661417323</v>
          </cell>
          <cell r="Y203">
            <v>77.762795275590548</v>
          </cell>
          <cell r="Z203">
            <v>39.30708661417323</v>
          </cell>
          <cell r="AA203">
            <v>77.762795275590548</v>
          </cell>
          <cell r="AB203">
            <v>39.30708661417323</v>
          </cell>
          <cell r="AC203">
            <v>77.762795275590548</v>
          </cell>
          <cell r="AD203">
            <v>77.762795275590548</v>
          </cell>
          <cell r="AE203">
            <v>77.507874015748044</v>
          </cell>
          <cell r="AF203">
            <v>35.507874015748037</v>
          </cell>
          <cell r="AG203">
            <v>39.925196850393704</v>
          </cell>
          <cell r="AH203" t="str">
            <v>Y</v>
          </cell>
          <cell r="AI203">
            <v>59.535000000000004</v>
          </cell>
          <cell r="AJ203">
            <v>27</v>
          </cell>
          <cell r="AK203" t="str">
            <v>TBD</v>
          </cell>
          <cell r="AL203" t="str">
            <v>Y</v>
          </cell>
          <cell r="AM203">
            <v>200018407</v>
          </cell>
          <cell r="AN203">
            <v>200028407</v>
          </cell>
          <cell r="AO203">
            <v>200018307</v>
          </cell>
          <cell r="AP203">
            <v>200028307</v>
          </cell>
          <cell r="AQ203">
            <v>200018207</v>
          </cell>
          <cell r="AR203">
            <v>200028207</v>
          </cell>
          <cell r="AS203">
            <v>17.222222222222221</v>
          </cell>
          <cell r="AT203">
            <v>20.069602586497279</v>
          </cell>
          <cell r="AU203">
            <v>14.97260437224279</v>
          </cell>
          <cell r="AV203">
            <v>10.224017732239455</v>
          </cell>
          <cell r="AW203">
            <v>41226</v>
          </cell>
        </row>
        <row r="204">
          <cell r="C204" t="str">
            <v>Suntech - PLUTO 240-245-Wde_S</v>
          </cell>
          <cell r="D204" t="str">
            <v>Standard Claw</v>
          </cell>
          <cell r="E204">
            <v>5000005</v>
          </cell>
          <cell r="F204">
            <v>39.015748031496067</v>
          </cell>
          <cell r="G204">
            <v>65.551181102362207</v>
          </cell>
          <cell r="H204">
            <v>1.9685039370078741</v>
          </cell>
          <cell r="I204">
            <v>200010705</v>
          </cell>
          <cell r="J204">
            <v>200010805</v>
          </cell>
          <cell r="K204">
            <v>200013804</v>
          </cell>
          <cell r="L204">
            <v>200016304</v>
          </cell>
          <cell r="M204">
            <v>500012569</v>
          </cell>
          <cell r="N204">
            <v>500012669</v>
          </cell>
          <cell r="O204">
            <v>500012570</v>
          </cell>
          <cell r="P204">
            <v>500012670</v>
          </cell>
          <cell r="Q204">
            <v>11.712001665978303</v>
          </cell>
          <cell r="R204">
            <v>10.466810122774502</v>
          </cell>
          <cell r="S204">
            <v>4.9385655202770034</v>
          </cell>
          <cell r="T204">
            <v>4.9385655202770034</v>
          </cell>
          <cell r="U204">
            <v>11.712001665978303</v>
          </cell>
          <cell r="V204">
            <v>10.466810122774502</v>
          </cell>
          <cell r="W204">
            <v>50</v>
          </cell>
          <cell r="X204">
            <v>35.259842519685044</v>
          </cell>
          <cell r="Y204">
            <v>67.0226377952756</v>
          </cell>
          <cell r="Z204">
            <v>35.259842519685044</v>
          </cell>
          <cell r="AA204">
            <v>67.0226377952756</v>
          </cell>
          <cell r="AB204">
            <v>35.259842519685044</v>
          </cell>
          <cell r="AC204">
            <v>67.0226377952756</v>
          </cell>
          <cell r="AD204">
            <v>67.0226377952756</v>
          </cell>
          <cell r="AE204">
            <v>66.051181102362207</v>
          </cell>
          <cell r="AF204">
            <v>24.051181102362211</v>
          </cell>
          <cell r="AG204">
            <v>39.885826771653548</v>
          </cell>
          <cell r="AH204" t="str">
            <v>N</v>
          </cell>
          <cell r="AI204">
            <v>44.1</v>
          </cell>
          <cell r="AJ204">
            <v>20</v>
          </cell>
          <cell r="AK204" t="str">
            <v>TBD</v>
          </cell>
          <cell r="AL204" t="str">
            <v>Y</v>
          </cell>
          <cell r="AM204">
            <v>200018403</v>
          </cell>
          <cell r="AN204">
            <v>200028403</v>
          </cell>
          <cell r="AO204">
            <v>200018303</v>
          </cell>
          <cell r="AP204">
            <v>200028303</v>
          </cell>
          <cell r="AQ204">
            <v>200018203</v>
          </cell>
          <cell r="AR204">
            <v>200028203</v>
          </cell>
          <cell r="AS204">
            <v>14.555555555555557</v>
          </cell>
          <cell r="AT204">
            <v>20.090266090541991</v>
          </cell>
          <cell r="AU204">
            <v>14.987729769699868</v>
          </cell>
          <cell r="AV204">
            <v>10.23421820704114</v>
          </cell>
          <cell r="AW204">
            <v>41229</v>
          </cell>
        </row>
        <row r="205">
          <cell r="C205" t="str">
            <v>Trina Solar - TSM-PC-PA05-DC-DA05 220-255_S</v>
          </cell>
          <cell r="D205" t="str">
            <v>Standard Claw</v>
          </cell>
          <cell r="E205">
            <v>5000005</v>
          </cell>
          <cell r="F205">
            <v>39.055118110236222</v>
          </cell>
          <cell r="G205">
            <v>64.960629921259851</v>
          </cell>
          <cell r="H205">
            <v>1.8110236220472442</v>
          </cell>
          <cell r="I205">
            <v>200010704</v>
          </cell>
          <cell r="J205">
            <v>200010804</v>
          </cell>
          <cell r="K205">
            <v>200013804</v>
          </cell>
          <cell r="L205">
            <v>200016304</v>
          </cell>
          <cell r="M205">
            <v>500012568</v>
          </cell>
          <cell r="N205">
            <v>500012668</v>
          </cell>
          <cell r="O205">
            <v>500012569</v>
          </cell>
          <cell r="P205">
            <v>500012669</v>
          </cell>
          <cell r="Q205">
            <v>11.778694560772582</v>
          </cell>
          <cell r="R205">
            <v>10.526241039665905</v>
          </cell>
          <cell r="S205">
            <v>4.9663610300746015</v>
          </cell>
          <cell r="T205">
            <v>4.9663610300746015</v>
          </cell>
          <cell r="U205">
            <v>11.778694560772582</v>
          </cell>
          <cell r="V205">
            <v>10.526241039665905</v>
          </cell>
          <cell r="W205">
            <v>50</v>
          </cell>
          <cell r="X205">
            <v>35.062992125984252</v>
          </cell>
          <cell r="Y205">
            <v>66.195866141732282</v>
          </cell>
          <cell r="Z205">
            <v>35.062992125984252</v>
          </cell>
          <cell r="AA205">
            <v>66.195866141732282</v>
          </cell>
          <cell r="AB205">
            <v>35.062992125984252</v>
          </cell>
          <cell r="AC205">
            <v>66.195866141732282</v>
          </cell>
          <cell r="AD205">
            <v>66.195866141732282</v>
          </cell>
          <cell r="AE205">
            <v>65.460629921259851</v>
          </cell>
          <cell r="AF205">
            <v>23.460629921259848</v>
          </cell>
          <cell r="AG205">
            <v>39.688976377952756</v>
          </cell>
          <cell r="AH205" t="str">
            <v>Y</v>
          </cell>
          <cell r="AI205">
            <v>42.997500000000002</v>
          </cell>
          <cell r="AJ205">
            <v>19.5</v>
          </cell>
          <cell r="AK205" t="str">
            <v>TBD</v>
          </cell>
          <cell r="AL205" t="str">
            <v>Y</v>
          </cell>
          <cell r="AM205">
            <v>200018403</v>
          </cell>
          <cell r="AN205">
            <v>200028403</v>
          </cell>
          <cell r="AO205">
            <v>200018303</v>
          </cell>
          <cell r="AP205">
            <v>200028303</v>
          </cell>
          <cell r="AQ205">
            <v>200018203</v>
          </cell>
          <cell r="AR205">
            <v>200028203</v>
          </cell>
          <cell r="AS205">
            <v>14.555555555555557</v>
          </cell>
          <cell r="AT205">
            <v>20.19423994993074</v>
          </cell>
          <cell r="AU205">
            <v>15.063823110425394</v>
          </cell>
          <cell r="AV205">
            <v>10.285529115768481</v>
          </cell>
          <cell r="AW205">
            <v>41317</v>
          </cell>
        </row>
        <row r="206">
          <cell r="C206" t="str">
            <v>Trina Solar - TSM-PC-PA14-PA14A 270-315_S</v>
          </cell>
          <cell r="D206" t="str">
            <v>Standard Claw</v>
          </cell>
          <cell r="E206">
            <v>5000005</v>
          </cell>
          <cell r="F206">
            <v>39.055118110236222</v>
          </cell>
          <cell r="G206">
            <v>77.00787401574803</v>
          </cell>
          <cell r="H206">
            <v>1.8110236220472442</v>
          </cell>
          <cell r="I206">
            <v>200010707</v>
          </cell>
          <cell r="J206">
            <v>200010807</v>
          </cell>
          <cell r="K206">
            <v>200013807</v>
          </cell>
          <cell r="L206">
            <v>200016307</v>
          </cell>
          <cell r="M206">
            <v>500012580</v>
          </cell>
          <cell r="N206">
            <v>500012680</v>
          </cell>
          <cell r="O206">
            <v>500012581</v>
          </cell>
          <cell r="P206">
            <v>500012681</v>
          </cell>
          <cell r="Q206">
            <v>11.778694560772582</v>
          </cell>
          <cell r="R206">
            <v>10.526241039665905</v>
          </cell>
          <cell r="S206">
            <v>4.9663610300746015</v>
          </cell>
          <cell r="T206">
            <v>4.9663610300746015</v>
          </cell>
          <cell r="U206">
            <v>11.778694560772582</v>
          </cell>
          <cell r="V206">
            <v>10.526241039665905</v>
          </cell>
          <cell r="W206">
            <v>50</v>
          </cell>
          <cell r="X206">
            <v>35.062992125984252</v>
          </cell>
          <cell r="Y206">
            <v>78.243110236220474</v>
          </cell>
          <cell r="Z206">
            <v>35.062992125984252</v>
          </cell>
          <cell r="AA206">
            <v>78.243110236220474</v>
          </cell>
          <cell r="AB206">
            <v>35.062992125984252</v>
          </cell>
          <cell r="AC206">
            <v>78.243110236220474</v>
          </cell>
          <cell r="AD206">
            <v>78.243110236220474</v>
          </cell>
          <cell r="AE206">
            <v>77.507874015748044</v>
          </cell>
          <cell r="AF206">
            <v>35.507874015748037</v>
          </cell>
          <cell r="AG206">
            <v>39.688976377952756</v>
          </cell>
          <cell r="AH206" t="str">
            <v>Y</v>
          </cell>
          <cell r="AI206">
            <v>60.858000000000004</v>
          </cell>
          <cell r="AJ206">
            <v>27.6</v>
          </cell>
          <cell r="AK206" t="str">
            <v>TBD</v>
          </cell>
          <cell r="AL206" t="str">
            <v>Y</v>
          </cell>
          <cell r="AM206">
            <v>200018407</v>
          </cell>
          <cell r="AN206">
            <v>200028407</v>
          </cell>
          <cell r="AO206">
            <v>200018307</v>
          </cell>
          <cell r="AP206">
            <v>200028307</v>
          </cell>
          <cell r="AQ206">
            <v>200018207</v>
          </cell>
          <cell r="AR206">
            <v>200028207</v>
          </cell>
          <cell r="AS206">
            <v>17.222222222222221</v>
          </cell>
          <cell r="AT206">
            <v>20.19423994993074</v>
          </cell>
          <cell r="AU206">
            <v>15.063823110425394</v>
          </cell>
          <cell r="AV206">
            <v>10.285529115768481</v>
          </cell>
          <cell r="AW206">
            <v>41317</v>
          </cell>
        </row>
        <row r="207">
          <cell r="C207" t="str">
            <v>Trina Solar - TSM-PC-PA05 220-255_S</v>
          </cell>
          <cell r="D207" t="str">
            <v>Standard Claw</v>
          </cell>
          <cell r="E207">
            <v>5000005</v>
          </cell>
          <cell r="F207">
            <v>39.055118110236222</v>
          </cell>
          <cell r="G207">
            <v>64.960629921259851</v>
          </cell>
          <cell r="H207">
            <v>1.5748031496062993</v>
          </cell>
          <cell r="I207">
            <v>200010704</v>
          </cell>
          <cell r="J207">
            <v>200010804</v>
          </cell>
          <cell r="K207">
            <v>200013804</v>
          </cell>
          <cell r="L207">
            <v>200016304</v>
          </cell>
          <cell r="M207">
            <v>500012569</v>
          </cell>
          <cell r="N207">
            <v>500012669</v>
          </cell>
          <cell r="O207">
            <v>500012569</v>
          </cell>
          <cell r="P207">
            <v>500012669</v>
          </cell>
          <cell r="Q207">
            <v>11.698754267040043</v>
          </cell>
          <cell r="R207">
            <v>10.455004839041191</v>
          </cell>
          <cell r="S207">
            <v>4.9330437584696041</v>
          </cell>
          <cell r="T207">
            <v>4.9330437584696041</v>
          </cell>
          <cell r="U207">
            <v>11.698754267040043</v>
          </cell>
          <cell r="V207">
            <v>10.455004839041191</v>
          </cell>
          <cell r="W207">
            <v>50</v>
          </cell>
          <cell r="X207">
            <v>35.2992125984252</v>
          </cell>
          <cell r="Y207">
            <v>66.43208661417323</v>
          </cell>
          <cell r="Z207">
            <v>35.2992125984252</v>
          </cell>
          <cell r="AA207">
            <v>66.43208661417323</v>
          </cell>
          <cell r="AB207">
            <v>35.2992125984252</v>
          </cell>
          <cell r="AC207">
            <v>66.43208661417323</v>
          </cell>
          <cell r="AD207">
            <v>66.43208661417323</v>
          </cell>
          <cell r="AE207">
            <v>65.460629921259851</v>
          </cell>
          <cell r="AF207">
            <v>23.460629921259848</v>
          </cell>
          <cell r="AG207">
            <v>39.925196850393704</v>
          </cell>
          <cell r="AH207" t="str">
            <v>Y</v>
          </cell>
          <cell r="AI207">
            <v>42.997500000000002</v>
          </cell>
          <cell r="AJ207">
            <v>19.5</v>
          </cell>
          <cell r="AK207" t="str">
            <v>TBD</v>
          </cell>
          <cell r="AL207" t="str">
            <v>Y</v>
          </cell>
          <cell r="AM207">
            <v>200018403</v>
          </cell>
          <cell r="AN207">
            <v>200028403</v>
          </cell>
          <cell r="AO207">
            <v>200018303</v>
          </cell>
          <cell r="AP207">
            <v>200028303</v>
          </cell>
          <cell r="AQ207">
            <v>200018203</v>
          </cell>
          <cell r="AR207">
            <v>200028203</v>
          </cell>
          <cell r="AS207">
            <v>14.555555555555557</v>
          </cell>
          <cell r="AT207">
            <v>20.069602586497279</v>
          </cell>
          <cell r="AU207">
            <v>14.97260437224279</v>
          </cell>
          <cell r="AV207">
            <v>10.224017732239455</v>
          </cell>
          <cell r="AW207">
            <v>41317</v>
          </cell>
        </row>
        <row r="208">
          <cell r="C208" t="str">
            <v>Trina Solar - TSM-DC-DA05 220-240_S</v>
          </cell>
          <cell r="D208" t="str">
            <v>Standard Claw</v>
          </cell>
          <cell r="E208">
            <v>5000005</v>
          </cell>
          <cell r="F208">
            <v>39.055118110236222</v>
          </cell>
          <cell r="G208">
            <v>64.960629921259851</v>
          </cell>
          <cell r="H208">
            <v>1.5748031496062993</v>
          </cell>
          <cell r="I208">
            <v>200010704</v>
          </cell>
          <cell r="J208">
            <v>200010804</v>
          </cell>
          <cell r="K208">
            <v>200013804</v>
          </cell>
          <cell r="L208">
            <v>200016304</v>
          </cell>
          <cell r="M208">
            <v>500012569</v>
          </cell>
          <cell r="N208">
            <v>500012669</v>
          </cell>
          <cell r="O208">
            <v>500012569</v>
          </cell>
          <cell r="P208">
            <v>500012669</v>
          </cell>
          <cell r="Q208">
            <v>11.698754267040043</v>
          </cell>
          <cell r="R208">
            <v>10.455004839041191</v>
          </cell>
          <cell r="S208">
            <v>4.9330437584696041</v>
          </cell>
          <cell r="T208">
            <v>4.9330437584696041</v>
          </cell>
          <cell r="U208">
            <v>11.698754267040043</v>
          </cell>
          <cell r="V208">
            <v>10.455004839041191</v>
          </cell>
          <cell r="W208">
            <v>50</v>
          </cell>
          <cell r="X208">
            <v>35.2992125984252</v>
          </cell>
          <cell r="Y208">
            <v>66.43208661417323</v>
          </cell>
          <cell r="Z208">
            <v>35.2992125984252</v>
          </cell>
          <cell r="AA208">
            <v>66.43208661417323</v>
          </cell>
          <cell r="AB208">
            <v>35.2992125984252</v>
          </cell>
          <cell r="AC208">
            <v>66.43208661417323</v>
          </cell>
          <cell r="AD208">
            <v>66.43208661417323</v>
          </cell>
          <cell r="AE208">
            <v>65.460629921259851</v>
          </cell>
          <cell r="AF208">
            <v>23.460629921259848</v>
          </cell>
          <cell r="AG208">
            <v>39.925196850393704</v>
          </cell>
          <cell r="AH208" t="str">
            <v>Y</v>
          </cell>
          <cell r="AI208">
            <v>42.997500000000002</v>
          </cell>
          <cell r="AJ208">
            <v>19.5</v>
          </cell>
          <cell r="AK208" t="str">
            <v>TBD</v>
          </cell>
          <cell r="AL208" t="str">
            <v>Y</v>
          </cell>
          <cell r="AM208">
            <v>200018403</v>
          </cell>
          <cell r="AN208">
            <v>200028403</v>
          </cell>
          <cell r="AO208">
            <v>200018303</v>
          </cell>
          <cell r="AP208">
            <v>200028303</v>
          </cell>
          <cell r="AQ208">
            <v>200018203</v>
          </cell>
          <cell r="AR208">
            <v>200028203</v>
          </cell>
          <cell r="AS208">
            <v>14.555555555555557</v>
          </cell>
          <cell r="AT208">
            <v>20.069602586497279</v>
          </cell>
          <cell r="AU208">
            <v>14.97260437224279</v>
          </cell>
          <cell r="AV208">
            <v>10.224017732239455</v>
          </cell>
          <cell r="AW208">
            <v>41123</v>
          </cell>
        </row>
        <row r="209">
          <cell r="C209" t="str">
            <v>Trina Solar - TSM-PC-PA14 270-305_S</v>
          </cell>
          <cell r="D209" t="str">
            <v>Standard Claw</v>
          </cell>
          <cell r="E209">
            <v>5000005</v>
          </cell>
          <cell r="F209">
            <v>39.055118110236222</v>
          </cell>
          <cell r="G209">
            <v>77.00787401574803</v>
          </cell>
          <cell r="H209">
            <v>1.5748031496062993</v>
          </cell>
          <cell r="I209">
            <v>200010707</v>
          </cell>
          <cell r="J209">
            <v>200010807</v>
          </cell>
          <cell r="K209">
            <v>200013807</v>
          </cell>
          <cell r="L209">
            <v>200016307</v>
          </cell>
          <cell r="M209">
            <v>500012581</v>
          </cell>
          <cell r="N209">
            <v>500012681</v>
          </cell>
          <cell r="O209">
            <v>500012581</v>
          </cell>
          <cell r="P209">
            <v>500012681</v>
          </cell>
          <cell r="Q209">
            <v>11.698754267040043</v>
          </cell>
          <cell r="R209">
            <v>10.455004839041191</v>
          </cell>
          <cell r="S209">
            <v>4.9330437584696041</v>
          </cell>
          <cell r="T209">
            <v>4.9330437584696041</v>
          </cell>
          <cell r="U209">
            <v>11.698754267040043</v>
          </cell>
          <cell r="V209">
            <v>10.455004839041191</v>
          </cell>
          <cell r="W209">
            <v>50</v>
          </cell>
          <cell r="X209">
            <v>35.2992125984252</v>
          </cell>
          <cell r="Y209">
            <v>78.479330708661422</v>
          </cell>
          <cell r="Z209">
            <v>35.2992125984252</v>
          </cell>
          <cell r="AA209">
            <v>78.479330708661422</v>
          </cell>
          <cell r="AB209">
            <v>35.2992125984252</v>
          </cell>
          <cell r="AC209">
            <v>78.479330708661422</v>
          </cell>
          <cell r="AD209">
            <v>78.479330708661422</v>
          </cell>
          <cell r="AE209">
            <v>77.507874015748044</v>
          </cell>
          <cell r="AF209">
            <v>35.507874015748037</v>
          </cell>
          <cell r="AG209">
            <v>39.925196850393704</v>
          </cell>
          <cell r="AH209" t="str">
            <v>N</v>
          </cell>
          <cell r="AI209">
            <v>60.8</v>
          </cell>
          <cell r="AJ209">
            <v>27.6</v>
          </cell>
          <cell r="AK209" t="str">
            <v>TBD</v>
          </cell>
          <cell r="AL209" t="str">
            <v>Y</v>
          </cell>
          <cell r="AM209">
            <v>200018407</v>
          </cell>
          <cell r="AN209">
            <v>200028407</v>
          </cell>
          <cell r="AO209">
            <v>200018307</v>
          </cell>
          <cell r="AP209">
            <v>200028307</v>
          </cell>
          <cell r="AQ209">
            <v>200018207</v>
          </cell>
          <cell r="AR209">
            <v>200028207</v>
          </cell>
          <cell r="AS209">
            <v>17.222222222222221</v>
          </cell>
          <cell r="AT209">
            <v>20.069602586497279</v>
          </cell>
          <cell r="AU209">
            <v>14.97260437224279</v>
          </cell>
          <cell r="AV209">
            <v>10.224017732239455</v>
          </cell>
          <cell r="AW209">
            <v>41317</v>
          </cell>
        </row>
        <row r="210">
          <cell r="C210" t="str">
            <v>Trina Solar - TSM-PC-PA14A 290-315_S</v>
          </cell>
          <cell r="D210" t="str">
            <v>Standard Claw</v>
          </cell>
          <cell r="E210">
            <v>5000005</v>
          </cell>
          <cell r="F210">
            <v>39.055118110236222</v>
          </cell>
          <cell r="G210">
            <v>77.00787401574803</v>
          </cell>
          <cell r="H210">
            <v>1.5748031496062993</v>
          </cell>
          <cell r="I210">
            <v>200010707</v>
          </cell>
          <cell r="J210">
            <v>200010807</v>
          </cell>
          <cell r="K210">
            <v>200013807</v>
          </cell>
          <cell r="L210">
            <v>200016307</v>
          </cell>
          <cell r="M210">
            <v>500012581</v>
          </cell>
          <cell r="N210">
            <v>500012681</v>
          </cell>
          <cell r="O210">
            <v>500012581</v>
          </cell>
          <cell r="P210">
            <v>500012681</v>
          </cell>
          <cell r="Q210">
            <v>11.698754267040043</v>
          </cell>
          <cell r="R210">
            <v>10.455004839041191</v>
          </cell>
          <cell r="S210">
            <v>4.9330437584696041</v>
          </cell>
          <cell r="T210">
            <v>4.9330437584696041</v>
          </cell>
          <cell r="U210">
            <v>11.698754267040043</v>
          </cell>
          <cell r="V210">
            <v>10.455004839041191</v>
          </cell>
          <cell r="W210">
            <v>50</v>
          </cell>
          <cell r="X210">
            <v>35.2992125984252</v>
          </cell>
          <cell r="Y210">
            <v>78.479330708661422</v>
          </cell>
          <cell r="Z210">
            <v>35.2992125984252</v>
          </cell>
          <cell r="AA210">
            <v>78.479330708661422</v>
          </cell>
          <cell r="AB210">
            <v>35.2992125984252</v>
          </cell>
          <cell r="AC210">
            <v>78.479330708661422</v>
          </cell>
          <cell r="AD210">
            <v>78.479330708661422</v>
          </cell>
          <cell r="AE210">
            <v>77.507874015748044</v>
          </cell>
          <cell r="AF210">
            <v>35.507874015748037</v>
          </cell>
          <cell r="AG210">
            <v>39.925196850393704</v>
          </cell>
          <cell r="AH210" t="str">
            <v>N</v>
          </cell>
          <cell r="AI210">
            <v>60.8</v>
          </cell>
          <cell r="AJ210">
            <v>27.6</v>
          </cell>
          <cell r="AK210" t="str">
            <v>TBD</v>
          </cell>
          <cell r="AL210" t="str">
            <v>Y</v>
          </cell>
          <cell r="AM210">
            <v>200018407</v>
          </cell>
          <cell r="AN210">
            <v>200028407</v>
          </cell>
          <cell r="AO210">
            <v>200018307</v>
          </cell>
          <cell r="AP210">
            <v>200028307</v>
          </cell>
          <cell r="AQ210">
            <v>200018207</v>
          </cell>
          <cell r="AR210">
            <v>200028207</v>
          </cell>
          <cell r="AS210">
            <v>17.222222222222221</v>
          </cell>
          <cell r="AT210">
            <v>20.069602586497279</v>
          </cell>
          <cell r="AU210">
            <v>14.97260437224279</v>
          </cell>
          <cell r="AV210">
            <v>10.224017732239455</v>
          </cell>
          <cell r="AW210">
            <v>41317</v>
          </cell>
        </row>
        <row r="211">
          <cell r="C211" t="str">
            <v>TSMC - TSMC 125-140_S</v>
          </cell>
          <cell r="D211" t="str">
            <v>Standard Claw</v>
          </cell>
          <cell r="E211">
            <v>5000005</v>
          </cell>
          <cell r="F211">
            <v>25.826771653543307</v>
          </cell>
          <cell r="G211">
            <v>65.196850393700785</v>
          </cell>
          <cell r="H211">
            <v>1.3779527559055118</v>
          </cell>
          <cell r="I211">
            <v>200010704</v>
          </cell>
          <cell r="J211">
            <v>200010804</v>
          </cell>
          <cell r="K211">
            <v>200013804</v>
          </cell>
          <cell r="L211">
            <v>200016304</v>
          </cell>
          <cell r="M211">
            <v>500012569</v>
          </cell>
          <cell r="N211">
            <v>500012669</v>
          </cell>
          <cell r="O211">
            <v>500012569</v>
          </cell>
          <cell r="P211">
            <v>500012669</v>
          </cell>
          <cell r="Q211">
            <v>18.646759082927325</v>
          </cell>
          <cell r="R211">
            <v>16.627087624346455</v>
          </cell>
          <cell r="S211">
            <v>7.7930967180026212</v>
          </cell>
          <cell r="T211">
            <v>7.7930967180026212</v>
          </cell>
          <cell r="U211">
            <v>18.646759082927325</v>
          </cell>
          <cell r="V211">
            <v>16.627087624346455</v>
          </cell>
          <cell r="W211">
            <v>30</v>
          </cell>
          <cell r="X211">
            <v>22.385826771653544</v>
          </cell>
          <cell r="Y211">
            <v>66.663582677165351</v>
          </cell>
          <cell r="Z211">
            <v>22.385826771653544</v>
          </cell>
          <cell r="AA211">
            <v>66.663582677165351</v>
          </cell>
          <cell r="AB211">
            <v>22.385826771653544</v>
          </cell>
          <cell r="AC211">
            <v>66.663582677165351</v>
          </cell>
          <cell r="AD211">
            <v>66.663582677165351</v>
          </cell>
          <cell r="AE211">
            <v>65.696850393700799</v>
          </cell>
          <cell r="AF211">
            <v>23.696850393700792</v>
          </cell>
          <cell r="AG211">
            <v>26.688976377952756</v>
          </cell>
          <cell r="AH211" t="str">
            <v>Y</v>
          </cell>
          <cell r="AI211">
            <v>36.603000000000002</v>
          </cell>
          <cell r="AJ211">
            <v>16.600000000000001</v>
          </cell>
          <cell r="AK211" t="str">
            <v>TBD</v>
          </cell>
          <cell r="AL211" t="str">
            <v>Y</v>
          </cell>
          <cell r="AM211">
            <v>200018403</v>
          </cell>
          <cell r="AN211">
            <v>200028403</v>
          </cell>
          <cell r="AO211">
            <v>200018303</v>
          </cell>
          <cell r="AP211">
            <v>200028303</v>
          </cell>
          <cell r="AQ211">
            <v>200018203</v>
          </cell>
          <cell r="AR211">
            <v>200028203</v>
          </cell>
          <cell r="AS211">
            <v>14.555555555555557</v>
          </cell>
          <cell r="AT211">
            <v>30.887233777756016</v>
          </cell>
          <cell r="AU211">
            <v>22.736128511518519</v>
          </cell>
          <cell r="AV211">
            <v>15.39820352823091</v>
          </cell>
          <cell r="AW211">
            <v>41193</v>
          </cell>
        </row>
        <row r="212">
          <cell r="C212" t="str">
            <v>Unicor - PVM 200-240 PS_L</v>
          </cell>
          <cell r="D212" t="str">
            <v>2nd Gen Long Claw (Unicor PVMPS)</v>
          </cell>
          <cell r="E212">
            <v>500014412</v>
          </cell>
          <cell r="F212">
            <v>38.65</v>
          </cell>
          <cell r="G212">
            <v>64.510000000000005</v>
          </cell>
          <cell r="H212">
            <v>1.3779527559055118</v>
          </cell>
          <cell r="I212">
            <v>200010704</v>
          </cell>
          <cell r="J212">
            <v>200010804</v>
          </cell>
          <cell r="K212">
            <v>200013804</v>
          </cell>
          <cell r="L212">
            <v>200016304</v>
          </cell>
          <cell r="M212">
            <v>500012568</v>
          </cell>
          <cell r="N212">
            <v>500012668</v>
          </cell>
          <cell r="O212">
            <v>500012568</v>
          </cell>
          <cell r="P212">
            <v>500012668</v>
          </cell>
          <cell r="Q212">
            <v>10.407789026340346</v>
          </cell>
          <cell r="R212">
            <v>9.3040381938719481</v>
          </cell>
          <cell r="S212">
            <v>4.3939360798390625</v>
          </cell>
          <cell r="T212">
            <v>4.3939360798390625</v>
          </cell>
          <cell r="U212">
            <v>10.407789026340346</v>
          </cell>
          <cell r="V212">
            <v>9.3040381938719481</v>
          </cell>
          <cell r="W212">
            <v>30</v>
          </cell>
          <cell r="X212">
            <v>39.620078740157481</v>
          </cell>
          <cell r="Y212">
            <v>65.264921259842524</v>
          </cell>
          <cell r="Z212">
            <v>39.620078740157481</v>
          </cell>
          <cell r="AA212">
            <v>65.264921259842524</v>
          </cell>
          <cell r="AB212">
            <v>39.620078740157481</v>
          </cell>
          <cell r="AC212">
            <v>65.264921259842524</v>
          </cell>
          <cell r="AD212">
            <v>65.264921259842524</v>
          </cell>
          <cell r="AE212">
            <v>65.010000000000005</v>
          </cell>
          <cell r="AF212">
            <v>23.010000000000009</v>
          </cell>
          <cell r="AG212">
            <v>40.307480314960628</v>
          </cell>
          <cell r="AH212" t="str">
            <v>N</v>
          </cell>
          <cell r="AI212">
            <v>50.0535</v>
          </cell>
          <cell r="AJ212">
            <v>22.7</v>
          </cell>
          <cell r="AK212" t="str">
            <v>TBD</v>
          </cell>
          <cell r="AL212" t="str">
            <v>Y</v>
          </cell>
          <cell r="AM212">
            <v>200018403</v>
          </cell>
          <cell r="AN212">
            <v>200028403</v>
          </cell>
          <cell r="AO212">
            <v>200018303</v>
          </cell>
          <cell r="AP212">
            <v>200028303</v>
          </cell>
          <cell r="AQ212">
            <v>200018203</v>
          </cell>
          <cell r="AR212">
            <v>200028203</v>
          </cell>
          <cell r="AS212">
            <v>14.555555555555557</v>
          </cell>
          <cell r="AT212">
            <v>19.871197062224532</v>
          </cell>
          <cell r="AU212">
            <v>14.82732736658515</v>
          </cell>
          <cell r="AV212">
            <v>10.126023881715716</v>
          </cell>
          <cell r="AW212">
            <v>41193</v>
          </cell>
        </row>
        <row r="213">
          <cell r="C213" t="str">
            <v>Upsolar - UP-M 200-215 P_S</v>
          </cell>
          <cell r="D213" t="str">
            <v>Standard Claw</v>
          </cell>
          <cell r="E213">
            <v>5000005</v>
          </cell>
          <cell r="F213">
            <v>39.055118110236222</v>
          </cell>
          <cell r="G213">
            <v>58.346456692913392</v>
          </cell>
          <cell r="H213">
            <v>1.9685039370078741</v>
          </cell>
          <cell r="I213">
            <v>200010703</v>
          </cell>
          <cell r="J213">
            <v>200010803</v>
          </cell>
          <cell r="K213">
            <v>200013803</v>
          </cell>
          <cell r="L213">
            <v>200016303</v>
          </cell>
          <cell r="M213">
            <v>500012562</v>
          </cell>
          <cell r="N213">
            <v>500012662</v>
          </cell>
          <cell r="O213">
            <v>500012563</v>
          </cell>
          <cell r="P213">
            <v>500012663</v>
          </cell>
          <cell r="Q213">
            <v>11.698754267040043</v>
          </cell>
          <cell r="R213">
            <v>10.455004839041191</v>
          </cell>
          <cell r="S213">
            <v>4.9330437584696041</v>
          </cell>
          <cell r="T213">
            <v>4.9330437584696041</v>
          </cell>
          <cell r="U213">
            <v>11.698754267040043</v>
          </cell>
          <cell r="V213">
            <v>10.455004839041191</v>
          </cell>
          <cell r="W213">
            <v>45</v>
          </cell>
          <cell r="X213">
            <v>35.2992125984252</v>
          </cell>
          <cell r="Y213">
            <v>59.817913385826778</v>
          </cell>
          <cell r="Z213">
            <v>35.2992125984252</v>
          </cell>
          <cell r="AA213">
            <v>59.817913385826778</v>
          </cell>
          <cell r="AB213">
            <v>35.2992125984252</v>
          </cell>
          <cell r="AC213">
            <v>59.817913385826778</v>
          </cell>
          <cell r="AD213">
            <v>59.817913385826778</v>
          </cell>
          <cell r="AE213">
            <v>58.846456692913392</v>
          </cell>
          <cell r="AF213">
            <v>16.846456692913389</v>
          </cell>
          <cell r="AG213">
            <v>39.925196850393704</v>
          </cell>
          <cell r="AH213" t="str">
            <v>Y</v>
          </cell>
          <cell r="AI213">
            <v>38.587499999999999</v>
          </cell>
          <cell r="AJ213">
            <v>17.5</v>
          </cell>
          <cell r="AK213" t="str">
            <v>TBD</v>
          </cell>
          <cell r="AL213" t="str">
            <v>Y</v>
          </cell>
          <cell r="AM213">
            <v>200018401</v>
          </cell>
          <cell r="AN213">
            <v>200028401</v>
          </cell>
          <cell r="AO213">
            <v>200018301</v>
          </cell>
          <cell r="AP213">
            <v>200028301</v>
          </cell>
          <cell r="AQ213">
            <v>200018201</v>
          </cell>
          <cell r="AR213">
            <v>200028201</v>
          </cell>
          <cell r="AS213">
            <v>13.22222222222222</v>
          </cell>
          <cell r="AT213">
            <v>20.069602586497279</v>
          </cell>
          <cell r="AU213">
            <v>14.97260437224279</v>
          </cell>
          <cell r="AV213">
            <v>10.224017732239455</v>
          </cell>
          <cell r="AW213">
            <v>40966</v>
          </cell>
        </row>
        <row r="214">
          <cell r="C214" t="str">
            <v>Upsolar - UP-M 215-235 P_S</v>
          </cell>
          <cell r="D214" t="str">
            <v>Standard Claw</v>
          </cell>
          <cell r="E214">
            <v>5000005</v>
          </cell>
          <cell r="F214">
            <v>39.055118110236222</v>
          </cell>
          <cell r="G214">
            <v>64.566929133858267</v>
          </cell>
          <cell r="H214">
            <v>1.9685039370078741</v>
          </cell>
          <cell r="I214">
            <v>200010704</v>
          </cell>
          <cell r="J214">
            <v>200010804</v>
          </cell>
          <cell r="K214">
            <v>200013804</v>
          </cell>
          <cell r="L214">
            <v>200016304</v>
          </cell>
          <cell r="M214">
            <v>500012568</v>
          </cell>
          <cell r="N214">
            <v>500012668</v>
          </cell>
          <cell r="O214">
            <v>500012569</v>
          </cell>
          <cell r="P214">
            <v>500012669</v>
          </cell>
          <cell r="Q214">
            <v>11.698754267040043</v>
          </cell>
          <cell r="R214">
            <v>10.455004839041191</v>
          </cell>
          <cell r="S214">
            <v>4.9330437584696041</v>
          </cell>
          <cell r="T214">
            <v>4.9330437584696041</v>
          </cell>
          <cell r="U214">
            <v>11.698754267040043</v>
          </cell>
          <cell r="V214">
            <v>10.455004839041191</v>
          </cell>
          <cell r="W214">
            <v>45</v>
          </cell>
          <cell r="X214">
            <v>35.2992125984252</v>
          </cell>
          <cell r="Y214">
            <v>66.038385826771659</v>
          </cell>
          <cell r="Z214">
            <v>35.2992125984252</v>
          </cell>
          <cell r="AA214">
            <v>66.038385826771659</v>
          </cell>
          <cell r="AB214">
            <v>35.2992125984252</v>
          </cell>
          <cell r="AC214">
            <v>66.038385826771659</v>
          </cell>
          <cell r="AD214">
            <v>66.038385826771659</v>
          </cell>
          <cell r="AE214">
            <v>65.066929133858267</v>
          </cell>
          <cell r="AF214">
            <v>23.066929133858274</v>
          </cell>
          <cell r="AG214">
            <v>39.925196850393704</v>
          </cell>
          <cell r="AH214" t="str">
            <v>Y</v>
          </cell>
          <cell r="AI214">
            <v>41.895000000000003</v>
          </cell>
          <cell r="AJ214">
            <v>19</v>
          </cell>
          <cell r="AK214" t="str">
            <v>TBD</v>
          </cell>
          <cell r="AL214" t="str">
            <v>Y</v>
          </cell>
          <cell r="AM214">
            <v>200018403</v>
          </cell>
          <cell r="AN214">
            <v>200028403</v>
          </cell>
          <cell r="AO214">
            <v>200018303</v>
          </cell>
          <cell r="AP214">
            <v>200028303</v>
          </cell>
          <cell r="AQ214">
            <v>200018203</v>
          </cell>
          <cell r="AR214">
            <v>200028203</v>
          </cell>
          <cell r="AS214">
            <v>14.555555555555557</v>
          </cell>
          <cell r="AT214">
            <v>20.069602586497279</v>
          </cell>
          <cell r="AU214">
            <v>14.97260437224279</v>
          </cell>
          <cell r="AV214">
            <v>10.224017732239455</v>
          </cell>
          <cell r="AW214">
            <v>40966</v>
          </cell>
        </row>
        <row r="215">
          <cell r="C215" t="str">
            <v>Upsolar - UP-M 250-290 P_S</v>
          </cell>
          <cell r="D215" t="str">
            <v>Standard Claw</v>
          </cell>
          <cell r="E215">
            <v>5000005</v>
          </cell>
          <cell r="F215">
            <v>39.055118110236222</v>
          </cell>
          <cell r="G215">
            <v>77.00787401574803</v>
          </cell>
          <cell r="H215">
            <v>1.9685039370078741</v>
          </cell>
          <cell r="I215">
            <v>200010707</v>
          </cell>
          <cell r="J215">
            <v>200010807</v>
          </cell>
          <cell r="K215">
            <v>200013807</v>
          </cell>
          <cell r="L215">
            <v>200016307</v>
          </cell>
          <cell r="M215">
            <v>500012581</v>
          </cell>
          <cell r="N215">
            <v>500012681</v>
          </cell>
          <cell r="O215">
            <v>500012581</v>
          </cell>
          <cell r="P215">
            <v>500012681</v>
          </cell>
          <cell r="Q215">
            <v>11.698754267040043</v>
          </cell>
          <cell r="R215">
            <v>10.455004839041191</v>
          </cell>
          <cell r="S215">
            <v>4.9330437584696041</v>
          </cell>
          <cell r="T215">
            <v>4.9330437584696041</v>
          </cell>
          <cell r="U215">
            <v>11.698754267040043</v>
          </cell>
          <cell r="V215">
            <v>10.455004839041191</v>
          </cell>
          <cell r="W215">
            <v>45</v>
          </cell>
          <cell r="X215">
            <v>35.2992125984252</v>
          </cell>
          <cell r="Y215">
            <v>78.479330708661422</v>
          </cell>
          <cell r="Z215">
            <v>35.2992125984252</v>
          </cell>
          <cell r="AA215">
            <v>78.479330708661422</v>
          </cell>
          <cell r="AB215">
            <v>35.2992125984252</v>
          </cell>
          <cell r="AC215">
            <v>78.479330708661422</v>
          </cell>
          <cell r="AD215">
            <v>78.479330708661422</v>
          </cell>
          <cell r="AE215">
            <v>77.507874015748044</v>
          </cell>
          <cell r="AF215">
            <v>35.507874015748037</v>
          </cell>
          <cell r="AG215">
            <v>39.925196850393704</v>
          </cell>
          <cell r="AH215" t="str">
            <v>N</v>
          </cell>
          <cell r="AI215">
            <v>59.535000000000004</v>
          </cell>
          <cell r="AJ215">
            <v>27</v>
          </cell>
          <cell r="AK215" t="str">
            <v>TBD</v>
          </cell>
          <cell r="AL215" t="str">
            <v>Y</v>
          </cell>
          <cell r="AM215">
            <v>200018407</v>
          </cell>
          <cell r="AN215">
            <v>200028407</v>
          </cell>
          <cell r="AO215">
            <v>200018307</v>
          </cell>
          <cell r="AP215">
            <v>200028307</v>
          </cell>
          <cell r="AQ215">
            <v>200018207</v>
          </cell>
          <cell r="AR215">
            <v>200028207</v>
          </cell>
          <cell r="AS215">
            <v>17.222222222222221</v>
          </cell>
          <cell r="AT215">
            <v>20.069602586497279</v>
          </cell>
          <cell r="AU215">
            <v>14.97260437224279</v>
          </cell>
          <cell r="AV215">
            <v>10.224017732239455</v>
          </cell>
          <cell r="AW215">
            <v>40617</v>
          </cell>
        </row>
        <row r="216">
          <cell r="C216" t="str">
            <v>Wanxiang - WXS 210-230 S_S</v>
          </cell>
          <cell r="D216" t="str">
            <v>Standard Claw</v>
          </cell>
          <cell r="E216">
            <v>5000005</v>
          </cell>
          <cell r="F216">
            <v>37.086614173228348</v>
          </cell>
          <cell r="G216">
            <v>67.086614173228355</v>
          </cell>
          <cell r="H216">
            <v>1.5748031496062993</v>
          </cell>
          <cell r="I216">
            <v>200010705</v>
          </cell>
          <cell r="J216">
            <v>200010805</v>
          </cell>
          <cell r="K216">
            <v>200013805</v>
          </cell>
          <cell r="L216">
            <v>200016305</v>
          </cell>
          <cell r="M216">
            <v>500012571</v>
          </cell>
          <cell r="N216">
            <v>500012671</v>
          </cell>
          <cell r="O216">
            <v>500012571</v>
          </cell>
          <cell r="P216">
            <v>500012671</v>
          </cell>
          <cell r="Q216">
            <v>12.400351460715436</v>
          </cell>
          <cell r="R216">
            <v>11.080062331247364</v>
          </cell>
          <cell r="S216">
            <v>5.2251757635522598</v>
          </cell>
          <cell r="T216">
            <v>5.2251757635522598</v>
          </cell>
          <cell r="U216">
            <v>12.400351460715436</v>
          </cell>
          <cell r="V216">
            <v>11.080062331247364</v>
          </cell>
          <cell r="W216">
            <v>30</v>
          </cell>
          <cell r="X216">
            <v>33.330708661417326</v>
          </cell>
          <cell r="Y216">
            <v>68.558070866141733</v>
          </cell>
          <cell r="Z216">
            <v>33.330708661417326</v>
          </cell>
          <cell r="AA216">
            <v>68.558070866141733</v>
          </cell>
          <cell r="AB216">
            <v>33.330708661417326</v>
          </cell>
          <cell r="AC216">
            <v>68.558070866141733</v>
          </cell>
          <cell r="AD216">
            <v>68.558070866141733</v>
          </cell>
          <cell r="AE216">
            <v>67.586614173228355</v>
          </cell>
          <cell r="AF216">
            <v>25.586614173228352</v>
          </cell>
          <cell r="AG216">
            <v>37.95669291338583</v>
          </cell>
          <cell r="AH216" t="str">
            <v>N</v>
          </cell>
          <cell r="AI216">
            <v>41.895000000000003</v>
          </cell>
          <cell r="AJ216">
            <v>19</v>
          </cell>
          <cell r="AK216" t="str">
            <v>TBD</v>
          </cell>
          <cell r="AL216" t="str">
            <v>Y</v>
          </cell>
          <cell r="AM216">
            <v>200018404</v>
          </cell>
          <cell r="AN216">
            <v>200028404</v>
          </cell>
          <cell r="AO216">
            <v>200018304</v>
          </cell>
          <cell r="AP216">
            <v>200028304</v>
          </cell>
          <cell r="AQ216">
            <v>200018204</v>
          </cell>
          <cell r="AR216">
            <v>200028204</v>
          </cell>
          <cell r="AS216">
            <v>15.222222222222221</v>
          </cell>
          <cell r="AT216">
            <v>21.159066732085972</v>
          </cell>
          <cell r="AU216">
            <v>15.768788331878591</v>
          </cell>
          <cell r="AV216">
            <v>10.760415311354333</v>
          </cell>
          <cell r="AW216">
            <v>40995</v>
          </cell>
        </row>
        <row r="217">
          <cell r="C217" t="str">
            <v>Wanxiang - WXS 240 S_S</v>
          </cell>
          <cell r="D217" t="str">
            <v>Standard Claw</v>
          </cell>
          <cell r="E217">
            <v>5000005</v>
          </cell>
          <cell r="F217">
            <v>37.086614173228348</v>
          </cell>
          <cell r="G217">
            <v>72.440944881889763</v>
          </cell>
          <cell r="H217">
            <v>1.5748031496062993</v>
          </cell>
          <cell r="I217">
            <v>200010706</v>
          </cell>
          <cell r="J217">
            <v>200010806</v>
          </cell>
          <cell r="K217">
            <v>200013806</v>
          </cell>
          <cell r="L217">
            <v>200016306</v>
          </cell>
          <cell r="M217">
            <v>500012576</v>
          </cell>
          <cell r="N217">
            <v>500012676</v>
          </cell>
          <cell r="O217">
            <v>500012576</v>
          </cell>
          <cell r="P217">
            <v>500012676</v>
          </cell>
          <cell r="Q217">
            <v>12.400351460715436</v>
          </cell>
          <cell r="R217">
            <v>11.080062331247364</v>
          </cell>
          <cell r="S217">
            <v>5.2251757635522598</v>
          </cell>
          <cell r="T217">
            <v>5.2251757635522598</v>
          </cell>
          <cell r="U217">
            <v>12.400351460715436</v>
          </cell>
          <cell r="V217">
            <v>11.080062331247364</v>
          </cell>
          <cell r="W217">
            <v>30</v>
          </cell>
          <cell r="X217">
            <v>33.330708661417326</v>
          </cell>
          <cell r="Y217">
            <v>73.912401574803155</v>
          </cell>
          <cell r="Z217">
            <v>33.330708661417326</v>
          </cell>
          <cell r="AA217">
            <v>73.912401574803155</v>
          </cell>
          <cell r="AB217">
            <v>33.330708661417326</v>
          </cell>
          <cell r="AC217">
            <v>73.912401574803155</v>
          </cell>
          <cell r="AD217">
            <v>73.912401574803155</v>
          </cell>
          <cell r="AE217">
            <v>72.940944881889763</v>
          </cell>
          <cell r="AF217">
            <v>30.94094488188977</v>
          </cell>
          <cell r="AG217">
            <v>37.95669291338583</v>
          </cell>
          <cell r="AH217" t="str">
            <v>N</v>
          </cell>
          <cell r="AI217">
            <v>41.895000000000003</v>
          </cell>
          <cell r="AJ217">
            <v>19</v>
          </cell>
          <cell r="AK217" t="str">
            <v>TBD</v>
          </cell>
          <cell r="AL217" t="str">
            <v>Y</v>
          </cell>
          <cell r="AM217">
            <v>200018405</v>
          </cell>
          <cell r="AN217">
            <v>200028405</v>
          </cell>
          <cell r="AO217">
            <v>200018305</v>
          </cell>
          <cell r="AP217">
            <v>200028305</v>
          </cell>
          <cell r="AQ217">
            <v>200018205</v>
          </cell>
          <cell r="AR217">
            <v>200028205</v>
          </cell>
          <cell r="AS217">
            <v>15.888888888888888</v>
          </cell>
          <cell r="AT217">
            <v>21.159066732085972</v>
          </cell>
          <cell r="AU217">
            <v>15.768788331878591</v>
          </cell>
          <cell r="AV217">
            <v>10.760415311354333</v>
          </cell>
          <cell r="AW217">
            <v>40995</v>
          </cell>
        </row>
        <row r="218">
          <cell r="C218" t="str">
            <v>Wanxiang - WXS 200-240 P_S</v>
          </cell>
          <cell r="D218" t="str">
            <v>Standard Claw</v>
          </cell>
          <cell r="E218">
            <v>5000005</v>
          </cell>
          <cell r="F218">
            <v>39.055118110236222</v>
          </cell>
          <cell r="G218">
            <v>64.566929133858267</v>
          </cell>
          <cell r="H218">
            <v>1.5748031496062993</v>
          </cell>
          <cell r="I218">
            <v>200010704</v>
          </cell>
          <cell r="J218">
            <v>200010804</v>
          </cell>
          <cell r="K218">
            <v>200013804</v>
          </cell>
          <cell r="L218">
            <v>200016304</v>
          </cell>
          <cell r="M218">
            <v>500012568</v>
          </cell>
          <cell r="N218">
            <v>500012668</v>
          </cell>
          <cell r="O218">
            <v>500012569</v>
          </cell>
          <cell r="P218">
            <v>500012669</v>
          </cell>
          <cell r="Q218">
            <v>11.698754267040043</v>
          </cell>
          <cell r="R218">
            <v>10.455004839041191</v>
          </cell>
          <cell r="S218">
            <v>4.9330437584696041</v>
          </cell>
          <cell r="T218">
            <v>4.9330437584696041</v>
          </cell>
          <cell r="U218">
            <v>11.698754267040043</v>
          </cell>
          <cell r="V218">
            <v>10.455004839041191</v>
          </cell>
          <cell r="W218">
            <v>30</v>
          </cell>
          <cell r="X218">
            <v>35.2992125984252</v>
          </cell>
          <cell r="Y218">
            <v>66.038385826771659</v>
          </cell>
          <cell r="Z218">
            <v>35.2992125984252</v>
          </cell>
          <cell r="AA218">
            <v>66.038385826771659</v>
          </cell>
          <cell r="AB218">
            <v>35.2992125984252</v>
          </cell>
          <cell r="AC218">
            <v>66.038385826771659</v>
          </cell>
          <cell r="AD218">
            <v>66.038385826771659</v>
          </cell>
          <cell r="AE218">
            <v>65.066929133858267</v>
          </cell>
          <cell r="AF218">
            <v>23.066929133858274</v>
          </cell>
          <cell r="AG218">
            <v>39.925196850393704</v>
          </cell>
          <cell r="AH218" t="str">
            <v>N</v>
          </cell>
          <cell r="AI218">
            <v>41.895000000000003</v>
          </cell>
          <cell r="AJ218">
            <v>19</v>
          </cell>
          <cell r="AK218" t="str">
            <v>TBD</v>
          </cell>
          <cell r="AL218" t="str">
            <v>Y</v>
          </cell>
          <cell r="AM218">
            <v>200018403</v>
          </cell>
          <cell r="AN218">
            <v>200028403</v>
          </cell>
          <cell r="AO218">
            <v>200018303</v>
          </cell>
          <cell r="AP218">
            <v>200028303</v>
          </cell>
          <cell r="AQ218">
            <v>200018203</v>
          </cell>
          <cell r="AR218">
            <v>200028203</v>
          </cell>
          <cell r="AS218">
            <v>14.555555555555557</v>
          </cell>
          <cell r="AT218">
            <v>20.069602586497279</v>
          </cell>
          <cell r="AU218">
            <v>14.97260437224279</v>
          </cell>
          <cell r="AV218">
            <v>10.224017732239455</v>
          </cell>
          <cell r="AW218">
            <v>40995</v>
          </cell>
        </row>
        <row r="219">
          <cell r="C219" t="str">
            <v>Wanxiang - WXS 245-290 P_S</v>
          </cell>
          <cell r="D219" t="str">
            <v>Standard Claw</v>
          </cell>
          <cell r="E219">
            <v>5000005</v>
          </cell>
          <cell r="F219">
            <v>39.055118110236222</v>
          </cell>
          <cell r="G219">
            <v>77.00787401574803</v>
          </cell>
          <cell r="H219">
            <v>1.9685039370078741</v>
          </cell>
          <cell r="I219">
            <v>200010707</v>
          </cell>
          <cell r="J219">
            <v>200010807</v>
          </cell>
          <cell r="K219">
            <v>200013807</v>
          </cell>
          <cell r="L219">
            <v>200016307</v>
          </cell>
          <cell r="M219">
            <v>500012581</v>
          </cell>
          <cell r="N219">
            <v>500012681</v>
          </cell>
          <cell r="O219">
            <v>500012581</v>
          </cell>
          <cell r="P219">
            <v>500012681</v>
          </cell>
          <cell r="Q219">
            <v>11.698754267040043</v>
          </cell>
          <cell r="R219">
            <v>10.455004839041191</v>
          </cell>
          <cell r="S219">
            <v>4.9330437584696041</v>
          </cell>
          <cell r="T219">
            <v>4.9330437584696041</v>
          </cell>
          <cell r="U219">
            <v>11.698754267040043</v>
          </cell>
          <cell r="V219">
            <v>10.455004839041191</v>
          </cell>
          <cell r="W219">
            <v>30</v>
          </cell>
          <cell r="X219">
            <v>35.2992125984252</v>
          </cell>
          <cell r="Y219">
            <v>78.479330708661422</v>
          </cell>
          <cell r="Z219">
            <v>35.2992125984252</v>
          </cell>
          <cell r="AA219">
            <v>78.479330708661422</v>
          </cell>
          <cell r="AB219">
            <v>35.2992125984252</v>
          </cell>
          <cell r="AC219">
            <v>78.479330708661422</v>
          </cell>
          <cell r="AD219">
            <v>78.479330708661422</v>
          </cell>
          <cell r="AE219">
            <v>77.507874015748044</v>
          </cell>
          <cell r="AF219">
            <v>35.507874015748037</v>
          </cell>
          <cell r="AG219">
            <v>39.925196850393704</v>
          </cell>
          <cell r="AH219" t="str">
            <v>N</v>
          </cell>
          <cell r="AI219">
            <v>50.715000000000003</v>
          </cell>
          <cell r="AJ219">
            <v>23</v>
          </cell>
          <cell r="AK219" t="str">
            <v>TBD</v>
          </cell>
          <cell r="AL219" t="str">
            <v>Y</v>
          </cell>
          <cell r="AM219">
            <v>200018407</v>
          </cell>
          <cell r="AN219">
            <v>200028407</v>
          </cell>
          <cell r="AO219">
            <v>200018307</v>
          </cell>
          <cell r="AP219">
            <v>200028307</v>
          </cell>
          <cell r="AQ219">
            <v>200018207</v>
          </cell>
          <cell r="AR219">
            <v>200028207</v>
          </cell>
          <cell r="AS219">
            <v>17.222222222222221</v>
          </cell>
          <cell r="AT219">
            <v>20.069602586497279</v>
          </cell>
          <cell r="AU219">
            <v>14.97260437224279</v>
          </cell>
          <cell r="AV219">
            <v>10.224017732239455</v>
          </cell>
          <cell r="AW219">
            <v>40995</v>
          </cell>
        </row>
        <row r="220">
          <cell r="C220" t="str">
            <v>Winaico - WSP 230-270 M-P 6_S</v>
          </cell>
          <cell r="D220" t="str">
            <v>Standard Claw</v>
          </cell>
          <cell r="E220">
            <v>5000005</v>
          </cell>
          <cell r="F220">
            <v>39.330708661417326</v>
          </cell>
          <cell r="G220">
            <v>65.551181102362207</v>
          </cell>
          <cell r="H220">
            <v>1.5748031496062993</v>
          </cell>
          <cell r="I220">
            <v>200010704</v>
          </cell>
          <cell r="J220">
            <v>200010804</v>
          </cell>
          <cell r="K220">
            <v>200013804</v>
          </cell>
          <cell r="L220">
            <v>200016304</v>
          </cell>
          <cell r="M220">
            <v>500012568</v>
          </cell>
          <cell r="N220">
            <v>500012668</v>
          </cell>
          <cell r="O220">
            <v>500012569</v>
          </cell>
          <cell r="P220">
            <v>500012669</v>
          </cell>
          <cell r="Q220">
            <v>12.011288073719886</v>
          </cell>
          <cell r="R220">
            <v>10.733484815459773</v>
          </cell>
          <cell r="S220">
            <v>5.0632548942141336</v>
          </cell>
          <cell r="T220">
            <v>5.0632548942141336</v>
          </cell>
          <cell r="U220">
            <v>12.011288073719886</v>
          </cell>
          <cell r="V220">
            <v>10.733484815459773</v>
          </cell>
          <cell r="W220">
            <v>30</v>
          </cell>
          <cell r="X220">
            <v>34.393700787401578</v>
          </cell>
          <cell r="Y220">
            <v>65.841535433070874</v>
          </cell>
          <cell r="Z220">
            <v>34.393700787401578</v>
          </cell>
          <cell r="AA220">
            <v>65.841535433070874</v>
          </cell>
          <cell r="AB220">
            <v>34.393700787401578</v>
          </cell>
          <cell r="AC220">
            <v>65.841535433070874</v>
          </cell>
          <cell r="AD220">
            <v>65.841535433070874</v>
          </cell>
          <cell r="AE220">
            <v>66.051181102362207</v>
          </cell>
          <cell r="AF220">
            <v>24.051181102362211</v>
          </cell>
          <cell r="AG220">
            <v>39.019685039370081</v>
          </cell>
          <cell r="AH220" t="str">
            <v>N</v>
          </cell>
          <cell r="AI220">
            <v>50.0535</v>
          </cell>
          <cell r="AJ220">
            <v>22.7</v>
          </cell>
          <cell r="AK220" t="str">
            <v>TBD</v>
          </cell>
          <cell r="AL220" t="str">
            <v>Y</v>
          </cell>
          <cell r="AM220">
            <v>200018403</v>
          </cell>
          <cell r="AN220">
            <v>200028403</v>
          </cell>
          <cell r="AO220">
            <v>200018303</v>
          </cell>
          <cell r="AP220">
            <v>200028303</v>
          </cell>
          <cell r="AQ220">
            <v>200018203</v>
          </cell>
          <cell r="AR220">
            <v>200028203</v>
          </cell>
          <cell r="AS220">
            <v>14.555555555555557</v>
          </cell>
          <cell r="AT220">
            <v>20.55614135357887</v>
          </cell>
          <cell r="AU220">
            <v>15.328496022567471</v>
          </cell>
          <cell r="AV220">
            <v>10.463923880108602</v>
          </cell>
          <cell r="AW220">
            <v>40977</v>
          </cell>
        </row>
        <row r="221">
          <cell r="C221" t="str">
            <v>Yingli - YL 190-210 P-26b_S</v>
          </cell>
          <cell r="D221" t="str">
            <v>Standard Claw</v>
          </cell>
          <cell r="E221">
            <v>5000005</v>
          </cell>
          <cell r="F221">
            <v>38.976377952755911</v>
          </cell>
          <cell r="G221">
            <v>58.858267716535437</v>
          </cell>
          <cell r="H221">
            <v>1.9685039370078741</v>
          </cell>
          <cell r="I221">
            <v>200010703</v>
          </cell>
          <cell r="J221">
            <v>200010803</v>
          </cell>
          <cell r="K221">
            <v>200013803</v>
          </cell>
          <cell r="L221">
            <v>200016303</v>
          </cell>
          <cell r="M221">
            <v>500012563</v>
          </cell>
          <cell r="N221">
            <v>500012663</v>
          </cell>
          <cell r="O221">
            <v>500012563</v>
          </cell>
          <cell r="P221">
            <v>500012663</v>
          </cell>
          <cell r="Q221">
            <v>11.646065132777842</v>
          </cell>
          <cell r="R221">
            <v>10.40805030701417</v>
          </cell>
          <cell r="S221">
            <v>4.911079789514722</v>
          </cell>
          <cell r="T221">
            <v>4.911079789514722</v>
          </cell>
          <cell r="U221">
            <v>11.646065132777842</v>
          </cell>
          <cell r="V221">
            <v>10.40805030701417</v>
          </cell>
          <cell r="W221">
            <v>50</v>
          </cell>
          <cell r="X221">
            <v>35.45669291338583</v>
          </cell>
          <cell r="Y221">
            <v>60.56594488188977</v>
          </cell>
          <cell r="Z221">
            <v>35.45669291338583</v>
          </cell>
          <cell r="AA221">
            <v>60.56594488188977</v>
          </cell>
          <cell r="AB221">
            <v>35.45669291338583</v>
          </cell>
          <cell r="AC221">
            <v>60.56594488188977</v>
          </cell>
          <cell r="AD221">
            <v>60.56594488188977</v>
          </cell>
          <cell r="AE221">
            <v>59.358267716535437</v>
          </cell>
          <cell r="AF221">
            <v>17.358267716535437</v>
          </cell>
          <cell r="AG221">
            <v>40.082677165354333</v>
          </cell>
          <cell r="AH221" t="str">
            <v>Y</v>
          </cell>
          <cell r="AI221">
            <v>39.69</v>
          </cell>
          <cell r="AJ221">
            <v>18</v>
          </cell>
          <cell r="AK221" t="str">
            <v>TBD</v>
          </cell>
          <cell r="AL221" t="str">
            <v>Y</v>
          </cell>
          <cell r="AM221">
            <v>200018401</v>
          </cell>
          <cell r="AN221">
            <v>200028401</v>
          </cell>
          <cell r="AO221">
            <v>200018301</v>
          </cell>
          <cell r="AP221">
            <v>200028301</v>
          </cell>
          <cell r="AQ221">
            <v>200018201</v>
          </cell>
          <cell r="AR221">
            <v>200028201</v>
          </cell>
          <cell r="AS221">
            <v>13.22222222222222</v>
          </cell>
          <cell r="AT221">
            <v>19.987381438876472</v>
          </cell>
          <cell r="AU221">
            <v>14.912410483320945</v>
          </cell>
          <cell r="AV221">
            <v>10.183419458492327</v>
          </cell>
          <cell r="AW221">
            <v>40617</v>
          </cell>
        </row>
        <row r="222">
          <cell r="C222" t="str">
            <v>Yingli - YL 215-235 P-29b_S</v>
          </cell>
          <cell r="D222" t="str">
            <v>Standard Claw</v>
          </cell>
          <cell r="E222">
            <v>5000005</v>
          </cell>
          <cell r="F222">
            <v>38.976377952755911</v>
          </cell>
          <cell r="G222">
            <v>64.960629921259851</v>
          </cell>
          <cell r="H222">
            <v>1.5748031496062993</v>
          </cell>
          <cell r="I222">
            <v>200010704</v>
          </cell>
          <cell r="J222">
            <v>200010804</v>
          </cell>
          <cell r="K222">
            <v>200013804</v>
          </cell>
          <cell r="L222">
            <v>200016304</v>
          </cell>
          <cell r="M222">
            <v>500012569</v>
          </cell>
          <cell r="N222">
            <v>500012669</v>
          </cell>
          <cell r="O222">
            <v>500012569</v>
          </cell>
          <cell r="P222">
            <v>500012669</v>
          </cell>
          <cell r="Q222">
            <v>11.646065132777842</v>
          </cell>
          <cell r="R222">
            <v>10.40805030701417</v>
          </cell>
          <cell r="S222">
            <v>4.911079789514722</v>
          </cell>
          <cell r="T222">
            <v>4.911079789514722</v>
          </cell>
          <cell r="U222">
            <v>11.646065132777842</v>
          </cell>
          <cell r="V222">
            <v>10.40805030701417</v>
          </cell>
          <cell r="W222">
            <v>50</v>
          </cell>
          <cell r="X222">
            <v>35.45669291338583</v>
          </cell>
          <cell r="Y222">
            <v>66.668307086614178</v>
          </cell>
          <cell r="Z222">
            <v>35.45669291338583</v>
          </cell>
          <cell r="AA222">
            <v>66.668307086614178</v>
          </cell>
          <cell r="AB222">
            <v>35.45669291338583</v>
          </cell>
          <cell r="AC222">
            <v>66.668307086614178</v>
          </cell>
          <cell r="AD222">
            <v>66.668307086614178</v>
          </cell>
          <cell r="AE222">
            <v>65.460629921259851</v>
          </cell>
          <cell r="AF222">
            <v>23.460629921259848</v>
          </cell>
          <cell r="AG222">
            <v>40.082677165354333</v>
          </cell>
          <cell r="AH222" t="str">
            <v>Y</v>
          </cell>
          <cell r="AI222">
            <v>42.1</v>
          </cell>
          <cell r="AJ222">
            <v>19.100000000000001</v>
          </cell>
          <cell r="AK222" t="str">
            <v>TBD</v>
          </cell>
          <cell r="AL222" t="str">
            <v>Y</v>
          </cell>
          <cell r="AM222">
            <v>200018403</v>
          </cell>
          <cell r="AN222">
            <v>200028403</v>
          </cell>
          <cell r="AO222">
            <v>200018303</v>
          </cell>
          <cell r="AP222">
            <v>200028303</v>
          </cell>
          <cell r="AQ222">
            <v>200018203</v>
          </cell>
          <cell r="AR222">
            <v>200028203</v>
          </cell>
          <cell r="AS222">
            <v>14.555555555555557</v>
          </cell>
          <cell r="AT222">
            <v>19.987381438876472</v>
          </cell>
          <cell r="AU222">
            <v>14.912410483320945</v>
          </cell>
          <cell r="AV222">
            <v>10.183419458492327</v>
          </cell>
          <cell r="AW222">
            <v>41317</v>
          </cell>
        </row>
        <row r="223">
          <cell r="C223" t="str">
            <v>Yingli - YL 215-235 P-29b_X</v>
          </cell>
          <cell r="D223" t="str">
            <v>Long Claw (Yingli 235/Panda)</v>
          </cell>
          <cell r="E223">
            <v>500003907</v>
          </cell>
          <cell r="F223">
            <v>38.976377952755911</v>
          </cell>
          <cell r="G223">
            <v>64.960629921259851</v>
          </cell>
          <cell r="H223">
            <v>1.5748031496062993</v>
          </cell>
          <cell r="I223">
            <v>200010704</v>
          </cell>
          <cell r="J223">
            <v>200010804</v>
          </cell>
          <cell r="K223">
            <v>200013804</v>
          </cell>
          <cell r="L223">
            <v>200016304</v>
          </cell>
          <cell r="M223">
            <v>500012568</v>
          </cell>
          <cell r="N223">
            <v>500012668</v>
          </cell>
          <cell r="O223">
            <v>500012568</v>
          </cell>
          <cell r="P223">
            <v>500012668</v>
          </cell>
          <cell r="Q223">
            <v>10.948638384786955</v>
          </cell>
          <cell r="R223">
            <v>9.7863612556795889</v>
          </cell>
          <cell r="S223">
            <v>4.620032713407368</v>
          </cell>
          <cell r="T223">
            <v>4.620032713407368</v>
          </cell>
          <cell r="U223">
            <v>10.948638384786955</v>
          </cell>
          <cell r="V223">
            <v>9.7863612556795889</v>
          </cell>
          <cell r="W223">
            <v>75</v>
          </cell>
          <cell r="X223">
            <v>37.685039370078741</v>
          </cell>
          <cell r="Y223">
            <v>65.71555118110237</v>
          </cell>
          <cell r="Z223">
            <v>37.685039370078741</v>
          </cell>
          <cell r="AA223">
            <v>65.71555118110237</v>
          </cell>
          <cell r="AB223">
            <v>37.685039370078741</v>
          </cell>
          <cell r="AC223">
            <v>65.71555118110237</v>
          </cell>
          <cell r="AD223">
            <v>65.71555118110237</v>
          </cell>
          <cell r="AE223">
            <v>65.460629921259851</v>
          </cell>
          <cell r="AF223">
            <v>23.460629921259848</v>
          </cell>
          <cell r="AG223">
            <v>40.082677165354333</v>
          </cell>
          <cell r="AH223" t="str">
            <v>Y</v>
          </cell>
          <cell r="AI223">
            <v>42.1</v>
          </cell>
          <cell r="AJ223">
            <v>19.100000000000001</v>
          </cell>
          <cell r="AK223" t="str">
            <v>TBD</v>
          </cell>
          <cell r="AL223" t="str">
            <v>Y</v>
          </cell>
          <cell r="AM223">
            <v>200018403</v>
          </cell>
          <cell r="AN223">
            <v>200028403</v>
          </cell>
          <cell r="AO223">
            <v>200018303</v>
          </cell>
          <cell r="AP223">
            <v>200028303</v>
          </cell>
          <cell r="AQ223">
            <v>200018203</v>
          </cell>
          <cell r="AR223">
            <v>200028203</v>
          </cell>
          <cell r="AS223">
            <v>14.555555555555557</v>
          </cell>
          <cell r="AT223">
            <v>19.987381438876472</v>
          </cell>
          <cell r="AU223">
            <v>14.912410483320945</v>
          </cell>
          <cell r="AV223">
            <v>10.183419458492327</v>
          </cell>
          <cell r="AW223">
            <v>41317</v>
          </cell>
        </row>
        <row r="224">
          <cell r="C224" t="str">
            <v>Yingli - YL 215-235 P-29b_L</v>
          </cell>
          <cell r="D224" t="str">
            <v>2nd Gen Long Claw (Yingli 235/Panda)</v>
          </cell>
          <cell r="E224">
            <v>500014407</v>
          </cell>
          <cell r="F224">
            <v>38.976377952755911</v>
          </cell>
          <cell r="G224">
            <v>64.960629921259851</v>
          </cell>
          <cell r="H224">
            <v>1.5748031496062993</v>
          </cell>
          <cell r="I224">
            <v>200010704</v>
          </cell>
          <cell r="J224">
            <v>200010804</v>
          </cell>
          <cell r="K224">
            <v>200013804</v>
          </cell>
          <cell r="L224">
            <v>200016304</v>
          </cell>
          <cell r="M224">
            <v>500012568</v>
          </cell>
          <cell r="N224">
            <v>500012668</v>
          </cell>
          <cell r="O224">
            <v>500012568</v>
          </cell>
          <cell r="P224">
            <v>500012668</v>
          </cell>
          <cell r="Q224">
            <v>10.468270436440157</v>
          </cell>
          <cell r="R224">
            <v>9.3579834665923265</v>
          </cell>
          <cell r="S224">
            <v>4.4192361087067082</v>
          </cell>
          <cell r="T224">
            <v>4.4192361087067082</v>
          </cell>
          <cell r="U224">
            <v>10.468270436440157</v>
          </cell>
          <cell r="V224">
            <v>9.3579834665923265</v>
          </cell>
          <cell r="W224">
            <v>75</v>
          </cell>
          <cell r="X224">
            <v>39.393700787401578</v>
          </cell>
          <cell r="Y224">
            <v>65.71555118110237</v>
          </cell>
          <cell r="Z224">
            <v>39.393700787401578</v>
          </cell>
          <cell r="AA224">
            <v>65.71555118110237</v>
          </cell>
          <cell r="AB224">
            <v>39.393700787401578</v>
          </cell>
          <cell r="AC224">
            <v>65.71555118110237</v>
          </cell>
          <cell r="AD224">
            <v>65.71555118110237</v>
          </cell>
          <cell r="AE224">
            <v>65.460629921259851</v>
          </cell>
          <cell r="AF224">
            <v>23.460629921259848</v>
          </cell>
          <cell r="AG224">
            <v>40.082677165354333</v>
          </cell>
          <cell r="AH224" t="str">
            <v>Y</v>
          </cell>
          <cell r="AI224">
            <v>42.1</v>
          </cell>
          <cell r="AJ224">
            <v>19.100000000000001</v>
          </cell>
          <cell r="AK224" t="str">
            <v>TBD</v>
          </cell>
          <cell r="AL224" t="str">
            <v>Y</v>
          </cell>
          <cell r="AM224">
            <v>200018403</v>
          </cell>
          <cell r="AN224">
            <v>200028403</v>
          </cell>
          <cell r="AO224">
            <v>200018303</v>
          </cell>
          <cell r="AP224">
            <v>200028303</v>
          </cell>
          <cell r="AQ224">
            <v>200018203</v>
          </cell>
          <cell r="AR224">
            <v>200028203</v>
          </cell>
          <cell r="AS224">
            <v>14.555555555555557</v>
          </cell>
          <cell r="AT224">
            <v>19.987381438876472</v>
          </cell>
          <cell r="AU224">
            <v>14.912410483320945</v>
          </cell>
          <cell r="AV224">
            <v>10.183419458492327</v>
          </cell>
          <cell r="AW224">
            <v>41317</v>
          </cell>
        </row>
        <row r="225">
          <cell r="C225" t="str">
            <v>Yingli - YL 235-255 P-32b_S</v>
          </cell>
          <cell r="D225" t="str">
            <v>Standard Claw</v>
          </cell>
          <cell r="E225">
            <v>5000005</v>
          </cell>
          <cell r="F225">
            <v>38.976377952755911</v>
          </cell>
          <cell r="G225">
            <v>71.259842519685037</v>
          </cell>
          <cell r="H225">
            <v>1.9685039370078741</v>
          </cell>
          <cell r="I225">
            <v>200010706</v>
          </cell>
          <cell r="J225">
            <v>200010806</v>
          </cell>
          <cell r="K225">
            <v>200013806</v>
          </cell>
          <cell r="L225">
            <v>200016306</v>
          </cell>
          <cell r="M225">
            <v>500012575</v>
          </cell>
          <cell r="N225">
            <v>500012675</v>
          </cell>
          <cell r="O225">
            <v>500012576</v>
          </cell>
          <cell r="P225">
            <v>500012676</v>
          </cell>
          <cell r="Q225">
            <v>11.646065132777842</v>
          </cell>
          <cell r="R225">
            <v>10.40805030701417</v>
          </cell>
          <cell r="S225">
            <v>4.911079789514722</v>
          </cell>
          <cell r="T225">
            <v>4.911079789514722</v>
          </cell>
          <cell r="U225">
            <v>11.646065132777842</v>
          </cell>
          <cell r="V225">
            <v>10.40805030701417</v>
          </cell>
          <cell r="W225">
            <v>50</v>
          </cell>
          <cell r="X225">
            <v>35.45669291338583</v>
          </cell>
          <cell r="Y225">
            <v>72.967519685039377</v>
          </cell>
          <cell r="Z225">
            <v>35.45669291338583</v>
          </cell>
          <cell r="AA225">
            <v>72.967519685039377</v>
          </cell>
          <cell r="AB225">
            <v>35.45669291338583</v>
          </cell>
          <cell r="AC225">
            <v>72.967519685039377</v>
          </cell>
          <cell r="AD225">
            <v>72.967519685039377</v>
          </cell>
          <cell r="AE225">
            <v>71.759842519685051</v>
          </cell>
          <cell r="AF225">
            <v>29.759842519685044</v>
          </cell>
          <cell r="AG225">
            <v>40.082677165354333</v>
          </cell>
          <cell r="AH225" t="str">
            <v>Y</v>
          </cell>
          <cell r="AI225">
            <v>49.612500000000004</v>
          </cell>
          <cell r="AJ225">
            <v>22.5</v>
          </cell>
          <cell r="AK225" t="str">
            <v>TBD</v>
          </cell>
          <cell r="AL225" t="str">
            <v>Y</v>
          </cell>
          <cell r="AM225">
            <v>200018405</v>
          </cell>
          <cell r="AN225">
            <v>200028405</v>
          </cell>
          <cell r="AO225">
            <v>200018305</v>
          </cell>
          <cell r="AP225">
            <v>200028305</v>
          </cell>
          <cell r="AQ225">
            <v>200018205</v>
          </cell>
          <cell r="AR225">
            <v>200028205</v>
          </cell>
          <cell r="AS225">
            <v>15.888888888888888</v>
          </cell>
          <cell r="AT225">
            <v>19.987381438876472</v>
          </cell>
          <cell r="AU225">
            <v>14.912410483320945</v>
          </cell>
          <cell r="AV225">
            <v>10.183419458492327</v>
          </cell>
          <cell r="AW225">
            <v>40617</v>
          </cell>
        </row>
        <row r="226">
          <cell r="C226" t="str">
            <v>Yingli - YL 260-280 P-35b _S</v>
          </cell>
          <cell r="D226" t="str">
            <v>Standard Claw</v>
          </cell>
          <cell r="E226">
            <v>5000005</v>
          </cell>
          <cell r="F226">
            <v>38.976377952755911</v>
          </cell>
          <cell r="G226">
            <v>77.559055118110237</v>
          </cell>
          <cell r="H226">
            <v>1.9685039370078741</v>
          </cell>
          <cell r="I226">
            <v>200010708</v>
          </cell>
          <cell r="J226">
            <v>200010808</v>
          </cell>
          <cell r="K226">
            <v>200013808</v>
          </cell>
          <cell r="L226">
            <v>200016308</v>
          </cell>
          <cell r="M226">
            <v>500012581</v>
          </cell>
          <cell r="N226">
            <v>500012681</v>
          </cell>
          <cell r="O226">
            <v>500012582</v>
          </cell>
          <cell r="P226">
            <v>500012682</v>
          </cell>
          <cell r="Q226">
            <v>11.646065132777842</v>
          </cell>
          <cell r="R226">
            <v>10.40805030701417</v>
          </cell>
          <cell r="S226">
            <v>4.911079789514722</v>
          </cell>
          <cell r="T226">
            <v>4.911079789514722</v>
          </cell>
          <cell r="U226">
            <v>11.646065132777842</v>
          </cell>
          <cell r="V226">
            <v>10.40805030701417</v>
          </cell>
          <cell r="W226">
            <v>50</v>
          </cell>
          <cell r="X226">
            <v>35.45669291338583</v>
          </cell>
          <cell r="Y226">
            <v>79.266732283464577</v>
          </cell>
          <cell r="Z226">
            <v>35.45669291338583</v>
          </cell>
          <cell r="AA226">
            <v>79.266732283464577</v>
          </cell>
          <cell r="AB226">
            <v>35.45669291338583</v>
          </cell>
          <cell r="AC226">
            <v>79.266732283464577</v>
          </cell>
          <cell r="AD226">
            <v>79.266732283464577</v>
          </cell>
          <cell r="AE226">
            <v>78.059055118110237</v>
          </cell>
          <cell r="AF226">
            <v>36.059055118110244</v>
          </cell>
          <cell r="AG226">
            <v>40.082677165354333</v>
          </cell>
          <cell r="AH226" t="str">
            <v>Y</v>
          </cell>
          <cell r="AI226">
            <v>59.094000000000001</v>
          </cell>
          <cell r="AJ226">
            <v>26.8</v>
          </cell>
          <cell r="AK226" t="str">
            <v>TBD</v>
          </cell>
          <cell r="AL226" t="str">
            <v>Y</v>
          </cell>
          <cell r="AM226">
            <v>200018407</v>
          </cell>
          <cell r="AN226">
            <v>200028407</v>
          </cell>
          <cell r="AO226">
            <v>200018307</v>
          </cell>
          <cell r="AP226">
            <v>200028307</v>
          </cell>
          <cell r="AQ226">
            <v>200018207</v>
          </cell>
          <cell r="AR226">
            <v>200028207</v>
          </cell>
          <cell r="AS226">
            <v>17.222222222222221</v>
          </cell>
          <cell r="AT226">
            <v>19.987381438876472</v>
          </cell>
          <cell r="AU226">
            <v>14.912410483320945</v>
          </cell>
          <cell r="AV226">
            <v>10.183419458492327</v>
          </cell>
          <cell r="AW226">
            <v>41277</v>
          </cell>
        </row>
        <row r="227">
          <cell r="C227" t="str">
            <v>Yingli - YL 165-185 P-23b_S</v>
          </cell>
          <cell r="D227" t="str">
            <v>Standard Claw</v>
          </cell>
          <cell r="E227">
            <v>5000005</v>
          </cell>
          <cell r="F227">
            <v>38.976377952755911</v>
          </cell>
          <cell r="G227">
            <v>51.574803149606304</v>
          </cell>
          <cell r="H227">
            <v>1.9685039370078741</v>
          </cell>
          <cell r="I227">
            <v>200010701</v>
          </cell>
          <cell r="J227">
            <v>200010801</v>
          </cell>
          <cell r="K227">
            <v>200013801</v>
          </cell>
          <cell r="L227">
            <v>200016301</v>
          </cell>
          <cell r="M227">
            <v>500012556</v>
          </cell>
          <cell r="N227">
            <v>500012656</v>
          </cell>
          <cell r="O227">
            <v>500012556</v>
          </cell>
          <cell r="P227">
            <v>500012656</v>
          </cell>
          <cell r="Q227">
            <v>11.646065132777842</v>
          </cell>
          <cell r="R227">
            <v>10.40805030701417</v>
          </cell>
          <cell r="S227">
            <v>4.911079789514722</v>
          </cell>
          <cell r="T227">
            <v>4.911079789514722</v>
          </cell>
          <cell r="U227">
            <v>11.646065132777842</v>
          </cell>
          <cell r="V227">
            <v>10.40805030701417</v>
          </cell>
          <cell r="W227">
            <v>50</v>
          </cell>
          <cell r="X227">
            <v>35.45669291338583</v>
          </cell>
          <cell r="Y227">
            <v>53.28248031496063</v>
          </cell>
          <cell r="Z227">
            <v>35.45669291338583</v>
          </cell>
          <cell r="AA227">
            <v>53.28248031496063</v>
          </cell>
          <cell r="AB227">
            <v>35.45669291338583</v>
          </cell>
          <cell r="AC227">
            <v>53.28248031496063</v>
          </cell>
          <cell r="AD227">
            <v>53.28248031496063</v>
          </cell>
          <cell r="AE227" t="str">
            <v>NA</v>
          </cell>
          <cell r="AF227" t="str">
            <v>NA</v>
          </cell>
          <cell r="AG227" t="str">
            <v>NA</v>
          </cell>
          <cell r="AH227" t="str">
            <v>Y</v>
          </cell>
          <cell r="AI227">
            <v>34.839000000000006</v>
          </cell>
          <cell r="AJ227">
            <v>15.8</v>
          </cell>
          <cell r="AK227" t="str">
            <v>TBD</v>
          </cell>
          <cell r="AL227" t="str">
            <v>Y</v>
          </cell>
          <cell r="AM227" t="str">
            <v>2000184TBD</v>
          </cell>
          <cell r="AN227" t="str">
            <v>2000284TBD</v>
          </cell>
          <cell r="AO227" t="str">
            <v>2000183TBD</v>
          </cell>
          <cell r="AP227" t="str">
            <v>2000283TBD</v>
          </cell>
          <cell r="AQ227" t="str">
            <v>2000182TBD</v>
          </cell>
          <cell r="AR227" t="str">
            <v>2000282TBD</v>
          </cell>
          <cell r="AS227" t="str">
            <v>TBD</v>
          </cell>
          <cell r="AT227" t="str">
            <v>NA</v>
          </cell>
          <cell r="AU227" t="str">
            <v>NA</v>
          </cell>
          <cell r="AV227" t="str">
            <v>NA</v>
          </cell>
          <cell r="AW227">
            <v>40617</v>
          </cell>
        </row>
        <row r="228">
          <cell r="C228" t="str">
            <v>Yingli - Panda Series - YL 265-250 C-30b_S</v>
          </cell>
          <cell r="D228" t="str">
            <v>Standard Claw</v>
          </cell>
          <cell r="E228">
            <v>5000005</v>
          </cell>
          <cell r="F228">
            <v>38.976377952755911</v>
          </cell>
          <cell r="G228">
            <v>64.960629921259851</v>
          </cell>
          <cell r="H228">
            <v>1.5748031496062993</v>
          </cell>
          <cell r="I228">
            <v>200010704</v>
          </cell>
          <cell r="J228">
            <v>200010804</v>
          </cell>
          <cell r="K228">
            <v>200013804</v>
          </cell>
          <cell r="L228">
            <v>200016304</v>
          </cell>
          <cell r="M228">
            <v>500012569</v>
          </cell>
          <cell r="N228">
            <v>500012669</v>
          </cell>
          <cell r="O228">
            <v>500012569</v>
          </cell>
          <cell r="P228">
            <v>500012669</v>
          </cell>
          <cell r="Q228">
            <v>11.646065132777842</v>
          </cell>
          <cell r="R228">
            <v>10.40805030701417</v>
          </cell>
          <cell r="S228">
            <v>4.911079789514722</v>
          </cell>
          <cell r="T228">
            <v>4.911079789514722</v>
          </cell>
          <cell r="U228">
            <v>11.646065132777842</v>
          </cell>
          <cell r="V228">
            <v>10.40805030701417</v>
          </cell>
          <cell r="W228">
            <v>50</v>
          </cell>
          <cell r="X228">
            <v>35.45669291338583</v>
          </cell>
          <cell r="Y228">
            <v>66.668307086614178</v>
          </cell>
          <cell r="Z228">
            <v>35.45669291338583</v>
          </cell>
          <cell r="AA228">
            <v>66.668307086614178</v>
          </cell>
          <cell r="AB228">
            <v>35.45669291338583</v>
          </cell>
          <cell r="AC228">
            <v>66.668307086614178</v>
          </cell>
          <cell r="AD228">
            <v>66.668307086614178</v>
          </cell>
          <cell r="AE228">
            <v>65.460629921259851</v>
          </cell>
          <cell r="AF228">
            <v>23.460629921259848</v>
          </cell>
          <cell r="AG228">
            <v>40.082677165354333</v>
          </cell>
          <cell r="AH228" t="str">
            <v>Y</v>
          </cell>
          <cell r="AI228">
            <v>43.659000000000006</v>
          </cell>
          <cell r="AJ228">
            <v>19.8</v>
          </cell>
          <cell r="AK228" t="str">
            <v>TBD</v>
          </cell>
          <cell r="AL228" t="str">
            <v>Y</v>
          </cell>
          <cell r="AM228">
            <v>200018403</v>
          </cell>
          <cell r="AN228">
            <v>200028403</v>
          </cell>
          <cell r="AO228">
            <v>200018303</v>
          </cell>
          <cell r="AP228">
            <v>200028303</v>
          </cell>
          <cell r="AQ228">
            <v>200018203</v>
          </cell>
          <cell r="AR228">
            <v>200028203</v>
          </cell>
          <cell r="AS228">
            <v>14.555555555555557</v>
          </cell>
          <cell r="AT228">
            <v>19.987381438876472</v>
          </cell>
          <cell r="AU228">
            <v>14.912410483320945</v>
          </cell>
          <cell r="AV228">
            <v>10.183419458492327</v>
          </cell>
          <cell r="AW228">
            <v>40800</v>
          </cell>
        </row>
        <row r="229">
          <cell r="C229" t="str">
            <v>Yingli - Panda Series - YL 265-250 C-30b_X</v>
          </cell>
          <cell r="D229" t="str">
            <v>Long Claw (Yingli 235/Panda)</v>
          </cell>
          <cell r="E229">
            <v>500003907</v>
          </cell>
          <cell r="F229">
            <v>38.976377952755911</v>
          </cell>
          <cell r="G229">
            <v>64.960629921259851</v>
          </cell>
          <cell r="H229">
            <v>1.5748031496062993</v>
          </cell>
          <cell r="I229">
            <v>200010704</v>
          </cell>
          <cell r="J229">
            <v>200010804</v>
          </cell>
          <cell r="K229">
            <v>200013804</v>
          </cell>
          <cell r="L229">
            <v>200016304</v>
          </cell>
          <cell r="M229">
            <v>500012568</v>
          </cell>
          <cell r="N229">
            <v>500012668</v>
          </cell>
          <cell r="O229">
            <v>500012568</v>
          </cell>
          <cell r="P229">
            <v>500012668</v>
          </cell>
          <cell r="Q229">
            <v>10.948638384786955</v>
          </cell>
          <cell r="R229">
            <v>9.7863612556795889</v>
          </cell>
          <cell r="S229">
            <v>4.620032713407368</v>
          </cell>
          <cell r="T229">
            <v>4.620032713407368</v>
          </cell>
          <cell r="U229">
            <v>10.948638384786955</v>
          </cell>
          <cell r="V229">
            <v>9.7863612556795889</v>
          </cell>
          <cell r="W229">
            <v>50</v>
          </cell>
          <cell r="X229">
            <v>37.685039370078741</v>
          </cell>
          <cell r="Y229">
            <v>65.71555118110237</v>
          </cell>
          <cell r="Z229">
            <v>37.685039370078741</v>
          </cell>
          <cell r="AA229">
            <v>65.71555118110237</v>
          </cell>
          <cell r="AB229">
            <v>37.685039370078741</v>
          </cell>
          <cell r="AC229">
            <v>65.71555118110237</v>
          </cell>
          <cell r="AD229">
            <v>65.71555118110237</v>
          </cell>
          <cell r="AE229">
            <v>65.460629921259851</v>
          </cell>
          <cell r="AF229">
            <v>23.460629921259848</v>
          </cell>
          <cell r="AG229">
            <v>40.082677165354333</v>
          </cell>
          <cell r="AH229" t="str">
            <v>Y</v>
          </cell>
          <cell r="AI229">
            <v>43.659000000000006</v>
          </cell>
          <cell r="AJ229">
            <v>19.8</v>
          </cell>
          <cell r="AK229" t="str">
            <v>TBD</v>
          </cell>
          <cell r="AL229" t="str">
            <v>Y</v>
          </cell>
          <cell r="AM229">
            <v>200018403</v>
          </cell>
          <cell r="AN229">
            <v>200028403</v>
          </cell>
          <cell r="AO229">
            <v>200018303</v>
          </cell>
          <cell r="AP229">
            <v>200028303</v>
          </cell>
          <cell r="AQ229">
            <v>200018203</v>
          </cell>
          <cell r="AR229">
            <v>200028203</v>
          </cell>
          <cell r="AS229">
            <v>14.555555555555557</v>
          </cell>
          <cell r="AT229">
            <v>19.987381438876472</v>
          </cell>
          <cell r="AU229">
            <v>14.912410483320945</v>
          </cell>
          <cell r="AV229">
            <v>10.183419458492327</v>
          </cell>
          <cell r="AW229">
            <v>40862</v>
          </cell>
        </row>
        <row r="230">
          <cell r="C230" t="str">
            <v>Yingli - Panda Series - YL 265-250 C-30b_L</v>
          </cell>
          <cell r="D230" t="str">
            <v>2nd Gen Long Claw (Yingli 235/Panda)</v>
          </cell>
          <cell r="E230">
            <v>500014407</v>
          </cell>
          <cell r="F230">
            <v>38.976377952755911</v>
          </cell>
          <cell r="G230">
            <v>64.960629921259851</v>
          </cell>
          <cell r="H230">
            <v>1.5748031496062993</v>
          </cell>
          <cell r="I230">
            <v>200010704</v>
          </cell>
          <cell r="J230">
            <v>200010804</v>
          </cell>
          <cell r="K230">
            <v>200013804</v>
          </cell>
          <cell r="L230">
            <v>200016304</v>
          </cell>
          <cell r="M230">
            <v>500012568</v>
          </cell>
          <cell r="N230">
            <v>500012668</v>
          </cell>
          <cell r="O230">
            <v>500012568</v>
          </cell>
          <cell r="P230">
            <v>500012668</v>
          </cell>
          <cell r="Q230">
            <v>10.468270436440157</v>
          </cell>
          <cell r="R230">
            <v>9.3579834665923265</v>
          </cell>
          <cell r="S230">
            <v>4.4192361087067082</v>
          </cell>
          <cell r="T230">
            <v>4.4192361087067082</v>
          </cell>
          <cell r="U230">
            <v>10.468270436440157</v>
          </cell>
          <cell r="V230">
            <v>9.3579834665923265</v>
          </cell>
          <cell r="W230">
            <v>50</v>
          </cell>
          <cell r="X230">
            <v>39.393700787401578</v>
          </cell>
          <cell r="Y230">
            <v>65.71555118110237</v>
          </cell>
          <cell r="Z230">
            <v>39.393700787401578</v>
          </cell>
          <cell r="AA230">
            <v>65.71555118110237</v>
          </cell>
          <cell r="AB230">
            <v>39.393700787401578</v>
          </cell>
          <cell r="AC230">
            <v>65.71555118110237</v>
          </cell>
          <cell r="AD230">
            <v>65.71555118110237</v>
          </cell>
          <cell r="AE230">
            <v>65.460629921259851</v>
          </cell>
          <cell r="AF230">
            <v>23.460629921259848</v>
          </cell>
          <cell r="AG230">
            <v>40.082677165354333</v>
          </cell>
          <cell r="AH230" t="str">
            <v>Y</v>
          </cell>
          <cell r="AI230">
            <v>43.659000000000006</v>
          </cell>
          <cell r="AJ230">
            <v>19.8</v>
          </cell>
          <cell r="AK230" t="str">
            <v>TBD</v>
          </cell>
          <cell r="AL230" t="str">
            <v>Y</v>
          </cell>
          <cell r="AM230">
            <v>200018403</v>
          </cell>
          <cell r="AN230">
            <v>200028403</v>
          </cell>
          <cell r="AO230">
            <v>200018303</v>
          </cell>
          <cell r="AP230">
            <v>200028303</v>
          </cell>
          <cell r="AQ230">
            <v>200018203</v>
          </cell>
          <cell r="AR230">
            <v>200028203</v>
          </cell>
          <cell r="AS230">
            <v>14.555555555555557</v>
          </cell>
          <cell r="AT230">
            <v>19.987381438876472</v>
          </cell>
          <cell r="AU230">
            <v>14.912410483320945</v>
          </cell>
          <cell r="AV230">
            <v>10.183419458492327</v>
          </cell>
          <cell r="AW230">
            <v>40862</v>
          </cell>
        </row>
        <row r="231">
          <cell r="C231" t="str">
            <v xml:space="preserve"> - _</v>
          </cell>
          <cell r="AI231">
            <v>0</v>
          </cell>
        </row>
        <row r="232">
          <cell r="C232" t="str">
            <v xml:space="preserve"> - _</v>
          </cell>
          <cell r="AI232">
            <v>0</v>
          </cell>
        </row>
        <row r="233">
          <cell r="C233" t="str">
            <v xml:space="preserve"> - _</v>
          </cell>
          <cell r="AI233">
            <v>0</v>
          </cell>
        </row>
        <row r="234">
          <cell r="C234" t="str">
            <v xml:space="preserve"> - _</v>
          </cell>
          <cell r="AI234">
            <v>0</v>
          </cell>
        </row>
        <row r="235">
          <cell r="C235" t="str">
            <v xml:space="preserve"> - _</v>
          </cell>
          <cell r="AI235">
            <v>0</v>
          </cell>
        </row>
        <row r="236">
          <cell r="C236" t="str">
            <v xml:space="preserve"> - _</v>
          </cell>
          <cell r="AI236">
            <v>0</v>
          </cell>
        </row>
        <row r="237">
          <cell r="C237" t="str">
            <v xml:space="preserve"> - _</v>
          </cell>
          <cell r="AI237">
            <v>0</v>
          </cell>
        </row>
        <row r="238">
          <cell r="C238" t="str">
            <v xml:space="preserve"> - _</v>
          </cell>
          <cell r="AI238">
            <v>0</v>
          </cell>
        </row>
        <row r="239">
          <cell r="C239" t="str">
            <v xml:space="preserve"> - _</v>
          </cell>
          <cell r="AI239">
            <v>0</v>
          </cell>
        </row>
        <row r="240">
          <cell r="C240" t="str">
            <v xml:space="preserve"> - _</v>
          </cell>
          <cell r="AI240">
            <v>0</v>
          </cell>
        </row>
        <row r="241">
          <cell r="C241" t="str">
            <v xml:space="preserve"> - _</v>
          </cell>
          <cell r="AI241">
            <v>0</v>
          </cell>
        </row>
        <row r="242">
          <cell r="C242" t="str">
            <v xml:space="preserve"> - _</v>
          </cell>
          <cell r="AI24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S PB10deg genII"/>
      <sheetName val="Tool Description"/>
      <sheetName val="REF"/>
      <sheetName val="Master Matrix"/>
      <sheetName val="(PB&amp;GB) With Friction"/>
      <sheetName val="(PB&amp;GB) Without Friction"/>
      <sheetName val="MA Calcs"/>
      <sheetName val="Main Input Page"/>
      <sheetName val="ACAD TABLES"/>
      <sheetName val="PSF Compensation"/>
      <sheetName val="Net Pressure-DownForce"/>
      <sheetName val="Array Breakdown"/>
      <sheetName val="Revision History"/>
      <sheetName val="PLS PANDA"/>
      <sheetName val="PLS GB10deg genII"/>
      <sheetName val="PLS PB5deg genII"/>
      <sheetName val="PLS KB 10deg"/>
      <sheetName val="PLS KB 15deg"/>
      <sheetName val="PLS KB 20deg"/>
      <sheetName val="Polar Bear 10"/>
      <sheetName val="Grizzly Bear 10"/>
      <sheetName val="Polar Bear 5"/>
      <sheetName val="Kodiak 10"/>
      <sheetName val="Kodiak 15"/>
      <sheetName val="Kodiak 20"/>
      <sheetName val="Sheet1"/>
    </sheetNames>
    <sheetDataSet>
      <sheetData sheetId="0" refreshError="1"/>
      <sheetData sheetId="1" refreshError="1"/>
      <sheetData sheetId="2" refreshError="1"/>
      <sheetData sheetId="3" refreshError="1">
        <row r="4">
          <cell r="C4" t="str">
            <v>1Soltech - 1STH-230-260_S</v>
          </cell>
          <cell r="D4" t="str">
            <v>Standard Claw</v>
          </cell>
          <cell r="E4">
            <v>5000005</v>
          </cell>
          <cell r="F4">
            <v>38.976377952755911</v>
          </cell>
          <cell r="G4">
            <v>65.039370078740163</v>
          </cell>
          <cell r="H4">
            <v>1.9685039370078741</v>
          </cell>
          <cell r="I4">
            <v>200010704</v>
          </cell>
          <cell r="J4">
            <v>200010804</v>
          </cell>
          <cell r="K4">
            <v>200013804</v>
          </cell>
          <cell r="L4">
            <v>200016304</v>
          </cell>
          <cell r="M4">
            <v>500012569</v>
          </cell>
          <cell r="N4">
            <v>500012669</v>
          </cell>
          <cell r="O4">
            <v>500012569</v>
          </cell>
          <cell r="P4">
            <v>500012669</v>
          </cell>
          <cell r="Q4">
            <v>11.725279318414811</v>
          </cell>
          <cell r="R4">
            <v>10.478642249707667</v>
          </cell>
          <cell r="S4">
            <v>4.9440996728708777</v>
          </cell>
          <cell r="T4">
            <v>4.9440996728708777</v>
          </cell>
          <cell r="U4">
            <v>11.725279318414811</v>
          </cell>
          <cell r="V4">
            <v>10.478642249707667</v>
          </cell>
          <cell r="W4">
            <v>50</v>
          </cell>
          <cell r="X4">
            <v>35.220472440944881</v>
          </cell>
          <cell r="Y4">
            <v>66.510826771653541</v>
          </cell>
          <cell r="Z4">
            <v>35.220472440944881</v>
          </cell>
          <cell r="AA4">
            <v>66.510826771653541</v>
          </cell>
          <cell r="AB4">
            <v>35.220472440944881</v>
          </cell>
          <cell r="AC4">
            <v>66.510826771653541</v>
          </cell>
          <cell r="AD4">
            <v>66.510826771653541</v>
          </cell>
          <cell r="AE4">
            <v>65.539370078740163</v>
          </cell>
          <cell r="AF4">
            <v>23.539370078740163</v>
          </cell>
          <cell r="AG4">
            <v>39.846456692913392</v>
          </cell>
          <cell r="AH4" t="str">
            <v>N</v>
          </cell>
          <cell r="AI4">
            <v>52.92</v>
          </cell>
          <cell r="AJ4">
            <v>24</v>
          </cell>
          <cell r="AK4" t="str">
            <v>TBD</v>
          </cell>
          <cell r="AL4" t="str">
            <v>Y</v>
          </cell>
          <cell r="AM4">
            <v>200018403</v>
          </cell>
          <cell r="AN4">
            <v>200028403</v>
          </cell>
          <cell r="AO4">
            <v>200018303</v>
          </cell>
          <cell r="AP4">
            <v>200028303</v>
          </cell>
          <cell r="AQ4">
            <v>200018203</v>
          </cell>
          <cell r="AR4">
            <v>200028203</v>
          </cell>
          <cell r="AS4">
            <v>14.555555555555557</v>
          </cell>
          <cell r="AT4">
            <v>20.110973161651764</v>
          </cell>
          <cell r="AU4">
            <v>15.002886128524771</v>
          </cell>
          <cell r="AV4">
            <v>10.244439167746933</v>
          </cell>
          <cell r="AW4">
            <v>41317</v>
          </cell>
        </row>
        <row r="5">
          <cell r="C5" t="str">
            <v>Aleo - S18 U 225-250_M</v>
          </cell>
          <cell r="D5" t="str">
            <v>Short Clamp Multi Claw</v>
          </cell>
          <cell r="E5">
            <v>500000701</v>
          </cell>
          <cell r="F5">
            <v>38.976377952755911</v>
          </cell>
          <cell r="G5">
            <v>65.354330708661422</v>
          </cell>
          <cell r="H5">
            <v>1.9685039370078741</v>
          </cell>
          <cell r="I5">
            <v>200010704</v>
          </cell>
          <cell r="J5">
            <v>200010804</v>
          </cell>
          <cell r="K5">
            <v>200013804</v>
          </cell>
          <cell r="L5">
            <v>200016304</v>
          </cell>
          <cell r="M5">
            <v>500012568</v>
          </cell>
          <cell r="N5">
            <v>500012668</v>
          </cell>
          <cell r="O5">
            <v>500012569</v>
          </cell>
          <cell r="P5">
            <v>500012669</v>
          </cell>
          <cell r="Q5">
            <v>11.033360048162105</v>
          </cell>
          <cell r="R5">
            <v>9.8618989223878799</v>
          </cell>
          <cell r="S5">
            <v>4.655419330639778</v>
          </cell>
          <cell r="T5">
            <v>4.655419330639778</v>
          </cell>
          <cell r="U5">
            <v>11.033360048162105</v>
          </cell>
          <cell r="V5">
            <v>9.8618989223878799</v>
          </cell>
          <cell r="W5">
            <v>40</v>
          </cell>
          <cell r="X5">
            <v>37.399212598425201</v>
          </cell>
          <cell r="Y5">
            <v>65.929724409448824</v>
          </cell>
          <cell r="Z5">
            <v>37.399212598425201</v>
          </cell>
          <cell r="AA5">
            <v>65.929724409448824</v>
          </cell>
          <cell r="AB5">
            <v>37.399212598425201</v>
          </cell>
          <cell r="AC5">
            <v>65.929724409448824</v>
          </cell>
          <cell r="AD5">
            <v>65.929724409448824</v>
          </cell>
          <cell r="AE5">
            <v>65.854330708661422</v>
          </cell>
          <cell r="AF5">
            <v>23.854330708661422</v>
          </cell>
          <cell r="AG5">
            <v>40.240157480314963</v>
          </cell>
          <cell r="AH5" t="str">
            <v>Y</v>
          </cell>
          <cell r="AI5">
            <v>46.305</v>
          </cell>
          <cell r="AJ5">
            <v>21</v>
          </cell>
          <cell r="AK5" t="str">
            <v>TBD</v>
          </cell>
          <cell r="AL5" t="str">
            <v>Y</v>
          </cell>
          <cell r="AM5">
            <v>200018403</v>
          </cell>
          <cell r="AN5">
            <v>200028403</v>
          </cell>
          <cell r="AO5">
            <v>200018303</v>
          </cell>
          <cell r="AP5">
            <v>200028303</v>
          </cell>
          <cell r="AQ5">
            <v>200018203</v>
          </cell>
          <cell r="AR5">
            <v>200028203</v>
          </cell>
          <cell r="AS5">
            <v>14.555555555555557</v>
          </cell>
          <cell r="AT5">
            <v>19.905846229389603</v>
          </cell>
          <cell r="AU5">
            <v>14.852704372847956</v>
          </cell>
          <cell r="AV5">
            <v>10.143144054640397</v>
          </cell>
          <cell r="AW5">
            <v>41190</v>
          </cell>
        </row>
        <row r="6">
          <cell r="C6" t="str">
            <v>Aleo - S79 U 235-245_M</v>
          </cell>
          <cell r="D6" t="str">
            <v>Short Clamp Multi Claw</v>
          </cell>
          <cell r="E6">
            <v>500000701</v>
          </cell>
          <cell r="F6">
            <v>38.976377952755911</v>
          </cell>
          <cell r="G6">
            <v>65.354330708661422</v>
          </cell>
          <cell r="H6">
            <v>1.9685039370078741</v>
          </cell>
          <cell r="I6">
            <v>200010704</v>
          </cell>
          <cell r="J6">
            <v>200010804</v>
          </cell>
          <cell r="K6">
            <v>200013804</v>
          </cell>
          <cell r="L6">
            <v>200016304</v>
          </cell>
          <cell r="M6">
            <v>500012568</v>
          </cell>
          <cell r="N6">
            <v>500012668</v>
          </cell>
          <cell r="O6">
            <v>500012569</v>
          </cell>
          <cell r="P6">
            <v>500012669</v>
          </cell>
          <cell r="Q6">
            <v>11.033360048162105</v>
          </cell>
          <cell r="R6">
            <v>9.8618989223878799</v>
          </cell>
          <cell r="S6">
            <v>4.655419330639778</v>
          </cell>
          <cell r="T6">
            <v>4.655419330639778</v>
          </cell>
          <cell r="U6">
            <v>11.033360048162105</v>
          </cell>
          <cell r="V6">
            <v>9.8618989223878799</v>
          </cell>
          <cell r="W6">
            <v>40</v>
          </cell>
          <cell r="X6">
            <v>37.399212598425201</v>
          </cell>
          <cell r="Y6">
            <v>65.929724409448824</v>
          </cell>
          <cell r="Z6">
            <v>37.399212598425201</v>
          </cell>
          <cell r="AA6">
            <v>65.929724409448824</v>
          </cell>
          <cell r="AB6">
            <v>37.399212598425201</v>
          </cell>
          <cell r="AC6">
            <v>65.929724409448824</v>
          </cell>
          <cell r="AD6">
            <v>65.929724409448824</v>
          </cell>
          <cell r="AE6">
            <v>65.854330708661422</v>
          </cell>
          <cell r="AF6">
            <v>23.854330708661422</v>
          </cell>
          <cell r="AG6">
            <v>40.240157480314963</v>
          </cell>
          <cell r="AH6" t="str">
            <v>Y</v>
          </cell>
          <cell r="AI6">
            <v>46.305</v>
          </cell>
          <cell r="AJ6">
            <v>21</v>
          </cell>
          <cell r="AK6" t="str">
            <v>TBD</v>
          </cell>
          <cell r="AL6" t="str">
            <v>Y</v>
          </cell>
          <cell r="AM6">
            <v>200018403</v>
          </cell>
          <cell r="AN6">
            <v>200028403</v>
          </cell>
          <cell r="AO6">
            <v>200018303</v>
          </cell>
          <cell r="AP6">
            <v>200028303</v>
          </cell>
          <cell r="AQ6">
            <v>200018203</v>
          </cell>
          <cell r="AR6">
            <v>200028203</v>
          </cell>
          <cell r="AS6">
            <v>14.555555555555557</v>
          </cell>
          <cell r="AT6">
            <v>19.905846229389603</v>
          </cell>
          <cell r="AU6">
            <v>14.852704372847956</v>
          </cell>
          <cell r="AV6">
            <v>10.143144054640397</v>
          </cell>
          <cell r="AW6">
            <v>41190</v>
          </cell>
        </row>
        <row r="7">
          <cell r="C7" t="str">
            <v>Avim - A18 U 225-250_M</v>
          </cell>
          <cell r="D7" t="str">
            <v>Short Clamp Multi Claw</v>
          </cell>
          <cell r="E7">
            <v>500000701</v>
          </cell>
          <cell r="F7">
            <v>38.976377952755911</v>
          </cell>
          <cell r="G7">
            <v>65.354330708661422</v>
          </cell>
          <cell r="H7">
            <v>1.9685039370078741</v>
          </cell>
          <cell r="I7">
            <v>200010704</v>
          </cell>
          <cell r="J7">
            <v>200010804</v>
          </cell>
          <cell r="K7">
            <v>200013804</v>
          </cell>
          <cell r="L7">
            <v>200016304</v>
          </cell>
          <cell r="M7">
            <v>500012568</v>
          </cell>
          <cell r="N7">
            <v>500012668</v>
          </cell>
          <cell r="O7">
            <v>500012569</v>
          </cell>
          <cell r="P7">
            <v>500012669</v>
          </cell>
          <cell r="Q7">
            <v>11.033360048162105</v>
          </cell>
          <cell r="R7">
            <v>9.8618989223878799</v>
          </cell>
          <cell r="S7">
            <v>4.655419330639778</v>
          </cell>
          <cell r="T7">
            <v>4.655419330639778</v>
          </cell>
          <cell r="U7">
            <v>11.033360048162105</v>
          </cell>
          <cell r="V7">
            <v>9.8618989223878799</v>
          </cell>
          <cell r="W7">
            <v>40</v>
          </cell>
          <cell r="X7">
            <v>37.399212598425201</v>
          </cell>
          <cell r="Y7">
            <v>65.929724409448824</v>
          </cell>
          <cell r="Z7">
            <v>37.399212598425201</v>
          </cell>
          <cell r="AA7">
            <v>65.929724409448824</v>
          </cell>
          <cell r="AB7">
            <v>37.399212598425201</v>
          </cell>
          <cell r="AC7">
            <v>65.929724409448824</v>
          </cell>
          <cell r="AD7">
            <v>65.929724409448824</v>
          </cell>
          <cell r="AE7">
            <v>65.854330708661422</v>
          </cell>
          <cell r="AF7">
            <v>23.854330708661422</v>
          </cell>
          <cell r="AG7">
            <v>40.240157480314963</v>
          </cell>
          <cell r="AH7" t="str">
            <v>Y</v>
          </cell>
          <cell r="AI7">
            <v>46.305</v>
          </cell>
          <cell r="AJ7">
            <v>21</v>
          </cell>
          <cell r="AK7" t="str">
            <v>TBD</v>
          </cell>
          <cell r="AL7" t="str">
            <v>Y</v>
          </cell>
          <cell r="AM7">
            <v>200018403</v>
          </cell>
          <cell r="AN7">
            <v>200028403</v>
          </cell>
          <cell r="AO7">
            <v>200018303</v>
          </cell>
          <cell r="AP7">
            <v>200028303</v>
          </cell>
          <cell r="AQ7">
            <v>200018203</v>
          </cell>
          <cell r="AR7">
            <v>200028203</v>
          </cell>
          <cell r="AS7">
            <v>14.555555555555557</v>
          </cell>
          <cell r="AT7">
            <v>19.905846229389603</v>
          </cell>
          <cell r="AU7">
            <v>14.852704372847956</v>
          </cell>
          <cell r="AV7">
            <v>10.143144054640397</v>
          </cell>
          <cell r="AW7">
            <v>41317</v>
          </cell>
        </row>
        <row r="8">
          <cell r="C8" t="str">
            <v>ASW (American Solar Wholesale) - AWS 230-250 M-P_S</v>
          </cell>
          <cell r="D8" t="str">
            <v>Standard Claw</v>
          </cell>
          <cell r="E8">
            <v>5000005</v>
          </cell>
          <cell r="F8">
            <v>38.976377952755911</v>
          </cell>
          <cell r="G8">
            <v>64.960629921259851</v>
          </cell>
          <cell r="H8">
            <v>1.9685039370078741</v>
          </cell>
          <cell r="I8">
            <v>200010704</v>
          </cell>
          <cell r="J8">
            <v>200010804</v>
          </cell>
          <cell r="K8">
            <v>200013804</v>
          </cell>
          <cell r="L8">
            <v>200016304</v>
          </cell>
          <cell r="M8">
            <v>500012569</v>
          </cell>
          <cell r="N8">
            <v>500012669</v>
          </cell>
          <cell r="O8">
            <v>500012569</v>
          </cell>
          <cell r="P8">
            <v>500012669</v>
          </cell>
          <cell r="Q8">
            <v>11.725279318414811</v>
          </cell>
          <cell r="R8">
            <v>10.478642249707667</v>
          </cell>
          <cell r="S8">
            <v>4.9440996728708777</v>
          </cell>
          <cell r="T8">
            <v>4.9440996728708777</v>
          </cell>
          <cell r="U8">
            <v>11.725279318414811</v>
          </cell>
          <cell r="V8">
            <v>10.478642249707667</v>
          </cell>
          <cell r="W8">
            <v>50</v>
          </cell>
          <cell r="X8">
            <v>35.220472440944881</v>
          </cell>
          <cell r="Y8">
            <v>66.43208661417323</v>
          </cell>
          <cell r="Z8">
            <v>35.220472440944881</v>
          </cell>
          <cell r="AA8">
            <v>66.43208661417323</v>
          </cell>
          <cell r="AB8">
            <v>35.220472440944881</v>
          </cell>
          <cell r="AC8">
            <v>66.43208661417323</v>
          </cell>
          <cell r="AD8">
            <v>66.43208661417323</v>
          </cell>
          <cell r="AE8">
            <v>65.460629921259851</v>
          </cell>
          <cell r="AF8">
            <v>23.460629921259848</v>
          </cell>
          <cell r="AG8">
            <v>39.846456692913392</v>
          </cell>
          <cell r="AH8" t="str">
            <v>Y</v>
          </cell>
          <cell r="AI8">
            <v>41.895000000000003</v>
          </cell>
          <cell r="AJ8">
            <v>19</v>
          </cell>
          <cell r="AK8" t="str">
            <v>TBD</v>
          </cell>
          <cell r="AL8" t="str">
            <v>Y</v>
          </cell>
          <cell r="AM8">
            <v>200018403</v>
          </cell>
          <cell r="AN8">
            <v>200028403</v>
          </cell>
          <cell r="AO8">
            <v>200018303</v>
          </cell>
          <cell r="AP8">
            <v>200028303</v>
          </cell>
          <cell r="AQ8">
            <v>200018203</v>
          </cell>
          <cell r="AR8">
            <v>200028203</v>
          </cell>
          <cell r="AS8">
            <v>14.555555555555557</v>
          </cell>
          <cell r="AT8">
            <v>20.110973161651764</v>
          </cell>
          <cell r="AU8">
            <v>15.002886128524771</v>
          </cell>
          <cell r="AV8">
            <v>10.244439167746933</v>
          </cell>
          <cell r="AW8">
            <v>41122</v>
          </cell>
        </row>
        <row r="9">
          <cell r="C9" t="str">
            <v>ASW (American Solar Wholesale) - AWS 260-280 M-P_S</v>
          </cell>
          <cell r="D9" t="str">
            <v>Standard Claw</v>
          </cell>
          <cell r="E9">
            <v>5000005</v>
          </cell>
          <cell r="F9">
            <v>38.976377952755911</v>
          </cell>
          <cell r="G9">
            <v>76.929133858267718</v>
          </cell>
          <cell r="H9">
            <v>1.9685039370078741</v>
          </cell>
          <cell r="I9">
            <v>200010707</v>
          </cell>
          <cell r="J9">
            <v>200010807</v>
          </cell>
          <cell r="K9">
            <v>200013807</v>
          </cell>
          <cell r="L9">
            <v>200016307</v>
          </cell>
          <cell r="M9">
            <v>500012581</v>
          </cell>
          <cell r="N9">
            <v>500012681</v>
          </cell>
          <cell r="O9">
            <v>500012581</v>
          </cell>
          <cell r="P9">
            <v>500012681</v>
          </cell>
          <cell r="Q9">
            <v>11.725279318414811</v>
          </cell>
          <cell r="R9">
            <v>10.478642249707667</v>
          </cell>
          <cell r="S9">
            <v>4.9440996728708777</v>
          </cell>
          <cell r="T9">
            <v>4.9440996728708777</v>
          </cell>
          <cell r="U9">
            <v>11.725279318414811</v>
          </cell>
          <cell r="V9">
            <v>10.478642249707667</v>
          </cell>
          <cell r="W9">
            <v>40</v>
          </cell>
          <cell r="X9">
            <v>35.220472440944881</v>
          </cell>
          <cell r="Y9">
            <v>78.400590551181111</v>
          </cell>
          <cell r="Z9">
            <v>35.220472440944881</v>
          </cell>
          <cell r="AA9">
            <v>78.400590551181111</v>
          </cell>
          <cell r="AB9">
            <v>35.220472440944881</v>
          </cell>
          <cell r="AC9">
            <v>78.400590551181111</v>
          </cell>
          <cell r="AD9">
            <v>78.400590551181111</v>
          </cell>
          <cell r="AE9">
            <v>77.429133858267718</v>
          </cell>
          <cell r="AF9">
            <v>35.429133858267726</v>
          </cell>
          <cell r="AG9">
            <v>39.846456692913392</v>
          </cell>
          <cell r="AH9" t="str">
            <v>Y</v>
          </cell>
          <cell r="AI9">
            <v>50.715000000000003</v>
          </cell>
          <cell r="AJ9">
            <v>23</v>
          </cell>
          <cell r="AK9" t="str">
            <v>TBD</v>
          </cell>
          <cell r="AL9" t="str">
            <v>Y</v>
          </cell>
          <cell r="AM9">
            <v>200018407</v>
          </cell>
          <cell r="AN9">
            <v>200028407</v>
          </cell>
          <cell r="AO9">
            <v>200018307</v>
          </cell>
          <cell r="AP9">
            <v>200028307</v>
          </cell>
          <cell r="AQ9">
            <v>200018207</v>
          </cell>
          <cell r="AR9">
            <v>200028207</v>
          </cell>
          <cell r="AS9">
            <v>17.222222222222221</v>
          </cell>
          <cell r="AT9">
            <v>20.110973161651764</v>
          </cell>
          <cell r="AU9">
            <v>15.002886128524771</v>
          </cell>
          <cell r="AV9">
            <v>10.244439167746933</v>
          </cell>
          <cell r="AW9">
            <v>41122</v>
          </cell>
        </row>
        <row r="10">
          <cell r="C10" t="str">
            <v>AUO Solar - BenQ - PM 225-245 P_L</v>
          </cell>
          <cell r="D10" t="str">
            <v>2nd Gen Long Claw (Conergy PM / AUO PM)</v>
          </cell>
          <cell r="E10">
            <v>500014410</v>
          </cell>
          <cell r="F10">
            <v>39.370078740157481</v>
          </cell>
          <cell r="G10">
            <v>65.669291338582681</v>
          </cell>
          <cell r="H10">
            <v>1.5748031496062993</v>
          </cell>
          <cell r="I10">
            <v>200010704</v>
          </cell>
          <cell r="J10">
            <v>200010804</v>
          </cell>
          <cell r="K10">
            <v>200013804</v>
          </cell>
          <cell r="L10">
            <v>200016304</v>
          </cell>
          <cell r="M10">
            <v>500012569</v>
          </cell>
          <cell r="N10">
            <v>500012669</v>
          </cell>
          <cell r="O10">
            <v>500012569</v>
          </cell>
          <cell r="P10">
            <v>500012669</v>
          </cell>
          <cell r="Q10">
            <v>10.41563801751966</v>
          </cell>
          <cell r="R10">
            <v>9.3110390770937794</v>
          </cell>
          <cell r="S10">
            <v>4.3972196268899051</v>
          </cell>
          <cell r="T10">
            <v>4.3972196268899051</v>
          </cell>
          <cell r="U10">
            <v>10.41563801751966</v>
          </cell>
          <cell r="V10">
            <v>9.3110390770937794</v>
          </cell>
          <cell r="W10">
            <v>50</v>
          </cell>
          <cell r="X10">
            <v>39.590551181102363</v>
          </cell>
          <cell r="Y10">
            <v>66.4242125984252</v>
          </cell>
          <cell r="Z10">
            <v>39.590551181102363</v>
          </cell>
          <cell r="AA10">
            <v>66.4242125984252</v>
          </cell>
          <cell r="AB10">
            <v>39.590551181102363</v>
          </cell>
          <cell r="AC10">
            <v>66.4242125984252</v>
          </cell>
          <cell r="AD10">
            <v>66.4242125984252</v>
          </cell>
          <cell r="AE10">
            <v>66.169291338582681</v>
          </cell>
          <cell r="AF10">
            <v>24.169291338582681</v>
          </cell>
          <cell r="AG10">
            <v>40.240157480314963</v>
          </cell>
          <cell r="AH10" t="str">
            <v>Y</v>
          </cell>
          <cell r="AI10">
            <v>44.1</v>
          </cell>
          <cell r="AJ10">
            <v>20</v>
          </cell>
          <cell r="AK10" t="str">
            <v>TBD</v>
          </cell>
          <cell r="AL10" t="str">
            <v>Y</v>
          </cell>
          <cell r="AM10">
            <v>200018403</v>
          </cell>
          <cell r="AN10">
            <v>200028403</v>
          </cell>
          <cell r="AO10">
            <v>200018303</v>
          </cell>
          <cell r="AP10">
            <v>200028303</v>
          </cell>
          <cell r="AQ10">
            <v>200018203</v>
          </cell>
          <cell r="AR10">
            <v>200028203</v>
          </cell>
          <cell r="AS10">
            <v>14.555555555555557</v>
          </cell>
          <cell r="AT10">
            <v>19.905846229389603</v>
          </cell>
          <cell r="AU10">
            <v>14.852704372847956</v>
          </cell>
          <cell r="AV10">
            <v>10.143144054640397</v>
          </cell>
          <cell r="AW10">
            <v>41122</v>
          </cell>
        </row>
        <row r="11">
          <cell r="C11" t="str">
            <v>Bosch - c-Si M60 220-240 _S</v>
          </cell>
          <cell r="D11" t="str">
            <v>Standard Claw</v>
          </cell>
          <cell r="E11">
            <v>5000005</v>
          </cell>
          <cell r="F11">
            <v>39.370078740157481</v>
          </cell>
          <cell r="G11">
            <v>64.566929133858267</v>
          </cell>
          <cell r="H11">
            <v>1.6535433070866143</v>
          </cell>
          <cell r="I11">
            <v>200010704</v>
          </cell>
          <cell r="J11">
            <v>200010804</v>
          </cell>
          <cell r="K11">
            <v>200013804</v>
          </cell>
          <cell r="L11">
            <v>200016304</v>
          </cell>
          <cell r="M11">
            <v>500012568</v>
          </cell>
          <cell r="N11">
            <v>500012668</v>
          </cell>
          <cell r="O11">
            <v>500012568</v>
          </cell>
          <cell r="P11">
            <v>500012668</v>
          </cell>
          <cell r="Q11">
            <v>11.619899404426564</v>
          </cell>
          <cell r="R11">
            <v>10.384731734052414</v>
          </cell>
          <cell r="S11">
            <v>4.9001710764679141</v>
          </cell>
          <cell r="T11">
            <v>4.9001710764679141</v>
          </cell>
          <cell r="U11">
            <v>11.619899404426564</v>
          </cell>
          <cell r="V11">
            <v>10.384731734052414</v>
          </cell>
          <cell r="W11">
            <v>50</v>
          </cell>
          <cell r="X11">
            <v>35.535433070866148</v>
          </cell>
          <cell r="Y11">
            <v>65.325000000000003</v>
          </cell>
          <cell r="Z11">
            <v>35.535433070866148</v>
          </cell>
          <cell r="AA11">
            <v>65.325000000000003</v>
          </cell>
          <cell r="AB11">
            <v>35.535433070866148</v>
          </cell>
          <cell r="AC11">
            <v>65.325000000000003</v>
          </cell>
          <cell r="AD11">
            <v>65.325000000000003</v>
          </cell>
          <cell r="AE11">
            <v>65.066929133858267</v>
          </cell>
          <cell r="AF11">
            <v>23.066929133858274</v>
          </cell>
          <cell r="AG11">
            <v>39.523622047244096</v>
          </cell>
          <cell r="AH11" t="str">
            <v>N</v>
          </cell>
          <cell r="AI11">
            <v>51.817500000000003</v>
          </cell>
          <cell r="AJ11">
            <v>23.5</v>
          </cell>
          <cell r="AK11" t="str">
            <v>TBD</v>
          </cell>
          <cell r="AL11" t="str">
            <v>Y</v>
          </cell>
          <cell r="AM11">
            <v>200018403</v>
          </cell>
          <cell r="AN11">
            <v>200028403</v>
          </cell>
          <cell r="AO11">
            <v>200018303</v>
          </cell>
          <cell r="AP11">
            <v>200028303</v>
          </cell>
          <cell r="AQ11">
            <v>200018203</v>
          </cell>
          <cell r="AR11">
            <v>200028203</v>
          </cell>
          <cell r="AS11">
            <v>14.555555555555557</v>
          </cell>
          <cell r="AT11">
            <v>20.282432747096749</v>
          </cell>
          <cell r="AU11">
            <v>15.12834858345393</v>
          </cell>
          <cell r="AV11">
            <v>10.329031799061514</v>
          </cell>
          <cell r="AW11">
            <v>40800</v>
          </cell>
        </row>
        <row r="12">
          <cell r="C12" t="str">
            <v>Bosch - c-Si M60 US30117 235-250_M</v>
          </cell>
          <cell r="D12" t="str">
            <v>Short Clamp Multi Claw</v>
          </cell>
          <cell r="E12">
            <v>500000701</v>
          </cell>
          <cell r="F12">
            <v>38.976377952755911</v>
          </cell>
          <cell r="G12">
            <v>65.354330708661422</v>
          </cell>
          <cell r="H12">
            <v>1.9685039370078741</v>
          </cell>
          <cell r="I12">
            <v>200010704</v>
          </cell>
          <cell r="J12">
            <v>200010804</v>
          </cell>
          <cell r="K12">
            <v>200013804</v>
          </cell>
          <cell r="L12">
            <v>200016304</v>
          </cell>
          <cell r="M12">
            <v>500012568</v>
          </cell>
          <cell r="N12">
            <v>500012668</v>
          </cell>
          <cell r="O12">
            <v>500012569</v>
          </cell>
          <cell r="P12">
            <v>500012669</v>
          </cell>
          <cell r="Q12">
            <v>11.033360048162105</v>
          </cell>
          <cell r="R12">
            <v>9.8618989223878799</v>
          </cell>
          <cell r="S12">
            <v>4.655419330639778</v>
          </cell>
          <cell r="T12">
            <v>4.655419330639778</v>
          </cell>
          <cell r="U12">
            <v>11.033360048162105</v>
          </cell>
          <cell r="V12">
            <v>9.8618989223878799</v>
          </cell>
          <cell r="W12">
            <v>40</v>
          </cell>
          <cell r="X12">
            <v>37.399212598425201</v>
          </cell>
          <cell r="Y12">
            <v>65.929724409448824</v>
          </cell>
          <cell r="Z12">
            <v>37.399212598425201</v>
          </cell>
          <cell r="AA12">
            <v>65.929724409448824</v>
          </cell>
          <cell r="AB12">
            <v>37.399212598425201</v>
          </cell>
          <cell r="AC12">
            <v>65.929724409448824</v>
          </cell>
          <cell r="AD12">
            <v>65.929724409448824</v>
          </cell>
          <cell r="AE12">
            <v>65.854330708661422</v>
          </cell>
          <cell r="AF12">
            <v>23.854330708661422</v>
          </cell>
          <cell r="AG12">
            <v>40.240157480314963</v>
          </cell>
          <cell r="AH12" t="str">
            <v>Y</v>
          </cell>
          <cell r="AI12">
            <v>46.305</v>
          </cell>
          <cell r="AJ12">
            <v>21</v>
          </cell>
          <cell r="AK12" t="str">
            <v>TBD</v>
          </cell>
          <cell r="AL12" t="str">
            <v>Y</v>
          </cell>
          <cell r="AM12">
            <v>200018403</v>
          </cell>
          <cell r="AN12">
            <v>200028403</v>
          </cell>
          <cell r="AO12">
            <v>200018303</v>
          </cell>
          <cell r="AP12">
            <v>200028303</v>
          </cell>
          <cell r="AQ12">
            <v>200018203</v>
          </cell>
          <cell r="AR12">
            <v>200028203</v>
          </cell>
          <cell r="AS12">
            <v>14.555555555555557</v>
          </cell>
          <cell r="AT12">
            <v>19.905846229389603</v>
          </cell>
          <cell r="AU12">
            <v>14.852704372847956</v>
          </cell>
          <cell r="AV12">
            <v>10.143144054640397</v>
          </cell>
          <cell r="AW12">
            <v>41190</v>
          </cell>
        </row>
        <row r="13">
          <cell r="C13" t="str">
            <v>BP Solar - BP-3215B_S</v>
          </cell>
          <cell r="D13" t="str">
            <v>Standard Claw</v>
          </cell>
          <cell r="E13">
            <v>5000005</v>
          </cell>
          <cell r="F13">
            <v>39.370078740157481</v>
          </cell>
          <cell r="G13">
            <v>65.629921259842519</v>
          </cell>
          <cell r="H13">
            <v>1.9685039370078741</v>
          </cell>
          <cell r="I13">
            <v>200010705</v>
          </cell>
          <cell r="J13">
            <v>200010805</v>
          </cell>
          <cell r="K13">
            <v>200013805</v>
          </cell>
          <cell r="L13">
            <v>200016305</v>
          </cell>
          <cell r="M13">
            <v>500012570</v>
          </cell>
          <cell r="N13">
            <v>500012670</v>
          </cell>
          <cell r="O13">
            <v>500012570</v>
          </cell>
          <cell r="P13">
            <v>500012670</v>
          </cell>
          <cell r="Q13">
            <v>11.389629250601068</v>
          </cell>
          <cell r="R13">
            <v>10.17949851730765</v>
          </cell>
          <cell r="S13">
            <v>4.8041332214318873</v>
          </cell>
          <cell r="T13">
            <v>4.8041332214318873</v>
          </cell>
          <cell r="U13">
            <v>11.389629250601068</v>
          </cell>
          <cell r="V13">
            <v>10.17949851730765</v>
          </cell>
          <cell r="W13">
            <v>30</v>
          </cell>
          <cell r="X13">
            <v>36.244094488188978</v>
          </cell>
          <cell r="Y13">
            <v>67.647834645669292</v>
          </cell>
          <cell r="Z13">
            <v>36.244094488188978</v>
          </cell>
          <cell r="AA13">
            <v>67.647834645669292</v>
          </cell>
          <cell r="AB13">
            <v>36.244094488188978</v>
          </cell>
          <cell r="AC13">
            <v>67.647834645669292</v>
          </cell>
          <cell r="AD13">
            <v>67.647834645669292</v>
          </cell>
          <cell r="AE13">
            <v>66.129921259842519</v>
          </cell>
          <cell r="AF13">
            <v>24.129921259842526</v>
          </cell>
          <cell r="AG13">
            <v>40.78346456692914</v>
          </cell>
          <cell r="AH13" t="str">
            <v>N</v>
          </cell>
          <cell r="AI13">
            <v>42.777000000000001</v>
          </cell>
          <cell r="AJ13">
            <v>19.399999999999999</v>
          </cell>
          <cell r="AK13" t="str">
            <v>TBD</v>
          </cell>
          <cell r="AL13" t="str">
            <v>Y</v>
          </cell>
          <cell r="AM13">
            <v>200018403</v>
          </cell>
          <cell r="AN13">
            <v>200028403</v>
          </cell>
          <cell r="AO13">
            <v>200018303</v>
          </cell>
          <cell r="AP13">
            <v>200028303</v>
          </cell>
          <cell r="AQ13">
            <v>200018203</v>
          </cell>
          <cell r="AR13">
            <v>200028203</v>
          </cell>
          <cell r="AS13">
            <v>14.555555555555557</v>
          </cell>
          <cell r="AT13">
            <v>19.629694545723975</v>
          </cell>
          <cell r="AU13">
            <v>14.650380100644853</v>
          </cell>
          <cell r="AV13">
            <v>10.006619078067976</v>
          </cell>
          <cell r="AW13">
            <v>40725</v>
          </cell>
        </row>
        <row r="14">
          <cell r="C14" t="str">
            <v>BP Solar - BP-3230T_S</v>
          </cell>
          <cell r="D14" t="str">
            <v>Standard Claw</v>
          </cell>
          <cell r="E14">
            <v>5000005</v>
          </cell>
          <cell r="F14">
            <v>39.370078740157481</v>
          </cell>
          <cell r="G14">
            <v>65.629921259842519</v>
          </cell>
          <cell r="H14">
            <v>1.9685039370078741</v>
          </cell>
          <cell r="I14">
            <v>200010705</v>
          </cell>
          <cell r="J14">
            <v>200010805</v>
          </cell>
          <cell r="K14">
            <v>200013805</v>
          </cell>
          <cell r="L14">
            <v>200016305</v>
          </cell>
          <cell r="M14">
            <v>500012570</v>
          </cell>
          <cell r="N14">
            <v>500012670</v>
          </cell>
          <cell r="O14">
            <v>500012570</v>
          </cell>
          <cell r="P14">
            <v>500012670</v>
          </cell>
          <cell r="Q14">
            <v>11.389629250601068</v>
          </cell>
          <cell r="R14">
            <v>10.17949851730765</v>
          </cell>
          <cell r="S14">
            <v>4.8041332214318873</v>
          </cell>
          <cell r="T14">
            <v>4.8041332214318873</v>
          </cell>
          <cell r="U14">
            <v>11.389629250601068</v>
          </cell>
          <cell r="V14">
            <v>10.17949851730765</v>
          </cell>
          <cell r="W14">
            <v>30</v>
          </cell>
          <cell r="X14">
            <v>36.244094488188978</v>
          </cell>
          <cell r="Y14">
            <v>67.647834645669292</v>
          </cell>
          <cell r="Z14">
            <v>36.244094488188978</v>
          </cell>
          <cell r="AA14">
            <v>67.647834645669292</v>
          </cell>
          <cell r="AB14">
            <v>36.244094488188978</v>
          </cell>
          <cell r="AC14">
            <v>67.647834645669292</v>
          </cell>
          <cell r="AD14">
            <v>67.647834645669292</v>
          </cell>
          <cell r="AE14">
            <v>66.129921259842519</v>
          </cell>
          <cell r="AF14">
            <v>24.129921259842526</v>
          </cell>
          <cell r="AG14">
            <v>40.78346456692914</v>
          </cell>
          <cell r="AH14" t="str">
            <v>N</v>
          </cell>
          <cell r="AI14">
            <v>42.777000000000001</v>
          </cell>
          <cell r="AJ14">
            <v>19.399999999999999</v>
          </cell>
          <cell r="AK14" t="str">
            <v>TBD</v>
          </cell>
          <cell r="AL14" t="str">
            <v>Y</v>
          </cell>
          <cell r="AM14">
            <v>200018403</v>
          </cell>
          <cell r="AN14">
            <v>200028403</v>
          </cell>
          <cell r="AO14">
            <v>200018303</v>
          </cell>
          <cell r="AP14">
            <v>200028303</v>
          </cell>
          <cell r="AQ14">
            <v>200018203</v>
          </cell>
          <cell r="AR14">
            <v>200028203</v>
          </cell>
          <cell r="AS14">
            <v>14.555555555555557</v>
          </cell>
          <cell r="AT14">
            <v>19.629694545723975</v>
          </cell>
          <cell r="AU14">
            <v>14.650380100644853</v>
          </cell>
          <cell r="AV14">
            <v>10.006619078067976</v>
          </cell>
          <cell r="AW14">
            <v>40725</v>
          </cell>
        </row>
        <row r="15">
          <cell r="C15" t="str">
            <v>BP Solar - BP-175B_S</v>
          </cell>
          <cell r="D15" t="str">
            <v>Standard Claw</v>
          </cell>
          <cell r="E15">
            <v>5000005</v>
          </cell>
          <cell r="F15">
            <v>31.102362204724411</v>
          </cell>
          <cell r="G15">
            <v>62.716535433070867</v>
          </cell>
          <cell r="H15">
            <v>1.9685039370078741</v>
          </cell>
          <cell r="I15">
            <v>200010704</v>
          </cell>
          <cell r="J15">
            <v>200010804</v>
          </cell>
          <cell r="K15">
            <v>200013804</v>
          </cell>
          <cell r="L15">
            <v>200016304</v>
          </cell>
          <cell r="M15">
            <v>500012567</v>
          </cell>
          <cell r="N15">
            <v>500012667</v>
          </cell>
          <cell r="O15">
            <v>500012567</v>
          </cell>
          <cell r="P15">
            <v>500012667</v>
          </cell>
          <cell r="Q15">
            <v>14.823372795433404</v>
          </cell>
          <cell r="R15">
            <v>13.235935159013833</v>
          </cell>
          <cell r="S15">
            <v>6.2288462502734054</v>
          </cell>
          <cell r="T15">
            <v>6.2288462502734054</v>
          </cell>
          <cell r="U15">
            <v>14.823372795433404</v>
          </cell>
          <cell r="V15">
            <v>13.235935159013833</v>
          </cell>
          <cell r="W15">
            <v>30</v>
          </cell>
          <cell r="X15">
            <v>27.976377952755907</v>
          </cell>
          <cell r="Y15">
            <v>64.734448818897633</v>
          </cell>
          <cell r="Z15">
            <v>27.976377952755907</v>
          </cell>
          <cell r="AA15">
            <v>64.734448818897633</v>
          </cell>
          <cell r="AB15">
            <v>27.976377952755907</v>
          </cell>
          <cell r="AC15">
            <v>64.734448818897633</v>
          </cell>
          <cell r="AD15">
            <v>64.734448818897633</v>
          </cell>
          <cell r="AE15">
            <v>63.216535433070874</v>
          </cell>
          <cell r="AF15">
            <v>21.21653543307087</v>
          </cell>
          <cell r="AG15">
            <v>32.515748031496067</v>
          </cell>
          <cell r="AH15" t="str">
            <v>N</v>
          </cell>
          <cell r="AI15">
            <v>33.075000000000003</v>
          </cell>
          <cell r="AJ15">
            <v>15</v>
          </cell>
          <cell r="AK15" t="str">
            <v>TBD</v>
          </cell>
          <cell r="AL15" t="str">
            <v>Y</v>
          </cell>
          <cell r="AM15">
            <v>200018402</v>
          </cell>
          <cell r="AN15">
            <v>200028402</v>
          </cell>
          <cell r="AO15">
            <v>200018302</v>
          </cell>
          <cell r="AP15">
            <v>200028302</v>
          </cell>
          <cell r="AQ15">
            <v>200018202</v>
          </cell>
          <cell r="AR15">
            <v>200028202</v>
          </cell>
          <cell r="AS15">
            <v>13.888888888888888</v>
          </cell>
          <cell r="AT15">
            <v>24.920386154850288</v>
          </cell>
          <cell r="AU15">
            <v>18.495470671690814</v>
          </cell>
          <cell r="AV15">
            <v>12.58830644691356</v>
          </cell>
          <cell r="AW15">
            <v>40725</v>
          </cell>
        </row>
        <row r="16">
          <cell r="C16" t="str">
            <v>BP Solar - BP 3280T_S</v>
          </cell>
          <cell r="D16" t="str">
            <v>Standard Claw</v>
          </cell>
          <cell r="E16">
            <v>5000005</v>
          </cell>
          <cell r="F16">
            <v>39.370078740157481</v>
          </cell>
          <cell r="G16">
            <v>78.188976377952756</v>
          </cell>
          <cell r="H16">
            <v>1.9685039370078741</v>
          </cell>
          <cell r="I16">
            <v>200010708</v>
          </cell>
          <cell r="J16">
            <v>200010808</v>
          </cell>
          <cell r="K16">
            <v>200013808</v>
          </cell>
          <cell r="L16">
            <v>200016308</v>
          </cell>
          <cell r="M16">
            <v>500012582</v>
          </cell>
          <cell r="N16">
            <v>500012682</v>
          </cell>
          <cell r="O16">
            <v>500012583</v>
          </cell>
          <cell r="P16">
            <v>500012683</v>
          </cell>
          <cell r="Q16">
            <v>11.47044277917194</v>
          </cell>
          <cell r="R16">
            <v>10.251529236755868</v>
          </cell>
          <cell r="S16">
            <v>4.837845181295938</v>
          </cell>
          <cell r="T16">
            <v>4.837845181295938</v>
          </cell>
          <cell r="U16">
            <v>11.47044277917194</v>
          </cell>
          <cell r="V16">
            <v>10.251529236755868</v>
          </cell>
          <cell r="W16">
            <v>30</v>
          </cell>
          <cell r="X16">
            <v>35.99212598425197</v>
          </cell>
          <cell r="Y16">
            <v>80.038385826771659</v>
          </cell>
          <cell r="Z16">
            <v>35.99212598425197</v>
          </cell>
          <cell r="AA16">
            <v>80.038385826771659</v>
          </cell>
          <cell r="AB16">
            <v>35.99212598425197</v>
          </cell>
          <cell r="AC16">
            <v>80.038385826771659</v>
          </cell>
          <cell r="AD16">
            <v>80.038385826771659</v>
          </cell>
          <cell r="AE16">
            <v>78.688976377952756</v>
          </cell>
          <cell r="AF16">
            <v>36.688976377952763</v>
          </cell>
          <cell r="AG16">
            <v>40.618110236220474</v>
          </cell>
          <cell r="AH16" t="str">
            <v>N</v>
          </cell>
          <cell r="AI16">
            <v>48.730500000000006</v>
          </cell>
          <cell r="AJ16">
            <v>22.1</v>
          </cell>
          <cell r="AK16" t="str">
            <v>TBD</v>
          </cell>
          <cell r="AL16" t="str">
            <v>Y</v>
          </cell>
          <cell r="AM16">
            <v>200018407</v>
          </cell>
          <cell r="AN16">
            <v>200028407</v>
          </cell>
          <cell r="AO16">
            <v>200018307</v>
          </cell>
          <cell r="AP16">
            <v>200028307</v>
          </cell>
          <cell r="AQ16">
            <v>200018207</v>
          </cell>
          <cell r="AR16">
            <v>200028207</v>
          </cell>
          <cell r="AS16">
            <v>17.222222222222221</v>
          </cell>
          <cell r="AT16">
            <v>19.712908350225494</v>
          </cell>
          <cell r="AU16">
            <v>14.711364289425134</v>
          </cell>
          <cell r="AV16">
            <v>10.047777443286531</v>
          </cell>
          <cell r="AW16">
            <v>40725</v>
          </cell>
        </row>
        <row r="17">
          <cell r="C17" t="str">
            <v>BP Solar - BP 3235T_S</v>
          </cell>
          <cell r="D17" t="str">
            <v>Standard Claw</v>
          </cell>
          <cell r="E17">
            <v>5000005</v>
          </cell>
          <cell r="F17">
            <v>39.370078740157481</v>
          </cell>
          <cell r="G17">
            <v>65.629921259842519</v>
          </cell>
          <cell r="H17">
            <v>1.9685039370078741</v>
          </cell>
          <cell r="I17">
            <v>200010705</v>
          </cell>
          <cell r="J17">
            <v>200010805</v>
          </cell>
          <cell r="K17">
            <v>200013805</v>
          </cell>
          <cell r="L17">
            <v>200016305</v>
          </cell>
          <cell r="M17">
            <v>500012570</v>
          </cell>
          <cell r="N17">
            <v>500012670</v>
          </cell>
          <cell r="O17">
            <v>500012570</v>
          </cell>
          <cell r="P17">
            <v>500012670</v>
          </cell>
          <cell r="Q17">
            <v>11.389629250601068</v>
          </cell>
          <cell r="R17">
            <v>10.17949851730765</v>
          </cell>
          <cell r="S17">
            <v>4.8041332214318873</v>
          </cell>
          <cell r="T17">
            <v>4.8041332214318873</v>
          </cell>
          <cell r="U17">
            <v>11.389629250601068</v>
          </cell>
          <cell r="V17">
            <v>10.17949851730765</v>
          </cell>
          <cell r="W17">
            <v>30</v>
          </cell>
          <cell r="X17">
            <v>36.244094488188978</v>
          </cell>
          <cell r="Y17">
            <v>67.647834645669292</v>
          </cell>
          <cell r="Z17">
            <v>36.244094488188978</v>
          </cell>
          <cell r="AA17">
            <v>67.647834645669292</v>
          </cell>
          <cell r="AB17">
            <v>36.244094488188978</v>
          </cell>
          <cell r="AC17">
            <v>67.647834645669292</v>
          </cell>
          <cell r="AD17">
            <v>67.647834645669292</v>
          </cell>
          <cell r="AE17">
            <v>66.129921259842519</v>
          </cell>
          <cell r="AF17">
            <v>24.129921259842526</v>
          </cell>
          <cell r="AG17">
            <v>40.78346456692914</v>
          </cell>
          <cell r="AH17" t="str">
            <v>N</v>
          </cell>
          <cell r="AI17">
            <v>42.777000000000001</v>
          </cell>
          <cell r="AJ17">
            <v>19.399999999999999</v>
          </cell>
          <cell r="AK17" t="str">
            <v>TBD</v>
          </cell>
          <cell r="AL17" t="str">
            <v>Y</v>
          </cell>
          <cell r="AM17">
            <v>200018403</v>
          </cell>
          <cell r="AN17">
            <v>200028403</v>
          </cell>
          <cell r="AO17">
            <v>200018303</v>
          </cell>
          <cell r="AP17">
            <v>200028303</v>
          </cell>
          <cell r="AQ17">
            <v>200018203</v>
          </cell>
          <cell r="AR17">
            <v>200028203</v>
          </cell>
          <cell r="AS17">
            <v>14.555555555555557</v>
          </cell>
          <cell r="AT17">
            <v>19.629694545723975</v>
          </cell>
          <cell r="AU17">
            <v>14.650380100644853</v>
          </cell>
          <cell r="AV17">
            <v>10.006619078067976</v>
          </cell>
          <cell r="AW17">
            <v>40725</v>
          </cell>
        </row>
        <row r="18">
          <cell r="C18" t="str">
            <v>BYD - 125-145 P6-18 Series _S</v>
          </cell>
          <cell r="D18" t="str">
            <v>Standard Claw</v>
          </cell>
          <cell r="E18">
            <v>5000005</v>
          </cell>
          <cell r="F18">
            <v>26.614173228346459</v>
          </cell>
          <cell r="G18">
            <v>58.346456692913392</v>
          </cell>
          <cell r="H18">
            <v>1.9685039370078741</v>
          </cell>
          <cell r="I18">
            <v>200010703</v>
          </cell>
          <cell r="J18">
            <v>200010803</v>
          </cell>
          <cell r="K18">
            <v>200013803</v>
          </cell>
          <cell r="L18">
            <v>200016303</v>
          </cell>
          <cell r="M18">
            <v>500012562</v>
          </cell>
          <cell r="N18">
            <v>500012662</v>
          </cell>
          <cell r="O18">
            <v>500012563</v>
          </cell>
          <cell r="P18">
            <v>500012663</v>
          </cell>
          <cell r="Q18">
            <v>18.247619837067095</v>
          </cell>
          <cell r="R18">
            <v>16.273774191368283</v>
          </cell>
          <cell r="S18">
            <v>7.6310573243773048</v>
          </cell>
          <cell r="T18">
            <v>7.6310573243773048</v>
          </cell>
          <cell r="U18">
            <v>18.247619837067095</v>
          </cell>
          <cell r="V18">
            <v>16.273774191368283</v>
          </cell>
          <cell r="W18">
            <v>30</v>
          </cell>
          <cell r="X18">
            <v>22.858267716535437</v>
          </cell>
          <cell r="Y18">
            <v>59.817913385826778</v>
          </cell>
          <cell r="Z18">
            <v>22.858267716535437</v>
          </cell>
          <cell r="AA18">
            <v>59.817913385826778</v>
          </cell>
          <cell r="AB18">
            <v>22.858267716535437</v>
          </cell>
          <cell r="AC18">
            <v>59.817913385826778</v>
          </cell>
          <cell r="AD18">
            <v>59.817913385826778</v>
          </cell>
          <cell r="AE18">
            <v>58.846456692913392</v>
          </cell>
          <cell r="AF18">
            <v>16.846456692913389</v>
          </cell>
          <cell r="AG18">
            <v>27.484251968503941</v>
          </cell>
          <cell r="AH18" t="str">
            <v>Y</v>
          </cell>
          <cell r="AI18">
            <v>28.664999999999999</v>
          </cell>
          <cell r="AJ18">
            <v>13</v>
          </cell>
          <cell r="AK18" t="str">
            <v>TBD</v>
          </cell>
          <cell r="AL18" t="str">
            <v>Y</v>
          </cell>
          <cell r="AM18">
            <v>200018401</v>
          </cell>
          <cell r="AN18">
            <v>200028401</v>
          </cell>
          <cell r="AO18">
            <v>200018301</v>
          </cell>
          <cell r="AP18">
            <v>200028301</v>
          </cell>
          <cell r="AQ18">
            <v>200018201</v>
          </cell>
          <cell r="AR18">
            <v>200028201</v>
          </cell>
          <cell r="AS18">
            <v>13.22222222222222</v>
          </cell>
          <cell r="AT18">
            <v>29.900540492346806</v>
          </cell>
          <cell r="AU18">
            <v>22.043127715837667</v>
          </cell>
          <cell r="AV18">
            <v>14.942094956886809</v>
          </cell>
          <cell r="AW18">
            <v>40966</v>
          </cell>
        </row>
        <row r="19">
          <cell r="C19" t="str">
            <v>BYD - 225-245 P6A-30 Series_S</v>
          </cell>
          <cell r="D19" t="str">
            <v>Standard Claw</v>
          </cell>
          <cell r="E19">
            <v>5000005</v>
          </cell>
          <cell r="F19">
            <v>39.055118110236222</v>
          </cell>
          <cell r="G19">
            <v>64.566929133858267</v>
          </cell>
          <cell r="H19">
            <v>1.9685039370078741</v>
          </cell>
          <cell r="I19">
            <v>200010704</v>
          </cell>
          <cell r="J19">
            <v>200010804</v>
          </cell>
          <cell r="K19">
            <v>200013804</v>
          </cell>
          <cell r="L19">
            <v>200016304</v>
          </cell>
          <cell r="M19">
            <v>500012568</v>
          </cell>
          <cell r="N19">
            <v>500012668</v>
          </cell>
          <cell r="O19">
            <v>500012569</v>
          </cell>
          <cell r="P19">
            <v>500012669</v>
          </cell>
          <cell r="Q19">
            <v>11.698754267040043</v>
          </cell>
          <cell r="R19">
            <v>10.455004839041191</v>
          </cell>
          <cell r="S19">
            <v>4.9330437584696041</v>
          </cell>
          <cell r="T19">
            <v>4.9330437584696041</v>
          </cell>
          <cell r="U19">
            <v>11.698754267040043</v>
          </cell>
          <cell r="V19">
            <v>10.455004839041191</v>
          </cell>
          <cell r="W19">
            <v>30</v>
          </cell>
          <cell r="X19">
            <v>35.2992125984252</v>
          </cell>
          <cell r="Y19">
            <v>66.038385826771659</v>
          </cell>
          <cell r="Z19">
            <v>35.2992125984252</v>
          </cell>
          <cell r="AA19">
            <v>66.038385826771659</v>
          </cell>
          <cell r="AB19">
            <v>35.2992125984252</v>
          </cell>
          <cell r="AC19">
            <v>66.038385826771659</v>
          </cell>
          <cell r="AD19">
            <v>66.038385826771659</v>
          </cell>
          <cell r="AE19">
            <v>65.066929133858267</v>
          </cell>
          <cell r="AF19">
            <v>23.066929133858274</v>
          </cell>
          <cell r="AG19">
            <v>39.925196850393704</v>
          </cell>
          <cell r="AH19" t="str">
            <v>Y</v>
          </cell>
          <cell r="AI19">
            <v>43.218000000000004</v>
          </cell>
          <cell r="AJ19">
            <v>19.600000000000001</v>
          </cell>
          <cell r="AK19" t="str">
            <v>TBD</v>
          </cell>
          <cell r="AL19" t="str">
            <v>Y</v>
          </cell>
          <cell r="AM19">
            <v>200018403</v>
          </cell>
          <cell r="AN19">
            <v>200028403</v>
          </cell>
          <cell r="AO19">
            <v>200018303</v>
          </cell>
          <cell r="AP19">
            <v>200028303</v>
          </cell>
          <cell r="AQ19">
            <v>200018203</v>
          </cell>
          <cell r="AR19">
            <v>200028203</v>
          </cell>
          <cell r="AS19">
            <v>14.555555555555557</v>
          </cell>
          <cell r="AT19">
            <v>20.069602586497279</v>
          </cell>
          <cell r="AU19">
            <v>14.97260437224279</v>
          </cell>
          <cell r="AV19">
            <v>10.224017732239455</v>
          </cell>
          <cell r="AW19">
            <v>40966</v>
          </cell>
        </row>
        <row r="20">
          <cell r="C20" t="str">
            <v>BYD - 260-300 P6-36 Series_S</v>
          </cell>
          <cell r="D20" t="str">
            <v>Standard Claw</v>
          </cell>
          <cell r="E20">
            <v>5000005</v>
          </cell>
          <cell r="F20">
            <v>39.055118110236222</v>
          </cell>
          <cell r="G20">
            <v>77.00787401574803</v>
          </cell>
          <cell r="H20">
            <v>1.9685039370078741</v>
          </cell>
          <cell r="I20">
            <v>200010707</v>
          </cell>
          <cell r="J20">
            <v>200010807</v>
          </cell>
          <cell r="K20">
            <v>200013807</v>
          </cell>
          <cell r="L20">
            <v>200016307</v>
          </cell>
          <cell r="M20">
            <v>500012581</v>
          </cell>
          <cell r="N20">
            <v>500012681</v>
          </cell>
          <cell r="O20">
            <v>500012581</v>
          </cell>
          <cell r="P20">
            <v>500012681</v>
          </cell>
          <cell r="Q20">
            <v>11.698754267040043</v>
          </cell>
          <cell r="R20">
            <v>10.455004839041191</v>
          </cell>
          <cell r="S20">
            <v>4.9330437584696041</v>
          </cell>
          <cell r="T20">
            <v>4.9330437584696041</v>
          </cell>
          <cell r="U20">
            <v>11.698754267040043</v>
          </cell>
          <cell r="V20">
            <v>10.455004839041191</v>
          </cell>
          <cell r="W20">
            <v>30</v>
          </cell>
          <cell r="X20">
            <v>35.2992125984252</v>
          </cell>
          <cell r="Y20">
            <v>78.479330708661422</v>
          </cell>
          <cell r="Z20">
            <v>35.2992125984252</v>
          </cell>
          <cell r="AA20">
            <v>78.479330708661422</v>
          </cell>
          <cell r="AB20">
            <v>35.2992125984252</v>
          </cell>
          <cell r="AC20">
            <v>78.479330708661422</v>
          </cell>
          <cell r="AD20">
            <v>78.479330708661422</v>
          </cell>
          <cell r="AE20">
            <v>77.507874015748044</v>
          </cell>
          <cell r="AF20">
            <v>35.507874015748037</v>
          </cell>
          <cell r="AG20">
            <v>39.925196850393704</v>
          </cell>
          <cell r="AH20" t="str">
            <v>Y</v>
          </cell>
          <cell r="AI20">
            <v>50.935500000000005</v>
          </cell>
          <cell r="AJ20">
            <v>23.1</v>
          </cell>
          <cell r="AK20" t="str">
            <v>TBD</v>
          </cell>
          <cell r="AL20" t="str">
            <v>Y</v>
          </cell>
          <cell r="AM20">
            <v>200018407</v>
          </cell>
          <cell r="AN20">
            <v>200028407</v>
          </cell>
          <cell r="AO20">
            <v>200018307</v>
          </cell>
          <cell r="AP20">
            <v>200028307</v>
          </cell>
          <cell r="AQ20">
            <v>200018207</v>
          </cell>
          <cell r="AR20">
            <v>200028207</v>
          </cell>
          <cell r="AS20">
            <v>17.222222222222221</v>
          </cell>
          <cell r="AT20">
            <v>20.069602586497279</v>
          </cell>
          <cell r="AU20">
            <v>14.97260437224279</v>
          </cell>
          <cell r="AV20">
            <v>10.224017732239455</v>
          </cell>
          <cell r="AW20">
            <v>40966</v>
          </cell>
        </row>
        <row r="21">
          <cell r="C21" t="str">
            <v>Canadian Solar - CS5P-M-P 215-260_S</v>
          </cell>
          <cell r="D21" t="str">
            <v>Standard Claw</v>
          </cell>
          <cell r="E21">
            <v>5000005</v>
          </cell>
          <cell r="F21">
            <v>41.771653543307089</v>
          </cell>
          <cell r="G21">
            <v>63.031496062992133</v>
          </cell>
          <cell r="H21">
            <v>1.5748031496062993</v>
          </cell>
          <cell r="I21">
            <v>200010704</v>
          </cell>
          <cell r="J21">
            <v>200010804</v>
          </cell>
          <cell r="K21">
            <v>200013804</v>
          </cell>
          <cell r="L21">
            <v>200016304</v>
          </cell>
          <cell r="M21">
            <v>500012567</v>
          </cell>
          <cell r="N21">
            <v>500012667</v>
          </cell>
          <cell r="O21">
            <v>500012567</v>
          </cell>
          <cell r="P21">
            <v>500012667</v>
          </cell>
          <cell r="Q21">
            <v>10.852232552277188</v>
          </cell>
          <cell r="R21">
            <v>9.7004006207277769</v>
          </cell>
          <cell r="S21">
            <v>4.5797556807533004</v>
          </cell>
          <cell r="T21">
            <v>4.5797556807533004</v>
          </cell>
          <cell r="U21">
            <v>10.852232552277188</v>
          </cell>
          <cell r="V21">
            <v>9.7004006207277769</v>
          </cell>
          <cell r="W21">
            <v>50</v>
          </cell>
          <cell r="X21">
            <v>38.015748031496067</v>
          </cell>
          <cell r="Y21">
            <v>64.502952755905511</v>
          </cell>
          <cell r="Z21">
            <v>38.015748031496067</v>
          </cell>
          <cell r="AA21">
            <v>64.502952755905511</v>
          </cell>
          <cell r="AB21">
            <v>38.015748031496067</v>
          </cell>
          <cell r="AC21">
            <v>64.502952755905511</v>
          </cell>
          <cell r="AD21">
            <v>64.502952755905511</v>
          </cell>
          <cell r="AE21">
            <v>63.531496062992133</v>
          </cell>
          <cell r="AF21">
            <v>21.531496062992129</v>
          </cell>
          <cell r="AG21">
            <v>42.641732283464563</v>
          </cell>
          <cell r="AH21" t="str">
            <v>Y</v>
          </cell>
          <cell r="AI21">
            <v>41.9</v>
          </cell>
          <cell r="AJ21">
            <v>19.010000000000002</v>
          </cell>
          <cell r="AK21" t="str">
            <v>TBD</v>
          </cell>
          <cell r="AL21" t="str">
            <v>Y</v>
          </cell>
          <cell r="AM21">
            <v>200018402</v>
          </cell>
          <cell r="AN21">
            <v>200028402</v>
          </cell>
          <cell r="AO21">
            <v>200018302</v>
          </cell>
          <cell r="AP21">
            <v>200028302</v>
          </cell>
          <cell r="AQ21">
            <v>200018202</v>
          </cell>
          <cell r="AR21">
            <v>200028202</v>
          </cell>
          <cell r="AS21">
            <v>13.888888888888888</v>
          </cell>
          <cell r="AT21">
            <v>18.741559925897658</v>
          </cell>
          <cell r="AU21">
            <v>13.998604031809133</v>
          </cell>
          <cell r="AV21">
            <v>9.5663500916554796</v>
          </cell>
          <cell r="AW21">
            <v>41228</v>
          </cell>
        </row>
        <row r="22">
          <cell r="C22" t="str">
            <v>Canadian Solar - CS6P-M-P 200-250_S</v>
          </cell>
          <cell r="D22" t="str">
            <v>Standard Claw</v>
          </cell>
          <cell r="E22">
            <v>5000005</v>
          </cell>
          <cell r="F22">
            <v>38.661417322834644</v>
          </cell>
          <cell r="G22">
            <v>64.488188976377955</v>
          </cell>
          <cell r="H22">
            <v>1.5748031496062993</v>
          </cell>
          <cell r="I22">
            <v>200010704</v>
          </cell>
          <cell r="J22">
            <v>200010804</v>
          </cell>
          <cell r="K22">
            <v>200013804</v>
          </cell>
          <cell r="L22">
            <v>200016304</v>
          </cell>
          <cell r="M22">
            <v>500012568</v>
          </cell>
          <cell r="N22">
            <v>500012668</v>
          </cell>
          <cell r="O22">
            <v>500012569</v>
          </cell>
          <cell r="P22">
            <v>500012669</v>
          </cell>
          <cell r="Q22">
            <v>11.832602308505239</v>
          </cell>
          <cell r="R22">
            <v>10.574276773282593</v>
          </cell>
          <cell r="S22">
            <v>4.9888240185700683</v>
          </cell>
          <cell r="T22">
            <v>4.9888240185700683</v>
          </cell>
          <cell r="U22">
            <v>11.832602308505239</v>
          </cell>
          <cell r="V22">
            <v>10.574276773282593</v>
          </cell>
          <cell r="W22">
            <v>50</v>
          </cell>
          <cell r="X22">
            <v>34.905511811023622</v>
          </cell>
          <cell r="Y22">
            <v>65.959645669291348</v>
          </cell>
          <cell r="Z22">
            <v>34.905511811023622</v>
          </cell>
          <cell r="AA22">
            <v>65.959645669291348</v>
          </cell>
          <cell r="AB22">
            <v>34.905511811023622</v>
          </cell>
          <cell r="AC22">
            <v>65.959645669291348</v>
          </cell>
          <cell r="AD22">
            <v>65.959645669291348</v>
          </cell>
          <cell r="AE22">
            <v>64.988188976377955</v>
          </cell>
          <cell r="AF22">
            <v>22.988188976377959</v>
          </cell>
          <cell r="AG22">
            <v>39.531496062992126</v>
          </cell>
          <cell r="AH22" t="str">
            <v>Y</v>
          </cell>
          <cell r="AI22">
            <v>41.9</v>
          </cell>
          <cell r="AJ22">
            <v>19.010000000000002</v>
          </cell>
          <cell r="AK22" t="str">
            <v>TBD</v>
          </cell>
          <cell r="AL22" t="str">
            <v>Y</v>
          </cell>
          <cell r="AM22">
            <v>200018403</v>
          </cell>
          <cell r="AN22">
            <v>200028403</v>
          </cell>
          <cell r="AO22">
            <v>200018303</v>
          </cell>
          <cell r="AP22">
            <v>200028303</v>
          </cell>
          <cell r="AQ22">
            <v>200018203</v>
          </cell>
          <cell r="AR22">
            <v>200028203</v>
          </cell>
          <cell r="AS22">
            <v>14.555555555555557</v>
          </cell>
          <cell r="AT22">
            <v>20.278215219832653</v>
          </cell>
          <cell r="AU22">
            <v>15.125263254990072</v>
          </cell>
          <cell r="AV22">
            <v>10.326951853502411</v>
          </cell>
          <cell r="AW22">
            <v>41317</v>
          </cell>
        </row>
        <row r="23">
          <cell r="C23" t="str">
            <v>Canadian Solar - CS6X-265-295_X</v>
          </cell>
          <cell r="D23" t="str">
            <v>Long Claw (Canadian Solar CS6X)</v>
          </cell>
          <cell r="E23">
            <v>500003905</v>
          </cell>
          <cell r="F23">
            <v>38.661417322834644</v>
          </cell>
          <cell r="G23">
            <v>76.929133858267718</v>
          </cell>
          <cell r="H23">
            <v>1.5748031496062993</v>
          </cell>
          <cell r="I23">
            <v>200010707</v>
          </cell>
          <cell r="J23">
            <v>200010807</v>
          </cell>
          <cell r="K23">
            <v>200013807</v>
          </cell>
          <cell r="L23">
            <v>200016307</v>
          </cell>
          <cell r="M23">
            <v>500012580</v>
          </cell>
          <cell r="N23">
            <v>500012680</v>
          </cell>
          <cell r="O23">
            <v>500012580</v>
          </cell>
          <cell r="P23">
            <v>500012680</v>
          </cell>
          <cell r="Q23">
            <v>11.042069752569891</v>
          </cell>
          <cell r="R23">
            <v>9.8696642249551303</v>
          </cell>
          <cell r="S23">
            <v>4.6590567311554425</v>
          </cell>
          <cell r="T23">
            <v>4.6590567311554425</v>
          </cell>
          <cell r="U23">
            <v>11.042069752569891</v>
          </cell>
          <cell r="V23">
            <v>9.8696642249551303</v>
          </cell>
          <cell r="W23">
            <v>55</v>
          </cell>
          <cell r="X23">
            <v>37.370078740157481</v>
          </cell>
          <cell r="Y23">
            <v>77.684055118110237</v>
          </cell>
          <cell r="Z23">
            <v>37.370078740157481</v>
          </cell>
          <cell r="AA23">
            <v>77.684055118110237</v>
          </cell>
          <cell r="AB23">
            <v>37.370078740157481</v>
          </cell>
          <cell r="AC23">
            <v>77.684055118110237</v>
          </cell>
          <cell r="AD23">
            <v>77.684055118110237</v>
          </cell>
          <cell r="AE23">
            <v>77.429133858267718</v>
          </cell>
          <cell r="AF23">
            <v>35.429133858267726</v>
          </cell>
          <cell r="AG23">
            <v>39.531496062992126</v>
          </cell>
          <cell r="AH23" t="str">
            <v>Y</v>
          </cell>
          <cell r="AI23">
            <v>50.7</v>
          </cell>
          <cell r="AJ23">
            <v>23</v>
          </cell>
          <cell r="AK23" t="str">
            <v>TBD</v>
          </cell>
          <cell r="AL23" t="str">
            <v>Y</v>
          </cell>
          <cell r="AM23">
            <v>200018407</v>
          </cell>
          <cell r="AN23">
            <v>200028407</v>
          </cell>
          <cell r="AO23">
            <v>200018307</v>
          </cell>
          <cell r="AP23">
            <v>200028307</v>
          </cell>
          <cell r="AQ23">
            <v>200018207</v>
          </cell>
          <cell r="AR23">
            <v>200028207</v>
          </cell>
          <cell r="AS23">
            <v>17.222222222222221</v>
          </cell>
          <cell r="AT23">
            <v>20.278215219832653</v>
          </cell>
          <cell r="AU23">
            <v>15.125263254990072</v>
          </cell>
          <cell r="AV23">
            <v>10.326951853502411</v>
          </cell>
          <cell r="AW23">
            <v>41317</v>
          </cell>
        </row>
        <row r="24">
          <cell r="C24" t="str">
            <v>Canadian Solar - CS6X-265-295_L</v>
          </cell>
          <cell r="D24" t="str">
            <v>2nd Gen Long Claw (Canadian Solar CS6X)</v>
          </cell>
          <cell r="E24">
            <v>500014405</v>
          </cell>
          <cell r="F24">
            <v>38.661417322834644</v>
          </cell>
          <cell r="G24">
            <v>76.929133858267718</v>
          </cell>
          <cell r="H24">
            <v>1.5748031496062993</v>
          </cell>
          <cell r="I24">
            <v>200010707</v>
          </cell>
          <cell r="J24">
            <v>200010807</v>
          </cell>
          <cell r="K24">
            <v>200013807</v>
          </cell>
          <cell r="L24">
            <v>200016307</v>
          </cell>
          <cell r="M24">
            <v>500012580</v>
          </cell>
          <cell r="N24">
            <v>500012680</v>
          </cell>
          <cell r="O24">
            <v>500012580</v>
          </cell>
          <cell r="P24">
            <v>500012680</v>
          </cell>
          <cell r="Q24">
            <v>10.675449853837796</v>
          </cell>
          <cell r="R24">
            <v>9.5427569184959005</v>
          </cell>
          <cell r="S24">
            <v>4.505870501453856</v>
          </cell>
          <cell r="T24">
            <v>4.505870501453856</v>
          </cell>
          <cell r="U24">
            <v>10.675449853837796</v>
          </cell>
          <cell r="V24">
            <v>9.5427569184959005</v>
          </cell>
          <cell r="W24">
            <v>55</v>
          </cell>
          <cell r="X24">
            <v>38.637795275590555</v>
          </cell>
          <cell r="Y24">
            <v>77.684055118110237</v>
          </cell>
          <cell r="Z24">
            <v>38.637795275590555</v>
          </cell>
          <cell r="AA24">
            <v>77.684055118110237</v>
          </cell>
          <cell r="AB24">
            <v>38.637795275590555</v>
          </cell>
          <cell r="AC24">
            <v>77.684055118110237</v>
          </cell>
          <cell r="AD24">
            <v>77.684055118110237</v>
          </cell>
          <cell r="AE24">
            <v>77.429133858267718</v>
          </cell>
          <cell r="AF24">
            <v>35.429133858267726</v>
          </cell>
          <cell r="AG24">
            <v>39.531496062992126</v>
          </cell>
          <cell r="AH24" t="str">
            <v>Y</v>
          </cell>
          <cell r="AI24">
            <v>50.7</v>
          </cell>
          <cell r="AJ24">
            <v>23</v>
          </cell>
          <cell r="AK24" t="str">
            <v>TBD</v>
          </cell>
          <cell r="AL24" t="str">
            <v>Y</v>
          </cell>
          <cell r="AM24">
            <v>200018407</v>
          </cell>
          <cell r="AN24">
            <v>200028407</v>
          </cell>
          <cell r="AO24">
            <v>200018307</v>
          </cell>
          <cell r="AP24">
            <v>200028307</v>
          </cell>
          <cell r="AQ24">
            <v>200018207</v>
          </cell>
          <cell r="AR24">
            <v>200028207</v>
          </cell>
          <cell r="AS24">
            <v>17.222222222222221</v>
          </cell>
          <cell r="AT24">
            <v>20.278215219832653</v>
          </cell>
          <cell r="AU24">
            <v>15.125263254990072</v>
          </cell>
          <cell r="AV24">
            <v>10.326951853502411</v>
          </cell>
          <cell r="AW24">
            <v>41317</v>
          </cell>
        </row>
        <row r="25">
          <cell r="C25" t="str">
            <v>Canadian Solar - CS6P-220-240 MX-PX_S</v>
          </cell>
          <cell r="D25" t="str">
            <v>Standard Claw</v>
          </cell>
          <cell r="E25">
            <v>5000005</v>
          </cell>
          <cell r="F25">
            <v>38.661417322834644</v>
          </cell>
          <cell r="G25">
            <v>64.488188976377955</v>
          </cell>
          <cell r="H25">
            <v>1.5748031496062993</v>
          </cell>
          <cell r="I25">
            <v>200010704</v>
          </cell>
          <cell r="J25">
            <v>200010804</v>
          </cell>
          <cell r="K25">
            <v>200013804</v>
          </cell>
          <cell r="L25">
            <v>200016304</v>
          </cell>
          <cell r="M25">
            <v>500012568</v>
          </cell>
          <cell r="N25">
            <v>500012668</v>
          </cell>
          <cell r="O25">
            <v>500012569</v>
          </cell>
          <cell r="P25">
            <v>500012669</v>
          </cell>
          <cell r="Q25">
            <v>11.832602308505239</v>
          </cell>
          <cell r="R25">
            <v>10.574276773282593</v>
          </cell>
          <cell r="S25">
            <v>4.9888240185700683</v>
          </cell>
          <cell r="T25">
            <v>4.9888240185700683</v>
          </cell>
          <cell r="U25">
            <v>11.832602308505239</v>
          </cell>
          <cell r="V25">
            <v>10.574276773282593</v>
          </cell>
          <cell r="W25">
            <v>50</v>
          </cell>
          <cell r="X25">
            <v>34.905511811023622</v>
          </cell>
          <cell r="Y25">
            <v>65.959645669291348</v>
          </cell>
          <cell r="Z25">
            <v>34.905511811023622</v>
          </cell>
          <cell r="AA25">
            <v>65.959645669291348</v>
          </cell>
          <cell r="AB25">
            <v>34.905511811023622</v>
          </cell>
          <cell r="AC25">
            <v>65.959645669291348</v>
          </cell>
          <cell r="AD25">
            <v>65.959645669291348</v>
          </cell>
          <cell r="AE25">
            <v>64.988188976377955</v>
          </cell>
          <cell r="AF25">
            <v>22.988188976377959</v>
          </cell>
          <cell r="AG25">
            <v>39.531496062992126</v>
          </cell>
          <cell r="AH25" t="str">
            <v>Y</v>
          </cell>
          <cell r="AI25">
            <v>50.7</v>
          </cell>
          <cell r="AJ25">
            <v>23</v>
          </cell>
          <cell r="AK25" t="str">
            <v>TBD</v>
          </cell>
          <cell r="AL25" t="str">
            <v>Y</v>
          </cell>
          <cell r="AM25">
            <v>200018403</v>
          </cell>
          <cell r="AN25">
            <v>200028403</v>
          </cell>
          <cell r="AO25">
            <v>200018303</v>
          </cell>
          <cell r="AP25">
            <v>200028303</v>
          </cell>
          <cell r="AQ25">
            <v>200018203</v>
          </cell>
          <cell r="AR25">
            <v>200028203</v>
          </cell>
          <cell r="AS25">
            <v>14.555555555555557</v>
          </cell>
          <cell r="AT25">
            <v>20.278215219832653</v>
          </cell>
          <cell r="AU25">
            <v>15.125263254990072</v>
          </cell>
          <cell r="AV25">
            <v>10.326951853502411</v>
          </cell>
          <cell r="AW25">
            <v>41317</v>
          </cell>
        </row>
        <row r="26">
          <cell r="C26" t="str">
            <v>Canadian Solar - CS5A-M 175-205_S</v>
          </cell>
          <cell r="D26" t="str">
            <v>Standard Claw</v>
          </cell>
          <cell r="E26">
            <v>5000005</v>
          </cell>
          <cell r="F26">
            <v>31.811023622047244</v>
          </cell>
          <cell r="G26">
            <v>62.204724409448822</v>
          </cell>
          <cell r="H26">
            <v>1.5748031496062993</v>
          </cell>
          <cell r="I26">
            <v>200010704</v>
          </cell>
          <cell r="J26">
            <v>200010804</v>
          </cell>
          <cell r="K26">
            <v>200013804</v>
          </cell>
          <cell r="L26">
            <v>200016304</v>
          </cell>
          <cell r="M26">
            <v>500012566</v>
          </cell>
          <cell r="N26">
            <v>500012666</v>
          </cell>
          <cell r="O26">
            <v>500012566</v>
          </cell>
          <cell r="P26">
            <v>500012666</v>
          </cell>
          <cell r="Q26">
            <v>14.780819563929326</v>
          </cell>
          <cell r="R26">
            <v>13.198114568872393</v>
          </cell>
          <cell r="S26">
            <v>6.211295317501194</v>
          </cell>
          <cell r="T26">
            <v>6.211295317501194</v>
          </cell>
          <cell r="U26">
            <v>14.780819563929326</v>
          </cell>
          <cell r="V26">
            <v>13.198114568872393</v>
          </cell>
          <cell r="W26">
            <v>50</v>
          </cell>
          <cell r="X26">
            <v>28.055118110236222</v>
          </cell>
          <cell r="Y26">
            <v>63.676181102362207</v>
          </cell>
          <cell r="Z26">
            <v>28.055118110236222</v>
          </cell>
          <cell r="AA26">
            <v>63.676181102362207</v>
          </cell>
          <cell r="AB26">
            <v>28.055118110236222</v>
          </cell>
          <cell r="AC26">
            <v>63.676181102362207</v>
          </cell>
          <cell r="AD26">
            <v>63.676181102362207</v>
          </cell>
          <cell r="AE26">
            <v>62.704724409448822</v>
          </cell>
          <cell r="AF26">
            <v>20.704724409448822</v>
          </cell>
          <cell r="AG26">
            <v>32.681102362204726</v>
          </cell>
          <cell r="AH26" t="str">
            <v>Y</v>
          </cell>
          <cell r="AI26">
            <v>34.839000000000006</v>
          </cell>
          <cell r="AJ26">
            <v>15.8</v>
          </cell>
          <cell r="AK26" t="str">
            <v>TBD</v>
          </cell>
          <cell r="AL26" t="str">
            <v>Y</v>
          </cell>
          <cell r="AM26">
            <v>200018402</v>
          </cell>
          <cell r="AN26">
            <v>200028402</v>
          </cell>
          <cell r="AO26">
            <v>200018302</v>
          </cell>
          <cell r="AP26">
            <v>200028302</v>
          </cell>
          <cell r="AQ26">
            <v>200018202</v>
          </cell>
          <cell r="AR26">
            <v>200028202</v>
          </cell>
          <cell r="AS26">
            <v>13.888888888888888</v>
          </cell>
          <cell r="AT26">
            <v>24.785769092963804</v>
          </cell>
          <cell r="AU26">
            <v>18.39852585667062</v>
          </cell>
          <cell r="AV26">
            <v>12.523577389800897</v>
          </cell>
          <cell r="AW26">
            <v>41123</v>
          </cell>
        </row>
        <row r="27">
          <cell r="C27" t="str">
            <v>Canadian Solar - CS5A-M 160-195_S</v>
          </cell>
          <cell r="D27" t="str">
            <v>Standard Claw</v>
          </cell>
          <cell r="E27">
            <v>5000005</v>
          </cell>
          <cell r="F27">
            <v>31.535433070866144</v>
          </cell>
          <cell r="G27">
            <v>62.795275590551185</v>
          </cell>
          <cell r="H27">
            <v>1.5748031496062993</v>
          </cell>
          <cell r="I27">
            <v>200010704</v>
          </cell>
          <cell r="J27">
            <v>200010804</v>
          </cell>
          <cell r="K27">
            <v>200013804</v>
          </cell>
          <cell r="L27">
            <v>200016304</v>
          </cell>
          <cell r="M27">
            <v>500012567</v>
          </cell>
          <cell r="N27">
            <v>500012667</v>
          </cell>
          <cell r="O27">
            <v>500012567</v>
          </cell>
          <cell r="P27">
            <v>500012667</v>
          </cell>
          <cell r="Q27">
            <v>14.930848550651039</v>
          </cell>
          <cell r="R27">
            <v>13.331450821497357</v>
          </cell>
          <cell r="S27">
            <v>6.2731614881622582</v>
          </cell>
          <cell r="T27">
            <v>6.2731614881622582</v>
          </cell>
          <cell r="U27">
            <v>14.930848550651039</v>
          </cell>
          <cell r="V27">
            <v>13.331450821497357</v>
          </cell>
          <cell r="W27">
            <v>50</v>
          </cell>
          <cell r="X27">
            <v>27.779527559055122</v>
          </cell>
          <cell r="Y27">
            <v>64.266732283464577</v>
          </cell>
          <cell r="Z27">
            <v>27.779527559055122</v>
          </cell>
          <cell r="AA27">
            <v>64.266732283464577</v>
          </cell>
          <cell r="AB27">
            <v>27.779527559055122</v>
          </cell>
          <cell r="AC27">
            <v>64.266732283464577</v>
          </cell>
          <cell r="AD27">
            <v>64.266732283464577</v>
          </cell>
          <cell r="AE27">
            <v>63.295275590551185</v>
          </cell>
          <cell r="AF27">
            <v>21.295275590551185</v>
          </cell>
          <cell r="AG27">
            <v>32.405511811023622</v>
          </cell>
          <cell r="AH27" t="str">
            <v>Y</v>
          </cell>
          <cell r="AI27">
            <v>34.177500000000002</v>
          </cell>
          <cell r="AJ27">
            <v>15.5</v>
          </cell>
          <cell r="AK27" t="str">
            <v>TBD</v>
          </cell>
          <cell r="AL27" t="str">
            <v>Y</v>
          </cell>
          <cell r="AM27">
            <v>200018402</v>
          </cell>
          <cell r="AN27">
            <v>200028402</v>
          </cell>
          <cell r="AO27">
            <v>200018302</v>
          </cell>
          <cell r="AP27">
            <v>200028302</v>
          </cell>
          <cell r="AQ27">
            <v>200018202</v>
          </cell>
          <cell r="AR27">
            <v>200028202</v>
          </cell>
          <cell r="AS27">
            <v>13.888888888888888</v>
          </cell>
          <cell r="AT27">
            <v>25.010976719740729</v>
          </cell>
          <cell r="AU27">
            <v>18.560681030599426</v>
          </cell>
          <cell r="AV27">
            <v>12.631835318037343</v>
          </cell>
          <cell r="AW27">
            <v>41123</v>
          </cell>
        </row>
        <row r="28">
          <cell r="C28" t="str">
            <v>Canadian Solar - CS5T-M 140-150_S</v>
          </cell>
          <cell r="D28" t="str">
            <v>Standard Claw</v>
          </cell>
          <cell r="E28">
            <v>5000005</v>
          </cell>
          <cell r="F28">
            <v>38.661417322834644</v>
          </cell>
          <cell r="G28">
            <v>64.488188976377955</v>
          </cell>
          <cell r="H28">
            <v>1.5748031496062993</v>
          </cell>
          <cell r="I28">
            <v>200010704</v>
          </cell>
          <cell r="J28">
            <v>200010804</v>
          </cell>
          <cell r="K28">
            <v>200013804</v>
          </cell>
          <cell r="L28">
            <v>200016304</v>
          </cell>
          <cell r="M28">
            <v>500012568</v>
          </cell>
          <cell r="N28">
            <v>500012668</v>
          </cell>
          <cell r="O28">
            <v>500012569</v>
          </cell>
          <cell r="P28">
            <v>500012669</v>
          </cell>
          <cell r="Q28">
            <v>11.832602308505239</v>
          </cell>
          <cell r="R28">
            <v>10.574276773282593</v>
          </cell>
          <cell r="S28">
            <v>4.9888240185700683</v>
          </cell>
          <cell r="T28">
            <v>4.9888240185700683</v>
          </cell>
          <cell r="U28">
            <v>11.832602308505239</v>
          </cell>
          <cell r="V28">
            <v>10.574276773282593</v>
          </cell>
          <cell r="W28">
            <v>50</v>
          </cell>
          <cell r="X28">
            <v>34.905511811023622</v>
          </cell>
          <cell r="Y28">
            <v>65.959645669291348</v>
          </cell>
          <cell r="Z28">
            <v>34.905511811023622</v>
          </cell>
          <cell r="AA28">
            <v>65.959645669291348</v>
          </cell>
          <cell r="AB28">
            <v>34.905511811023622</v>
          </cell>
          <cell r="AC28">
            <v>65.959645669291348</v>
          </cell>
          <cell r="AD28">
            <v>65.959645669291348</v>
          </cell>
          <cell r="AE28">
            <v>64.988188976377955</v>
          </cell>
          <cell r="AF28">
            <v>22.988188976377959</v>
          </cell>
          <cell r="AG28">
            <v>39.531496062992126</v>
          </cell>
          <cell r="AH28" t="str">
            <v>Y</v>
          </cell>
          <cell r="AI28">
            <v>44.1</v>
          </cell>
          <cell r="AJ28">
            <v>20</v>
          </cell>
          <cell r="AK28" t="str">
            <v>TBD</v>
          </cell>
          <cell r="AL28" t="str">
            <v>Y</v>
          </cell>
          <cell r="AM28">
            <v>200018403</v>
          </cell>
          <cell r="AN28">
            <v>200028403</v>
          </cell>
          <cell r="AO28">
            <v>200018303</v>
          </cell>
          <cell r="AP28">
            <v>200028303</v>
          </cell>
          <cell r="AQ28">
            <v>200018203</v>
          </cell>
          <cell r="AR28">
            <v>200028203</v>
          </cell>
          <cell r="AS28">
            <v>14.555555555555557</v>
          </cell>
          <cell r="AT28">
            <v>20.278215219832653</v>
          </cell>
          <cell r="AU28">
            <v>15.125263254990072</v>
          </cell>
          <cell r="AV28">
            <v>10.326951853502411</v>
          </cell>
          <cell r="AW28">
            <v>41123</v>
          </cell>
        </row>
        <row r="29">
          <cell r="C29" t="str">
            <v>Canadian Solar - CS6A-M-P 160-190_S</v>
          </cell>
          <cell r="D29" t="str">
            <v>Standard Claw</v>
          </cell>
          <cell r="E29">
            <v>5000005</v>
          </cell>
          <cell r="F29">
            <v>38.661417322834644</v>
          </cell>
          <cell r="G29">
            <v>52.125984251968504</v>
          </cell>
          <cell r="H29">
            <v>1.5748031496062993</v>
          </cell>
          <cell r="I29">
            <v>200010701</v>
          </cell>
          <cell r="J29">
            <v>200010801</v>
          </cell>
          <cell r="K29">
            <v>200013801</v>
          </cell>
          <cell r="L29">
            <v>200016301</v>
          </cell>
          <cell r="M29">
            <v>500012556</v>
          </cell>
          <cell r="N29">
            <v>500012656</v>
          </cell>
          <cell r="O29">
            <v>500012556</v>
          </cell>
          <cell r="P29">
            <v>500012656</v>
          </cell>
          <cell r="Q29">
            <v>11.832602308505239</v>
          </cell>
          <cell r="R29">
            <v>10.574276773282593</v>
          </cell>
          <cell r="S29">
            <v>4.9888240185700683</v>
          </cell>
          <cell r="T29">
            <v>4.9888240185700683</v>
          </cell>
          <cell r="U29">
            <v>11.832602308505239</v>
          </cell>
          <cell r="V29">
            <v>10.574276773282593</v>
          </cell>
          <cell r="W29">
            <v>50</v>
          </cell>
          <cell r="X29">
            <v>34.905511811023622</v>
          </cell>
          <cell r="Y29">
            <v>53.597440944881896</v>
          </cell>
          <cell r="Z29">
            <v>34.905511811023622</v>
          </cell>
          <cell r="AA29">
            <v>53.597440944881896</v>
          </cell>
          <cell r="AB29">
            <v>34.905511811023622</v>
          </cell>
          <cell r="AC29">
            <v>53.597440944881896</v>
          </cell>
          <cell r="AD29">
            <v>53.597440944881896</v>
          </cell>
          <cell r="AE29" t="str">
            <v>NA</v>
          </cell>
          <cell r="AF29" t="str">
            <v>NA</v>
          </cell>
          <cell r="AG29" t="str">
            <v>NA</v>
          </cell>
          <cell r="AH29" t="str">
            <v>Y</v>
          </cell>
          <cell r="AI29">
            <v>35.28</v>
          </cell>
          <cell r="AJ29">
            <v>16</v>
          </cell>
          <cell r="AK29" t="str">
            <v>TBD</v>
          </cell>
          <cell r="AL29" t="str">
            <v>Y</v>
          </cell>
          <cell r="AM29" t="str">
            <v>2000184TBD</v>
          </cell>
          <cell r="AN29" t="str">
            <v>2000284TBD</v>
          </cell>
          <cell r="AO29" t="str">
            <v>2000183TBD</v>
          </cell>
          <cell r="AP29" t="str">
            <v>2000283TBD</v>
          </cell>
          <cell r="AQ29" t="str">
            <v>2000182TBD</v>
          </cell>
          <cell r="AR29" t="str">
            <v>2000282TBD</v>
          </cell>
          <cell r="AS29" t="str">
            <v>TBD</v>
          </cell>
          <cell r="AT29" t="str">
            <v>NA</v>
          </cell>
          <cell r="AU29" t="str">
            <v>NA</v>
          </cell>
          <cell r="AV29" t="str">
            <v>NA</v>
          </cell>
          <cell r="AW29">
            <v>41123</v>
          </cell>
        </row>
        <row r="30">
          <cell r="C30" t="str">
            <v>CEEG -China Sunergy - SST205-250-60M  _S</v>
          </cell>
          <cell r="D30" t="str">
            <v>Standard Claw</v>
          </cell>
          <cell r="E30">
            <v>5000005</v>
          </cell>
          <cell r="F30">
            <v>38.976377952755911</v>
          </cell>
          <cell r="G30">
            <v>64.566929133858267</v>
          </cell>
          <cell r="H30">
            <v>1.9685039370078741</v>
          </cell>
          <cell r="I30">
            <v>200010704</v>
          </cell>
          <cell r="J30">
            <v>200010804</v>
          </cell>
          <cell r="K30">
            <v>200013804</v>
          </cell>
          <cell r="L30">
            <v>200016304</v>
          </cell>
          <cell r="M30">
            <v>500012568</v>
          </cell>
          <cell r="N30">
            <v>500012668</v>
          </cell>
          <cell r="O30">
            <v>500012569</v>
          </cell>
          <cell r="P30">
            <v>500012669</v>
          </cell>
          <cell r="Q30">
            <v>11.725279318414811</v>
          </cell>
          <cell r="R30">
            <v>10.478642249707667</v>
          </cell>
          <cell r="S30">
            <v>4.9440996728708777</v>
          </cell>
          <cell r="T30">
            <v>4.9440996728708777</v>
          </cell>
          <cell r="U30">
            <v>11.725279318414811</v>
          </cell>
          <cell r="V30">
            <v>10.478642249707667</v>
          </cell>
          <cell r="W30">
            <v>50</v>
          </cell>
          <cell r="X30">
            <v>35.220472440944881</v>
          </cell>
          <cell r="Y30">
            <v>66.038385826771659</v>
          </cell>
          <cell r="Z30">
            <v>35.220472440944881</v>
          </cell>
          <cell r="AA30">
            <v>66.038385826771659</v>
          </cell>
          <cell r="AB30">
            <v>35.220472440944881</v>
          </cell>
          <cell r="AC30">
            <v>66.038385826771659</v>
          </cell>
          <cell r="AD30">
            <v>66.038385826771659</v>
          </cell>
          <cell r="AE30">
            <v>65.066929133858267</v>
          </cell>
          <cell r="AF30">
            <v>23.066929133858274</v>
          </cell>
          <cell r="AG30">
            <v>39.846456692913392</v>
          </cell>
          <cell r="AH30" t="str">
            <v>N</v>
          </cell>
          <cell r="AI30">
            <v>43.659000000000006</v>
          </cell>
          <cell r="AJ30">
            <v>19.8</v>
          </cell>
          <cell r="AK30" t="str">
            <v>TBD</v>
          </cell>
          <cell r="AL30" t="str">
            <v>Y</v>
          </cell>
          <cell r="AM30">
            <v>200018403</v>
          </cell>
          <cell r="AN30">
            <v>200028403</v>
          </cell>
          <cell r="AO30">
            <v>200018303</v>
          </cell>
          <cell r="AP30">
            <v>200028303</v>
          </cell>
          <cell r="AQ30">
            <v>200018203</v>
          </cell>
          <cell r="AR30">
            <v>200028203</v>
          </cell>
          <cell r="AS30">
            <v>14.555555555555557</v>
          </cell>
          <cell r="AT30">
            <v>20.110973161651764</v>
          </cell>
          <cell r="AU30">
            <v>15.002886128524771</v>
          </cell>
          <cell r="AV30">
            <v>10.244439167746933</v>
          </cell>
          <cell r="AW30">
            <v>40617</v>
          </cell>
        </row>
        <row r="31">
          <cell r="C31" t="str">
            <v>CEEG -China Sunergy - SST255-280-72M _S</v>
          </cell>
          <cell r="D31" t="str">
            <v>Standard Claw</v>
          </cell>
          <cell r="E31">
            <v>5000005</v>
          </cell>
          <cell r="F31">
            <v>38.976377952755911</v>
          </cell>
          <cell r="G31">
            <v>77.00787401574803</v>
          </cell>
          <cell r="H31">
            <v>1.9685039370078741</v>
          </cell>
          <cell r="I31">
            <v>200010707</v>
          </cell>
          <cell r="J31">
            <v>200010807</v>
          </cell>
          <cell r="K31">
            <v>200013807</v>
          </cell>
          <cell r="L31">
            <v>200016307</v>
          </cell>
          <cell r="M31">
            <v>500012581</v>
          </cell>
          <cell r="N31">
            <v>500012681</v>
          </cell>
          <cell r="O31">
            <v>500012581</v>
          </cell>
          <cell r="P31">
            <v>500012681</v>
          </cell>
          <cell r="Q31">
            <v>11.725279318414811</v>
          </cell>
          <cell r="R31">
            <v>10.478642249707667</v>
          </cell>
          <cell r="S31">
            <v>4.9440996728708777</v>
          </cell>
          <cell r="T31">
            <v>4.9440996728708777</v>
          </cell>
          <cell r="U31">
            <v>11.725279318414811</v>
          </cell>
          <cell r="V31">
            <v>10.478642249707667</v>
          </cell>
          <cell r="W31">
            <v>50</v>
          </cell>
          <cell r="X31">
            <v>35.220472440944881</v>
          </cell>
          <cell r="Y31">
            <v>78.479330708661422</v>
          </cell>
          <cell r="Z31">
            <v>35.220472440944881</v>
          </cell>
          <cell r="AA31">
            <v>78.479330708661422</v>
          </cell>
          <cell r="AB31">
            <v>35.220472440944881</v>
          </cell>
          <cell r="AC31">
            <v>78.479330708661422</v>
          </cell>
          <cell r="AD31">
            <v>78.479330708661422</v>
          </cell>
          <cell r="AE31">
            <v>77.507874015748044</v>
          </cell>
          <cell r="AF31">
            <v>35.507874015748037</v>
          </cell>
          <cell r="AG31">
            <v>39.846456692913392</v>
          </cell>
          <cell r="AH31" t="str">
            <v>N</v>
          </cell>
          <cell r="AI31">
            <v>52.479000000000006</v>
          </cell>
          <cell r="AJ31">
            <v>23.8</v>
          </cell>
          <cell r="AK31" t="str">
            <v>TBD</v>
          </cell>
          <cell r="AL31" t="str">
            <v>Y</v>
          </cell>
          <cell r="AM31">
            <v>200018407</v>
          </cell>
          <cell r="AN31">
            <v>200028407</v>
          </cell>
          <cell r="AO31">
            <v>200018307</v>
          </cell>
          <cell r="AP31">
            <v>200028307</v>
          </cell>
          <cell r="AQ31">
            <v>200018207</v>
          </cell>
          <cell r="AR31">
            <v>200028207</v>
          </cell>
          <cell r="AS31">
            <v>17.222222222222221</v>
          </cell>
          <cell r="AT31">
            <v>20.110973161651764</v>
          </cell>
          <cell r="AU31">
            <v>15.002886128524771</v>
          </cell>
          <cell r="AV31">
            <v>10.244439167746933</v>
          </cell>
          <cell r="AW31">
            <v>40617</v>
          </cell>
        </row>
        <row r="32">
          <cell r="C32" t="str">
            <v>CEEG -China Sunergy - SST245-280-72P_S</v>
          </cell>
          <cell r="D32" t="str">
            <v>Standard Claw</v>
          </cell>
          <cell r="E32">
            <v>5000005</v>
          </cell>
          <cell r="F32">
            <v>38.976377952755911</v>
          </cell>
          <cell r="G32">
            <v>77.00787401574803</v>
          </cell>
          <cell r="H32">
            <v>1.9685039370078741</v>
          </cell>
          <cell r="I32">
            <v>200010707</v>
          </cell>
          <cell r="J32">
            <v>200010807</v>
          </cell>
          <cell r="K32">
            <v>200013807</v>
          </cell>
          <cell r="L32">
            <v>200016307</v>
          </cell>
          <cell r="M32">
            <v>500012581</v>
          </cell>
          <cell r="N32">
            <v>500012681</v>
          </cell>
          <cell r="O32">
            <v>500012581</v>
          </cell>
          <cell r="P32">
            <v>500012681</v>
          </cell>
          <cell r="Q32">
            <v>11.725279318414811</v>
          </cell>
          <cell r="R32">
            <v>10.478642249707667</v>
          </cell>
          <cell r="S32">
            <v>4.9440996728708777</v>
          </cell>
          <cell r="T32">
            <v>4.9440996728708777</v>
          </cell>
          <cell r="U32">
            <v>11.725279318414811</v>
          </cell>
          <cell r="V32">
            <v>10.478642249707667</v>
          </cell>
          <cell r="W32">
            <v>50</v>
          </cell>
          <cell r="X32">
            <v>35.220472440944881</v>
          </cell>
          <cell r="Y32">
            <v>78.479330708661422</v>
          </cell>
          <cell r="Z32">
            <v>35.220472440944881</v>
          </cell>
          <cell r="AA32">
            <v>78.479330708661422</v>
          </cell>
          <cell r="AB32">
            <v>35.220472440944881</v>
          </cell>
          <cell r="AC32">
            <v>78.479330708661422</v>
          </cell>
          <cell r="AD32">
            <v>78.479330708661422</v>
          </cell>
          <cell r="AE32">
            <v>77.507874015748044</v>
          </cell>
          <cell r="AF32">
            <v>35.507874015748037</v>
          </cell>
          <cell r="AG32">
            <v>39.846456692913392</v>
          </cell>
          <cell r="AH32" t="str">
            <v>N</v>
          </cell>
          <cell r="AI32">
            <v>52.479000000000006</v>
          </cell>
          <cell r="AJ32">
            <v>23.8</v>
          </cell>
          <cell r="AK32" t="str">
            <v>TBD</v>
          </cell>
          <cell r="AL32" t="str">
            <v>Y</v>
          </cell>
          <cell r="AM32">
            <v>200018407</v>
          </cell>
          <cell r="AN32">
            <v>200028407</v>
          </cell>
          <cell r="AO32">
            <v>200018307</v>
          </cell>
          <cell r="AP32">
            <v>200028307</v>
          </cell>
          <cell r="AQ32">
            <v>200018207</v>
          </cell>
          <cell r="AR32">
            <v>200028207</v>
          </cell>
          <cell r="AS32">
            <v>17.222222222222221</v>
          </cell>
          <cell r="AT32">
            <v>20.110973161651764</v>
          </cell>
          <cell r="AU32">
            <v>15.002886128524771</v>
          </cell>
          <cell r="AV32">
            <v>10.244439167746933</v>
          </cell>
          <cell r="AW32">
            <v>40617</v>
          </cell>
        </row>
        <row r="33">
          <cell r="C33" t="str">
            <v>CentroSolar  - BP6 235-245 BB-BW-SW_S</v>
          </cell>
          <cell r="D33" t="str">
            <v>Standard Claw</v>
          </cell>
          <cell r="E33">
            <v>5000005</v>
          </cell>
          <cell r="F33">
            <v>39.055118110236222</v>
          </cell>
          <cell r="G33">
            <v>64.960629921259851</v>
          </cell>
          <cell r="H33">
            <v>1.9685039370078741</v>
          </cell>
          <cell r="I33">
            <v>200010704</v>
          </cell>
          <cell r="J33">
            <v>200010804</v>
          </cell>
          <cell r="K33">
            <v>200013804</v>
          </cell>
          <cell r="L33">
            <v>200016304</v>
          </cell>
          <cell r="M33">
            <v>500012569</v>
          </cell>
          <cell r="N33">
            <v>500012669</v>
          </cell>
          <cell r="O33">
            <v>500012569</v>
          </cell>
          <cell r="P33">
            <v>500012669</v>
          </cell>
          <cell r="Q33">
            <v>11.698754267040043</v>
          </cell>
          <cell r="R33">
            <v>10.455004839041191</v>
          </cell>
          <cell r="S33">
            <v>4.9330437584696041</v>
          </cell>
          <cell r="T33">
            <v>4.9330437584696041</v>
          </cell>
          <cell r="U33">
            <v>11.698754267040043</v>
          </cell>
          <cell r="V33">
            <v>10.455004839041191</v>
          </cell>
          <cell r="W33">
            <v>30</v>
          </cell>
          <cell r="X33">
            <v>35.2992125984252</v>
          </cell>
          <cell r="Y33">
            <v>66.43208661417323</v>
          </cell>
          <cell r="Z33">
            <v>35.2992125984252</v>
          </cell>
          <cell r="AA33">
            <v>66.43208661417323</v>
          </cell>
          <cell r="AB33">
            <v>35.2992125984252</v>
          </cell>
          <cell r="AC33">
            <v>66.43208661417323</v>
          </cell>
          <cell r="AD33">
            <v>66.43208661417323</v>
          </cell>
          <cell r="AE33">
            <v>65.460629921259851</v>
          </cell>
          <cell r="AF33">
            <v>23.460629921259848</v>
          </cell>
          <cell r="AG33">
            <v>39.925196850393704</v>
          </cell>
          <cell r="AH33" t="str">
            <v>N</v>
          </cell>
          <cell r="AI33">
            <v>43.659000000000006</v>
          </cell>
          <cell r="AJ33">
            <v>19.8</v>
          </cell>
          <cell r="AK33" t="str">
            <v>TBD</v>
          </cell>
          <cell r="AL33" t="str">
            <v>Y</v>
          </cell>
          <cell r="AM33">
            <v>200018403</v>
          </cell>
          <cell r="AN33">
            <v>200028403</v>
          </cell>
          <cell r="AO33">
            <v>200018303</v>
          </cell>
          <cell r="AP33">
            <v>200028303</v>
          </cell>
          <cell r="AQ33">
            <v>200018203</v>
          </cell>
          <cell r="AR33">
            <v>200028203</v>
          </cell>
          <cell r="AS33">
            <v>14.555555555555557</v>
          </cell>
          <cell r="AT33">
            <v>20.069602586497279</v>
          </cell>
          <cell r="AU33">
            <v>14.97260437224279</v>
          </cell>
          <cell r="AV33">
            <v>10.224017732239455</v>
          </cell>
          <cell r="AW33">
            <v>41194</v>
          </cell>
        </row>
        <row r="34">
          <cell r="C34" t="str">
            <v>CentroSolar  - BP7 285-290 BW-SW_S</v>
          </cell>
          <cell r="D34" t="str">
            <v>Standard Claw</v>
          </cell>
          <cell r="E34">
            <v>5000005</v>
          </cell>
          <cell r="F34">
            <v>39.055118110236222</v>
          </cell>
          <cell r="G34">
            <v>77.401574803149614</v>
          </cell>
          <cell r="H34">
            <v>1.9685039370078741</v>
          </cell>
          <cell r="I34">
            <v>200010707</v>
          </cell>
          <cell r="J34">
            <v>200010807</v>
          </cell>
          <cell r="K34">
            <v>200013807</v>
          </cell>
          <cell r="L34">
            <v>200016307</v>
          </cell>
          <cell r="M34">
            <v>500012581</v>
          </cell>
          <cell r="N34">
            <v>500012681</v>
          </cell>
          <cell r="O34">
            <v>500012581</v>
          </cell>
          <cell r="P34">
            <v>500012681</v>
          </cell>
          <cell r="Q34">
            <v>11.698754267040043</v>
          </cell>
          <cell r="R34">
            <v>10.455004839041191</v>
          </cell>
          <cell r="S34">
            <v>4.9330437584696041</v>
          </cell>
          <cell r="T34">
            <v>4.9330437584696041</v>
          </cell>
          <cell r="U34">
            <v>11.698754267040043</v>
          </cell>
          <cell r="V34">
            <v>10.455004839041191</v>
          </cell>
          <cell r="W34">
            <v>30</v>
          </cell>
          <cell r="X34">
            <v>35.2992125984252</v>
          </cell>
          <cell r="Y34">
            <v>78.873031496062993</v>
          </cell>
          <cell r="Z34">
            <v>35.2992125984252</v>
          </cell>
          <cell r="AA34">
            <v>78.873031496062993</v>
          </cell>
          <cell r="AB34">
            <v>35.2992125984252</v>
          </cell>
          <cell r="AC34">
            <v>78.873031496062993</v>
          </cell>
          <cell r="AD34">
            <v>78.873031496062993</v>
          </cell>
          <cell r="AE34">
            <v>77.901574803149614</v>
          </cell>
          <cell r="AF34">
            <v>35.901574803149614</v>
          </cell>
          <cell r="AG34">
            <v>39.925196850393704</v>
          </cell>
          <cell r="AH34" t="str">
            <v>N</v>
          </cell>
          <cell r="AI34">
            <v>59.535000000000004</v>
          </cell>
          <cell r="AJ34">
            <v>27</v>
          </cell>
          <cell r="AK34" t="str">
            <v>TBD</v>
          </cell>
          <cell r="AL34" t="str">
            <v>Y</v>
          </cell>
          <cell r="AM34">
            <v>200018407</v>
          </cell>
          <cell r="AN34">
            <v>200028407</v>
          </cell>
          <cell r="AO34">
            <v>200018307</v>
          </cell>
          <cell r="AP34">
            <v>200028307</v>
          </cell>
          <cell r="AQ34">
            <v>200018207</v>
          </cell>
          <cell r="AR34">
            <v>200028207</v>
          </cell>
          <cell r="AS34">
            <v>17.222222222222221</v>
          </cell>
          <cell r="AT34">
            <v>20.069602586497279</v>
          </cell>
          <cell r="AU34">
            <v>14.97260437224279</v>
          </cell>
          <cell r="AV34">
            <v>10.224017732239455</v>
          </cell>
          <cell r="AW34">
            <v>41194</v>
          </cell>
        </row>
        <row r="35">
          <cell r="C35" t="str">
            <v>CentroSolar  - CM6 BW-SW_S</v>
          </cell>
          <cell r="D35" t="str">
            <v>Standard Claw</v>
          </cell>
          <cell r="E35">
            <v>5000005</v>
          </cell>
          <cell r="F35">
            <v>38.976377952755911</v>
          </cell>
          <cell r="G35">
            <v>65.354330708661422</v>
          </cell>
          <cell r="H35">
            <v>1.5748031496062993</v>
          </cell>
          <cell r="I35">
            <v>200010704</v>
          </cell>
          <cell r="J35">
            <v>200010804</v>
          </cell>
          <cell r="K35">
            <v>200013804</v>
          </cell>
          <cell r="L35">
            <v>200016304</v>
          </cell>
          <cell r="M35">
            <v>500012569</v>
          </cell>
          <cell r="N35">
            <v>500012669</v>
          </cell>
          <cell r="O35">
            <v>500012569</v>
          </cell>
          <cell r="P35">
            <v>500012669</v>
          </cell>
          <cell r="Q35">
            <v>11.725279318414811</v>
          </cell>
          <cell r="R35">
            <v>10.478642249707667</v>
          </cell>
          <cell r="S35">
            <v>4.9440996728708777</v>
          </cell>
          <cell r="T35">
            <v>4.9440996728708777</v>
          </cell>
          <cell r="U35">
            <v>11.725279318414811</v>
          </cell>
          <cell r="V35">
            <v>10.478642249707667</v>
          </cell>
          <cell r="W35">
            <v>30</v>
          </cell>
          <cell r="X35">
            <v>35.220472440944881</v>
          </cell>
          <cell r="Y35">
            <v>66.8257874015748</v>
          </cell>
          <cell r="Z35">
            <v>35.220472440944881</v>
          </cell>
          <cell r="AA35">
            <v>66.8257874015748</v>
          </cell>
          <cell r="AB35">
            <v>35.220472440944881</v>
          </cell>
          <cell r="AC35">
            <v>66.8257874015748</v>
          </cell>
          <cell r="AD35">
            <v>66.8257874015748</v>
          </cell>
          <cell r="AE35">
            <v>65.854330708661422</v>
          </cell>
          <cell r="AF35">
            <v>23.854330708661422</v>
          </cell>
          <cell r="AG35">
            <v>39.846456692913392</v>
          </cell>
          <cell r="AH35" t="str">
            <v>N</v>
          </cell>
          <cell r="AI35">
            <v>44.1</v>
          </cell>
          <cell r="AJ35">
            <v>20</v>
          </cell>
          <cell r="AK35" t="str">
            <v>TBD</v>
          </cell>
          <cell r="AL35" t="str">
            <v>Y</v>
          </cell>
          <cell r="AM35">
            <v>200018403</v>
          </cell>
          <cell r="AN35">
            <v>200028403</v>
          </cell>
          <cell r="AO35">
            <v>200018303</v>
          </cell>
          <cell r="AP35">
            <v>200028303</v>
          </cell>
          <cell r="AQ35">
            <v>200018203</v>
          </cell>
          <cell r="AR35">
            <v>200028203</v>
          </cell>
          <cell r="AS35">
            <v>14.555555555555557</v>
          </cell>
          <cell r="AT35">
            <v>20.110973161651764</v>
          </cell>
          <cell r="AU35">
            <v>15.002886128524771</v>
          </cell>
          <cell r="AV35">
            <v>10.244439167746933</v>
          </cell>
          <cell r="AW35">
            <v>41194</v>
          </cell>
        </row>
        <row r="36">
          <cell r="C36" t="str">
            <v>CentroSolar  - E-EB 225-245_S</v>
          </cell>
          <cell r="D36" t="str">
            <v>Standard Claw</v>
          </cell>
          <cell r="E36">
            <v>5000005</v>
          </cell>
          <cell r="F36">
            <v>39.055118110236222</v>
          </cell>
          <cell r="G36">
            <v>64.566929133858267</v>
          </cell>
          <cell r="H36">
            <v>1.5748031496062993</v>
          </cell>
          <cell r="I36">
            <v>200010704</v>
          </cell>
          <cell r="J36">
            <v>200010804</v>
          </cell>
          <cell r="K36">
            <v>200013804</v>
          </cell>
          <cell r="L36">
            <v>200016304</v>
          </cell>
          <cell r="M36">
            <v>500012568</v>
          </cell>
          <cell r="N36">
            <v>500012668</v>
          </cell>
          <cell r="O36">
            <v>500012569</v>
          </cell>
          <cell r="P36">
            <v>500012669</v>
          </cell>
          <cell r="Q36">
            <v>11.698754267040043</v>
          </cell>
          <cell r="R36">
            <v>10.455004839041191</v>
          </cell>
          <cell r="S36">
            <v>4.9330437584696041</v>
          </cell>
          <cell r="T36">
            <v>4.9330437584696041</v>
          </cell>
          <cell r="U36">
            <v>11.698754267040043</v>
          </cell>
          <cell r="V36">
            <v>10.455004839041191</v>
          </cell>
          <cell r="W36">
            <v>30</v>
          </cell>
          <cell r="X36">
            <v>35.2992125984252</v>
          </cell>
          <cell r="Y36">
            <v>66.038385826771659</v>
          </cell>
          <cell r="Z36">
            <v>35.2992125984252</v>
          </cell>
          <cell r="AA36">
            <v>66.038385826771659</v>
          </cell>
          <cell r="AB36">
            <v>35.2992125984252</v>
          </cell>
          <cell r="AC36">
            <v>66.038385826771659</v>
          </cell>
          <cell r="AD36">
            <v>66.038385826771659</v>
          </cell>
          <cell r="AE36">
            <v>65.066929133858267</v>
          </cell>
          <cell r="AF36">
            <v>23.066929133858274</v>
          </cell>
          <cell r="AG36">
            <v>39.925196850393704</v>
          </cell>
          <cell r="AH36" t="str">
            <v>N</v>
          </cell>
          <cell r="AI36">
            <v>44.563050000000004</v>
          </cell>
          <cell r="AJ36">
            <v>20.21</v>
          </cell>
          <cell r="AK36" t="str">
            <v>TBD</v>
          </cell>
          <cell r="AL36" t="str">
            <v>Y</v>
          </cell>
          <cell r="AM36">
            <v>200018403</v>
          </cell>
          <cell r="AN36">
            <v>200028403</v>
          </cell>
          <cell r="AO36">
            <v>200018303</v>
          </cell>
          <cell r="AP36">
            <v>200028303</v>
          </cell>
          <cell r="AQ36">
            <v>200018203</v>
          </cell>
          <cell r="AR36">
            <v>200028203</v>
          </cell>
          <cell r="AS36">
            <v>14.555555555555557</v>
          </cell>
          <cell r="AT36">
            <v>20.069602586497279</v>
          </cell>
          <cell r="AU36">
            <v>14.97260437224279</v>
          </cell>
          <cell r="AV36">
            <v>10.224017732239455</v>
          </cell>
          <cell r="AW36">
            <v>41194</v>
          </cell>
        </row>
        <row r="37">
          <cell r="C37" t="str">
            <v>CentroSolar  - E-EB 275-285_S</v>
          </cell>
          <cell r="D37" t="str">
            <v>Standard Claw</v>
          </cell>
          <cell r="E37">
            <v>5000005</v>
          </cell>
          <cell r="F37">
            <v>39.055118110236222</v>
          </cell>
          <cell r="G37">
            <v>77.00787401574803</v>
          </cell>
          <cell r="H37">
            <v>1.5748031496062993</v>
          </cell>
          <cell r="I37">
            <v>200010707</v>
          </cell>
          <cell r="J37">
            <v>200010807</v>
          </cell>
          <cell r="K37">
            <v>200013807</v>
          </cell>
          <cell r="L37">
            <v>200016307</v>
          </cell>
          <cell r="M37">
            <v>500012581</v>
          </cell>
          <cell r="N37">
            <v>500012681</v>
          </cell>
          <cell r="O37">
            <v>500012581</v>
          </cell>
          <cell r="P37">
            <v>500012681</v>
          </cell>
          <cell r="Q37">
            <v>11.698754267040043</v>
          </cell>
          <cell r="R37">
            <v>10.455004839041191</v>
          </cell>
          <cell r="S37">
            <v>4.9330437584696041</v>
          </cell>
          <cell r="T37">
            <v>4.9330437584696041</v>
          </cell>
          <cell r="U37">
            <v>11.698754267040043</v>
          </cell>
          <cell r="V37">
            <v>10.455004839041191</v>
          </cell>
          <cell r="W37">
            <v>30</v>
          </cell>
          <cell r="X37">
            <v>35.2992125984252</v>
          </cell>
          <cell r="Y37">
            <v>78.479330708661422</v>
          </cell>
          <cell r="Z37">
            <v>35.2992125984252</v>
          </cell>
          <cell r="AA37">
            <v>78.479330708661422</v>
          </cell>
          <cell r="AB37">
            <v>35.2992125984252</v>
          </cell>
          <cell r="AC37">
            <v>78.479330708661422</v>
          </cell>
          <cell r="AD37">
            <v>78.479330708661422</v>
          </cell>
          <cell r="AE37">
            <v>77.507874015748044</v>
          </cell>
          <cell r="AF37">
            <v>35.507874015748037</v>
          </cell>
          <cell r="AG37">
            <v>39.925196850393704</v>
          </cell>
          <cell r="AH37" t="str">
            <v>N</v>
          </cell>
          <cell r="AI37">
            <v>50.825250000000004</v>
          </cell>
          <cell r="AJ37">
            <v>23.05</v>
          </cell>
          <cell r="AK37" t="str">
            <v>TBD</v>
          </cell>
          <cell r="AL37" t="str">
            <v>Y</v>
          </cell>
          <cell r="AM37">
            <v>200018407</v>
          </cell>
          <cell r="AN37">
            <v>200028407</v>
          </cell>
          <cell r="AO37">
            <v>200018307</v>
          </cell>
          <cell r="AP37">
            <v>200028307</v>
          </cell>
          <cell r="AQ37">
            <v>200018207</v>
          </cell>
          <cell r="AR37">
            <v>200028207</v>
          </cell>
          <cell r="AS37">
            <v>17.222222222222221</v>
          </cell>
          <cell r="AT37">
            <v>20.069602586497279</v>
          </cell>
          <cell r="AU37">
            <v>14.97260437224279</v>
          </cell>
          <cell r="AV37">
            <v>10.224017732239455</v>
          </cell>
          <cell r="AW37">
            <v>41194</v>
          </cell>
        </row>
        <row r="38">
          <cell r="C38" t="str">
            <v>Chaori Solar - Sunperfect - CRM 210-255 S 156P-M-60_S</v>
          </cell>
          <cell r="D38" t="str">
            <v>Standard Claw</v>
          </cell>
          <cell r="E38">
            <v>5000005</v>
          </cell>
          <cell r="F38">
            <v>39.133858267716541</v>
          </cell>
          <cell r="G38">
            <v>64.409448818897644</v>
          </cell>
          <cell r="H38">
            <v>1.8110236220472442</v>
          </cell>
          <cell r="I38">
            <v>200010704</v>
          </cell>
          <cell r="J38">
            <v>200010804</v>
          </cell>
          <cell r="K38">
            <v>200013804</v>
          </cell>
          <cell r="L38">
            <v>200016304</v>
          </cell>
          <cell r="M38">
            <v>500012568</v>
          </cell>
          <cell r="N38">
            <v>500012668</v>
          </cell>
          <cell r="O38">
            <v>500012569</v>
          </cell>
          <cell r="P38">
            <v>500012669</v>
          </cell>
          <cell r="Q38">
            <v>11.542107859274854</v>
          </cell>
          <cell r="R38">
            <v>10.315402215766035</v>
          </cell>
          <cell r="S38">
            <v>4.8677341333410507</v>
          </cell>
          <cell r="T38">
            <v>4.8677341333410507</v>
          </cell>
          <cell r="U38">
            <v>11.542107859274854</v>
          </cell>
          <cell r="V38">
            <v>10.315402215766035</v>
          </cell>
          <cell r="W38">
            <v>30</v>
          </cell>
          <cell r="X38">
            <v>35.771653543307089</v>
          </cell>
          <cell r="Y38">
            <v>66.230511811023618</v>
          </cell>
          <cell r="Z38">
            <v>35.771653543307089</v>
          </cell>
          <cell r="AA38">
            <v>66.230511811023618</v>
          </cell>
          <cell r="AB38">
            <v>35.771653543307089</v>
          </cell>
          <cell r="AC38">
            <v>66.230511811023618</v>
          </cell>
          <cell r="AD38">
            <v>66.230511811023618</v>
          </cell>
          <cell r="AE38">
            <v>64.909448818897644</v>
          </cell>
          <cell r="AF38">
            <v>22.909448818897644</v>
          </cell>
          <cell r="AG38">
            <v>40.350393700787407</v>
          </cell>
          <cell r="AH38" t="str">
            <v>Y</v>
          </cell>
          <cell r="AI38">
            <v>41.895000000000003</v>
          </cell>
          <cell r="AJ38">
            <v>19</v>
          </cell>
          <cell r="AK38" t="str">
            <v>TBD</v>
          </cell>
          <cell r="AL38" t="str">
            <v>Y</v>
          </cell>
          <cell r="AM38">
            <v>200018403</v>
          </cell>
          <cell r="AN38">
            <v>200028403</v>
          </cell>
          <cell r="AO38">
            <v>200018303</v>
          </cell>
          <cell r="AP38">
            <v>200028303</v>
          </cell>
          <cell r="AQ38">
            <v>200018203</v>
          </cell>
          <cell r="AR38">
            <v>200028203</v>
          </cell>
          <cell r="AS38">
            <v>14.555555555555557</v>
          </cell>
          <cell r="AT38">
            <v>19.849175027736852</v>
          </cell>
          <cell r="AU38">
            <v>14.811197119599205</v>
          </cell>
          <cell r="AV38">
            <v>10.115141311657808</v>
          </cell>
          <cell r="AW38">
            <v>40966</v>
          </cell>
        </row>
        <row r="39">
          <cell r="C39" t="str">
            <v>Chaori Solar - Sunperfect - CRM 265-315 S 156P-M-72_S</v>
          </cell>
          <cell r="D39" t="str">
            <v>Standard Claw</v>
          </cell>
          <cell r="E39">
            <v>5000005</v>
          </cell>
          <cell r="F39">
            <v>39.133858267716541</v>
          </cell>
          <cell r="G39">
            <v>76.850393700787407</v>
          </cell>
          <cell r="H39">
            <v>1.8110236220472442</v>
          </cell>
          <cell r="I39">
            <v>200010707</v>
          </cell>
          <cell r="J39">
            <v>200010807</v>
          </cell>
          <cell r="K39">
            <v>200013807</v>
          </cell>
          <cell r="L39">
            <v>200016307</v>
          </cell>
          <cell r="M39">
            <v>500012581</v>
          </cell>
          <cell r="N39">
            <v>500012681</v>
          </cell>
          <cell r="O39">
            <v>500012581</v>
          </cell>
          <cell r="P39">
            <v>500012681</v>
          </cell>
          <cell r="Q39">
            <v>11.542107859274854</v>
          </cell>
          <cell r="R39">
            <v>10.315402215766035</v>
          </cell>
          <cell r="S39">
            <v>4.8677341333410507</v>
          </cell>
          <cell r="T39">
            <v>4.8677341333410507</v>
          </cell>
          <cell r="U39">
            <v>11.542107859274854</v>
          </cell>
          <cell r="V39">
            <v>10.315402215766035</v>
          </cell>
          <cell r="W39">
            <v>30</v>
          </cell>
          <cell r="X39">
            <v>35.771653543307089</v>
          </cell>
          <cell r="Y39">
            <v>78.671456692913381</v>
          </cell>
          <cell r="Z39">
            <v>35.771653543307089</v>
          </cell>
          <cell r="AA39">
            <v>78.671456692913381</v>
          </cell>
          <cell r="AB39">
            <v>35.771653543307089</v>
          </cell>
          <cell r="AC39">
            <v>78.671456692913381</v>
          </cell>
          <cell r="AD39">
            <v>78.671456692913381</v>
          </cell>
          <cell r="AE39">
            <v>77.350393700787407</v>
          </cell>
          <cell r="AF39">
            <v>35.350393700787407</v>
          </cell>
          <cell r="AG39">
            <v>40.350393700787407</v>
          </cell>
          <cell r="AH39" t="str">
            <v>Y</v>
          </cell>
          <cell r="AI39">
            <v>50.715000000000003</v>
          </cell>
          <cell r="AJ39">
            <v>23</v>
          </cell>
          <cell r="AK39" t="str">
            <v>TBD</v>
          </cell>
          <cell r="AL39" t="str">
            <v>Y</v>
          </cell>
          <cell r="AM39">
            <v>200018407</v>
          </cell>
          <cell r="AN39">
            <v>200028407</v>
          </cell>
          <cell r="AO39">
            <v>200018307</v>
          </cell>
          <cell r="AP39">
            <v>200028307</v>
          </cell>
          <cell r="AQ39">
            <v>200018207</v>
          </cell>
          <cell r="AR39">
            <v>200028207</v>
          </cell>
          <cell r="AS39">
            <v>17.222222222222221</v>
          </cell>
          <cell r="AT39">
            <v>19.849175027736852</v>
          </cell>
          <cell r="AU39">
            <v>14.811197119599205</v>
          </cell>
          <cell r="AV39">
            <v>10.115141311657808</v>
          </cell>
          <cell r="AW39">
            <v>40966</v>
          </cell>
        </row>
        <row r="40">
          <cell r="C40" t="str">
            <v>Chaori Solar - Sunperfect - CRM 180-200 S 125M-72_S</v>
          </cell>
          <cell r="D40" t="str">
            <v>Standard Claw</v>
          </cell>
          <cell r="E40">
            <v>5000005</v>
          </cell>
          <cell r="F40">
            <v>31.811023622047244</v>
          </cell>
          <cell r="G40">
            <v>62.204724409448822</v>
          </cell>
          <cell r="H40">
            <v>1.8110236220472442</v>
          </cell>
          <cell r="I40">
            <v>200010704</v>
          </cell>
          <cell r="J40">
            <v>200010804</v>
          </cell>
          <cell r="K40">
            <v>200013804</v>
          </cell>
          <cell r="L40">
            <v>200016304</v>
          </cell>
          <cell r="M40">
            <v>500012566</v>
          </cell>
          <cell r="N40">
            <v>500012666</v>
          </cell>
          <cell r="O40">
            <v>500012567</v>
          </cell>
          <cell r="P40">
            <v>500012667</v>
          </cell>
          <cell r="Q40">
            <v>14.571707491264988</v>
          </cell>
          <cell r="R40">
            <v>13.012236782891378</v>
          </cell>
          <cell r="S40">
            <v>6.1250064477535702</v>
          </cell>
          <cell r="T40">
            <v>6.1250064477535702</v>
          </cell>
          <cell r="U40">
            <v>14.571707491264988</v>
          </cell>
          <cell r="V40">
            <v>13.012236782891378</v>
          </cell>
          <cell r="W40">
            <v>30</v>
          </cell>
          <cell r="X40">
            <v>28.448818897637796</v>
          </cell>
          <cell r="Y40">
            <v>64.025787401574803</v>
          </cell>
          <cell r="Z40">
            <v>28.448818897637796</v>
          </cell>
          <cell r="AA40">
            <v>64.025787401574803</v>
          </cell>
          <cell r="AB40">
            <v>28.448818897637796</v>
          </cell>
          <cell r="AC40">
            <v>64.025787401574803</v>
          </cell>
          <cell r="AD40">
            <v>64.025787401574803</v>
          </cell>
          <cell r="AE40">
            <v>62.704724409448822</v>
          </cell>
          <cell r="AF40">
            <v>20.704724409448822</v>
          </cell>
          <cell r="AG40">
            <v>33.027559055118111</v>
          </cell>
          <cell r="AH40" t="str">
            <v>Y</v>
          </cell>
          <cell r="AI40">
            <v>33.075000000000003</v>
          </cell>
          <cell r="AJ40">
            <v>15</v>
          </cell>
          <cell r="AK40" t="str">
            <v>TBD</v>
          </cell>
          <cell r="AL40" t="str">
            <v>Y</v>
          </cell>
          <cell r="AM40">
            <v>200018402</v>
          </cell>
          <cell r="AN40">
            <v>200028402</v>
          </cell>
          <cell r="AO40">
            <v>200018302</v>
          </cell>
          <cell r="AP40">
            <v>200028302</v>
          </cell>
          <cell r="AQ40">
            <v>200018202</v>
          </cell>
          <cell r="AR40">
            <v>200028202</v>
          </cell>
          <cell r="AS40">
            <v>13.888888888888888</v>
          </cell>
          <cell r="AT40">
            <v>24.508544651474732</v>
          </cell>
          <cell r="AU40">
            <v>18.198722915144245</v>
          </cell>
          <cell r="AV40">
            <v>12.390107471990769</v>
          </cell>
          <cell r="AW40">
            <v>40966</v>
          </cell>
        </row>
        <row r="41">
          <cell r="C41" t="str">
            <v>Chaori Solar - Sunperfect - CRM 235-265 S 125M-96_S</v>
          </cell>
          <cell r="D41" t="str">
            <v>Standard Claw</v>
          </cell>
          <cell r="E41">
            <v>5000005</v>
          </cell>
          <cell r="F41">
            <v>42.519685039370081</v>
          </cell>
          <cell r="G41">
            <v>62.204724409448822</v>
          </cell>
          <cell r="H41">
            <v>1.8110236220472442</v>
          </cell>
          <cell r="I41">
            <v>200010704</v>
          </cell>
          <cell r="J41">
            <v>200010804</v>
          </cell>
          <cell r="K41">
            <v>200013804</v>
          </cell>
          <cell r="L41">
            <v>200016304</v>
          </cell>
          <cell r="M41">
            <v>500012566</v>
          </cell>
          <cell r="N41">
            <v>500012666</v>
          </cell>
          <cell r="O41">
            <v>500012567</v>
          </cell>
          <cell r="P41">
            <v>500012667</v>
          </cell>
          <cell r="Q41">
            <v>10.532139859951766</v>
          </cell>
          <cell r="R41">
            <v>9.4149482791642463</v>
          </cell>
          <cell r="S41">
            <v>4.4459489604995062</v>
          </cell>
          <cell r="T41">
            <v>4.4459489604995062</v>
          </cell>
          <cell r="U41">
            <v>10.532139859951766</v>
          </cell>
          <cell r="V41">
            <v>9.4149482791642463</v>
          </cell>
          <cell r="W41">
            <v>30</v>
          </cell>
          <cell r="X41">
            <v>39.15748031496063</v>
          </cell>
          <cell r="Y41">
            <v>64.025787401574803</v>
          </cell>
          <cell r="Z41">
            <v>39.15748031496063</v>
          </cell>
          <cell r="AA41">
            <v>64.025787401574803</v>
          </cell>
          <cell r="AB41">
            <v>39.15748031496063</v>
          </cell>
          <cell r="AC41">
            <v>64.025787401574803</v>
          </cell>
          <cell r="AD41">
            <v>64.025787401574803</v>
          </cell>
          <cell r="AE41">
            <v>62.704724409448822</v>
          </cell>
          <cell r="AF41">
            <v>20.704724409448822</v>
          </cell>
          <cell r="AG41">
            <v>43.736220472440948</v>
          </cell>
          <cell r="AH41" t="str">
            <v>Y</v>
          </cell>
          <cell r="AI41">
            <v>44.1</v>
          </cell>
          <cell r="AJ41">
            <v>20</v>
          </cell>
          <cell r="AK41" t="str">
            <v>TBD</v>
          </cell>
          <cell r="AL41" t="str">
            <v>Y</v>
          </cell>
          <cell r="AM41">
            <v>200018402</v>
          </cell>
          <cell r="AN41">
            <v>200028402</v>
          </cell>
          <cell r="AO41">
            <v>200018302</v>
          </cell>
          <cell r="AP41">
            <v>200028302</v>
          </cell>
          <cell r="AQ41">
            <v>200018202</v>
          </cell>
          <cell r="AR41">
            <v>200028202</v>
          </cell>
          <cell r="AS41">
            <v>13.888888888888888</v>
          </cell>
          <cell r="AT41">
            <v>18.255774494150902</v>
          </cell>
          <cell r="AU41">
            <v>13.641426683804378</v>
          </cell>
          <cell r="AV41">
            <v>9.3247899920590172</v>
          </cell>
          <cell r="AW41">
            <v>40966</v>
          </cell>
        </row>
        <row r="42">
          <cell r="C42" t="str">
            <v>Chint Solar-Astronergy - CHSM 6610M-MBL-P 220-260_S</v>
          </cell>
          <cell r="D42" t="str">
            <v>Standard Claw</v>
          </cell>
          <cell r="E42">
            <v>5000005</v>
          </cell>
          <cell r="F42">
            <v>39.133858267716541</v>
          </cell>
          <cell r="G42">
            <v>65.039370078740163</v>
          </cell>
          <cell r="H42">
            <v>1.7716535433070868</v>
          </cell>
          <cell r="I42">
            <v>200010704</v>
          </cell>
          <cell r="J42">
            <v>200010804</v>
          </cell>
          <cell r="K42">
            <v>200013804</v>
          </cell>
          <cell r="L42">
            <v>200016304</v>
          </cell>
          <cell r="M42">
            <v>500012569</v>
          </cell>
          <cell r="N42">
            <v>500012669</v>
          </cell>
          <cell r="O42">
            <v>500012569</v>
          </cell>
          <cell r="P42">
            <v>500012669</v>
          </cell>
          <cell r="Q42">
            <v>11.593851817515533</v>
          </cell>
          <cell r="R42">
            <v>10.361517999726759</v>
          </cell>
          <cell r="S42">
            <v>4.8893107769288457</v>
          </cell>
          <cell r="T42">
            <v>4.8893107769288457</v>
          </cell>
          <cell r="U42">
            <v>11.593851817515533</v>
          </cell>
          <cell r="V42">
            <v>10.361517999726759</v>
          </cell>
          <cell r="W42">
            <v>50</v>
          </cell>
          <cell r="X42">
            <v>35.614173228346459</v>
          </cell>
          <cell r="Y42">
            <v>66.747047244094489</v>
          </cell>
          <cell r="Z42">
            <v>35.614173228346459</v>
          </cell>
          <cell r="AA42">
            <v>66.747047244094489</v>
          </cell>
          <cell r="AB42">
            <v>35.614173228346459</v>
          </cell>
          <cell r="AC42">
            <v>66.747047244094489</v>
          </cell>
          <cell r="AD42">
            <v>66.747047244094489</v>
          </cell>
          <cell r="AE42">
            <v>65.539370078740163</v>
          </cell>
          <cell r="AF42">
            <v>23.539370078740163</v>
          </cell>
          <cell r="AG42">
            <v>40.240157480314963</v>
          </cell>
          <cell r="AH42" t="str">
            <v>N</v>
          </cell>
          <cell r="AI42">
            <v>44.1</v>
          </cell>
          <cell r="AJ42">
            <v>20</v>
          </cell>
          <cell r="AK42" t="str">
            <v>TBD</v>
          </cell>
          <cell r="AL42" t="str">
            <v>Y</v>
          </cell>
          <cell r="AM42">
            <v>200018403</v>
          </cell>
          <cell r="AN42">
            <v>200028403</v>
          </cell>
          <cell r="AO42">
            <v>200018303</v>
          </cell>
          <cell r="AP42">
            <v>200028303</v>
          </cell>
          <cell r="AQ42">
            <v>200018203</v>
          </cell>
          <cell r="AR42">
            <v>200028203</v>
          </cell>
          <cell r="AS42">
            <v>14.555555555555557</v>
          </cell>
          <cell r="AT42">
            <v>19.905846229389603</v>
          </cell>
          <cell r="AU42">
            <v>14.852704372847956</v>
          </cell>
          <cell r="AV42">
            <v>10.143144054640397</v>
          </cell>
          <cell r="AW42">
            <v>41255</v>
          </cell>
        </row>
        <row r="43">
          <cell r="C43" t="str">
            <v>Chint Solar-Astronergy - CHSM 6609M-MBL-P 195-220_S</v>
          </cell>
          <cell r="D43" t="str">
            <v>Standard Claw</v>
          </cell>
          <cell r="E43">
            <v>5000005</v>
          </cell>
          <cell r="F43">
            <v>39.133858267716541</v>
          </cell>
          <cell r="G43">
            <v>58.818897637795281</v>
          </cell>
          <cell r="H43">
            <v>1.7716535433070868</v>
          </cell>
          <cell r="I43">
            <v>200010703</v>
          </cell>
          <cell r="J43">
            <v>200010803</v>
          </cell>
          <cell r="K43">
            <v>200013803</v>
          </cell>
          <cell r="L43">
            <v>200016303</v>
          </cell>
          <cell r="M43">
            <v>500012563</v>
          </cell>
          <cell r="N43">
            <v>500012663</v>
          </cell>
          <cell r="O43">
            <v>500012563</v>
          </cell>
          <cell r="P43">
            <v>500012663</v>
          </cell>
          <cell r="Q43">
            <v>11.593851817515533</v>
          </cell>
          <cell r="R43">
            <v>10.361517999726759</v>
          </cell>
          <cell r="S43">
            <v>4.8893107769288457</v>
          </cell>
          <cell r="T43">
            <v>4.8893107769288457</v>
          </cell>
          <cell r="U43">
            <v>11.593851817515533</v>
          </cell>
          <cell r="V43">
            <v>10.361517999726759</v>
          </cell>
          <cell r="W43">
            <v>50</v>
          </cell>
          <cell r="X43">
            <v>35.614173228346459</v>
          </cell>
          <cell r="Y43">
            <v>60.526574803149607</v>
          </cell>
          <cell r="Z43">
            <v>35.614173228346459</v>
          </cell>
          <cell r="AA43">
            <v>60.526574803149607</v>
          </cell>
          <cell r="AB43">
            <v>35.614173228346459</v>
          </cell>
          <cell r="AC43">
            <v>60.526574803149607</v>
          </cell>
          <cell r="AD43">
            <v>60.526574803149607</v>
          </cell>
          <cell r="AE43">
            <v>59.318897637795281</v>
          </cell>
          <cell r="AF43">
            <v>17.318897637795281</v>
          </cell>
          <cell r="AG43">
            <v>40.240157480314963</v>
          </cell>
          <cell r="AH43" t="str">
            <v>N</v>
          </cell>
          <cell r="AI43">
            <v>39.69</v>
          </cell>
          <cell r="AJ43">
            <v>18</v>
          </cell>
          <cell r="AK43" t="str">
            <v>TBD</v>
          </cell>
          <cell r="AL43" t="str">
            <v>Y</v>
          </cell>
          <cell r="AM43">
            <v>200018401</v>
          </cell>
          <cell r="AN43">
            <v>200028401</v>
          </cell>
          <cell r="AO43">
            <v>200018301</v>
          </cell>
          <cell r="AP43">
            <v>200028301</v>
          </cell>
          <cell r="AQ43">
            <v>200018201</v>
          </cell>
          <cell r="AR43">
            <v>200028201</v>
          </cell>
          <cell r="AS43">
            <v>13.22222222222222</v>
          </cell>
          <cell r="AT43">
            <v>19.905846229389603</v>
          </cell>
          <cell r="AU43">
            <v>14.852704372847956</v>
          </cell>
          <cell r="AV43">
            <v>10.143144054640397</v>
          </cell>
          <cell r="AW43">
            <v>40808</v>
          </cell>
        </row>
        <row r="44">
          <cell r="C44" t="str">
            <v>Chint Solar-Astronergy - CHSM 5612M-MBL  175-195_S</v>
          </cell>
          <cell r="D44" t="str">
            <v>Standard Claw</v>
          </cell>
          <cell r="E44">
            <v>5000005</v>
          </cell>
          <cell r="F44">
            <v>31.811023622047244</v>
          </cell>
          <cell r="G44">
            <v>62.204724409448822</v>
          </cell>
          <cell r="H44">
            <v>1.7716535433070868</v>
          </cell>
          <cell r="I44">
            <v>200010704</v>
          </cell>
          <cell r="J44">
            <v>200010804</v>
          </cell>
          <cell r="K44">
            <v>200013804</v>
          </cell>
          <cell r="L44">
            <v>200016304</v>
          </cell>
          <cell r="M44">
            <v>500012566</v>
          </cell>
          <cell r="N44">
            <v>500012666</v>
          </cell>
          <cell r="O44">
            <v>500012567</v>
          </cell>
          <cell r="P44">
            <v>500012667</v>
          </cell>
          <cell r="Q44">
            <v>14.654630017902306</v>
          </cell>
          <cell r="R44">
            <v>13.085950308426501</v>
          </cell>
          <cell r="S44">
            <v>6.1592321259996137</v>
          </cell>
          <cell r="T44">
            <v>6.1592321259996137</v>
          </cell>
          <cell r="U44">
            <v>14.654630017902306</v>
          </cell>
          <cell r="V44">
            <v>13.085950308426501</v>
          </cell>
          <cell r="W44">
            <v>50</v>
          </cell>
          <cell r="X44">
            <v>28.291338582677167</v>
          </cell>
          <cell r="Y44">
            <v>63.912401574803155</v>
          </cell>
          <cell r="Z44">
            <v>28.291338582677167</v>
          </cell>
          <cell r="AA44">
            <v>63.912401574803155</v>
          </cell>
          <cell r="AB44">
            <v>28.291338582677167</v>
          </cell>
          <cell r="AC44">
            <v>63.912401574803155</v>
          </cell>
          <cell r="AD44">
            <v>63.912401574803155</v>
          </cell>
          <cell r="AE44">
            <v>62.704724409448822</v>
          </cell>
          <cell r="AF44">
            <v>20.704724409448822</v>
          </cell>
          <cell r="AG44">
            <v>32.917322834645674</v>
          </cell>
          <cell r="AH44" t="str">
            <v>N</v>
          </cell>
          <cell r="AI44">
            <v>34.177500000000002</v>
          </cell>
          <cell r="AJ44">
            <v>15.5</v>
          </cell>
          <cell r="AK44" t="str">
            <v>TBD</v>
          </cell>
          <cell r="AL44" t="str">
            <v>Y</v>
          </cell>
          <cell r="AM44">
            <v>200018402</v>
          </cell>
          <cell r="AN44">
            <v>200028402</v>
          </cell>
          <cell r="AO44">
            <v>200018302</v>
          </cell>
          <cell r="AP44">
            <v>200028302</v>
          </cell>
          <cell r="AQ44">
            <v>200018202</v>
          </cell>
          <cell r="AR44">
            <v>200028202</v>
          </cell>
          <cell r="AS44">
            <v>13.888888888888888</v>
          </cell>
          <cell r="AT44">
            <v>24.596053002504043</v>
          </cell>
          <cell r="AU44">
            <v>18.2618154872692</v>
          </cell>
          <cell r="AV44">
            <v>12.432263001540642</v>
          </cell>
          <cell r="AW44">
            <v>40808</v>
          </cell>
        </row>
        <row r="45">
          <cell r="C45" t="str">
            <v>Chint Solar-Astronergy - CHSM 5611M 160-175_S</v>
          </cell>
          <cell r="D45" t="str">
            <v>Standard Claw</v>
          </cell>
          <cell r="E45">
            <v>5000005</v>
          </cell>
          <cell r="F45">
            <v>31.811023622047244</v>
          </cell>
          <cell r="G45">
            <v>57.204724409448822</v>
          </cell>
          <cell r="H45">
            <v>1.7716535433070868</v>
          </cell>
          <cell r="I45">
            <v>200010702</v>
          </cell>
          <cell r="J45">
            <v>200010802</v>
          </cell>
          <cell r="K45">
            <v>200013802</v>
          </cell>
          <cell r="L45">
            <v>200016302</v>
          </cell>
          <cell r="M45">
            <v>500012561</v>
          </cell>
          <cell r="N45">
            <v>500012661</v>
          </cell>
          <cell r="O45">
            <v>500012562</v>
          </cell>
          <cell r="P45">
            <v>500012662</v>
          </cell>
          <cell r="Q45">
            <v>14.654630017902306</v>
          </cell>
          <cell r="R45">
            <v>13.085950308426501</v>
          </cell>
          <cell r="S45">
            <v>6.1592321259996137</v>
          </cell>
          <cell r="T45">
            <v>6.1592321259996137</v>
          </cell>
          <cell r="U45">
            <v>14.654630017902306</v>
          </cell>
          <cell r="V45">
            <v>13.085950308426501</v>
          </cell>
          <cell r="W45">
            <v>50</v>
          </cell>
          <cell r="X45">
            <v>28.291338582677167</v>
          </cell>
          <cell r="Y45">
            <v>58.912401574803155</v>
          </cell>
          <cell r="Z45">
            <v>28.291338582677167</v>
          </cell>
          <cell r="AA45">
            <v>58.912401574803155</v>
          </cell>
          <cell r="AB45">
            <v>28.291338582677167</v>
          </cell>
          <cell r="AC45">
            <v>58.912401574803155</v>
          </cell>
          <cell r="AD45">
            <v>58.912401574803155</v>
          </cell>
          <cell r="AE45" t="str">
            <v>NA</v>
          </cell>
          <cell r="AF45" t="str">
            <v>NA</v>
          </cell>
          <cell r="AG45" t="str">
            <v>NA</v>
          </cell>
          <cell r="AH45" t="str">
            <v>N</v>
          </cell>
          <cell r="AI45">
            <v>31.531500000000001</v>
          </cell>
          <cell r="AJ45">
            <v>14.3</v>
          </cell>
          <cell r="AK45" t="str">
            <v>TBD</v>
          </cell>
          <cell r="AL45" t="str">
            <v>Y</v>
          </cell>
          <cell r="AM45" t="str">
            <v>2000184TBD</v>
          </cell>
          <cell r="AN45" t="str">
            <v>2000284TBD</v>
          </cell>
          <cell r="AO45" t="str">
            <v>2000183TBD</v>
          </cell>
          <cell r="AP45" t="str">
            <v>2000283TBD</v>
          </cell>
          <cell r="AQ45" t="str">
            <v>2000182TBD</v>
          </cell>
          <cell r="AR45" t="str">
            <v>2000282TBD</v>
          </cell>
          <cell r="AS45" t="str">
            <v>TBD</v>
          </cell>
          <cell r="AT45" t="str">
            <v>NA</v>
          </cell>
          <cell r="AU45" t="str">
            <v>NA</v>
          </cell>
          <cell r="AV45" t="str">
            <v>NA</v>
          </cell>
          <cell r="AW45">
            <v>40808</v>
          </cell>
        </row>
        <row r="46">
          <cell r="C46" t="str">
            <v>Chint Solar-Astronergy - CHSM 6606P 130-145_S</v>
          </cell>
          <cell r="D46" t="str">
            <v>Standard Claw</v>
          </cell>
          <cell r="E46">
            <v>5000005</v>
          </cell>
          <cell r="F46">
            <v>39.133858267716541</v>
          </cell>
          <cell r="G46">
            <v>40.15748031496063</v>
          </cell>
          <cell r="H46">
            <v>1.7716535433070868</v>
          </cell>
          <cell r="I46" t="str">
            <v>2000107TBD</v>
          </cell>
          <cell r="J46" t="str">
            <v>2000108TBD</v>
          </cell>
          <cell r="K46" t="str">
            <v>2000138TBD</v>
          </cell>
          <cell r="L46" t="str">
            <v>2000163TBD</v>
          </cell>
          <cell r="M46" t="str">
            <v>5000125TBD</v>
          </cell>
          <cell r="N46" t="str">
            <v>5000126TBD</v>
          </cell>
          <cell r="O46" t="str">
            <v>5000125TBD</v>
          </cell>
          <cell r="P46" t="str">
            <v>5000126TBD</v>
          </cell>
          <cell r="Q46">
            <v>11.593851817515533</v>
          </cell>
          <cell r="R46">
            <v>10.361517999726759</v>
          </cell>
          <cell r="S46">
            <v>4.8893107769288457</v>
          </cell>
          <cell r="T46">
            <v>4.8893107769288457</v>
          </cell>
          <cell r="U46">
            <v>11.593851817515533</v>
          </cell>
          <cell r="V46">
            <v>10.361517999726759</v>
          </cell>
          <cell r="W46">
            <v>50</v>
          </cell>
          <cell r="X46">
            <v>35.614173228346459</v>
          </cell>
          <cell r="Y46">
            <v>41.865157480314963</v>
          </cell>
          <cell r="Z46">
            <v>35.614173228346459</v>
          </cell>
          <cell r="AA46">
            <v>41.865157480314963</v>
          </cell>
          <cell r="AB46">
            <v>35.614173228346459</v>
          </cell>
          <cell r="AC46">
            <v>41.865157480314963</v>
          </cell>
          <cell r="AD46">
            <v>41.865157480314963</v>
          </cell>
          <cell r="AE46" t="str">
            <v>NA</v>
          </cell>
          <cell r="AF46" t="str">
            <v>NA</v>
          </cell>
          <cell r="AG46" t="str">
            <v>NA</v>
          </cell>
          <cell r="AH46" t="str">
            <v>N</v>
          </cell>
          <cell r="AI46">
            <v>26.46</v>
          </cell>
          <cell r="AJ46">
            <v>12</v>
          </cell>
          <cell r="AK46" t="str">
            <v>TBD</v>
          </cell>
          <cell r="AL46" t="str">
            <v>Y</v>
          </cell>
          <cell r="AM46" t="str">
            <v>2000184TBD</v>
          </cell>
          <cell r="AN46" t="str">
            <v>2000284TBD</v>
          </cell>
          <cell r="AO46" t="str">
            <v>2000183TBD</v>
          </cell>
          <cell r="AP46" t="str">
            <v>2000283TBD</v>
          </cell>
          <cell r="AQ46" t="str">
            <v>2000182TBD</v>
          </cell>
          <cell r="AR46" t="str">
            <v>2000282TBD</v>
          </cell>
          <cell r="AS46" t="str">
            <v>TBD</v>
          </cell>
          <cell r="AT46" t="str">
            <v>NA</v>
          </cell>
          <cell r="AU46" t="str">
            <v>NA</v>
          </cell>
          <cell r="AV46" t="str">
            <v>NA</v>
          </cell>
          <cell r="AW46">
            <v>40808</v>
          </cell>
        </row>
        <row r="47">
          <cell r="C47" t="str">
            <v>Chint Solar-Astronergy - CHSM 6612P 245-275_S</v>
          </cell>
          <cell r="D47" t="str">
            <v>Standard Claw</v>
          </cell>
          <cell r="E47">
            <v>5000005</v>
          </cell>
          <cell r="F47">
            <v>39.133858267716541</v>
          </cell>
          <cell r="G47">
            <v>77.00787401574803</v>
          </cell>
          <cell r="H47">
            <v>1.9685039370078741</v>
          </cell>
          <cell r="I47">
            <v>200010707</v>
          </cell>
          <cell r="J47">
            <v>200010807</v>
          </cell>
          <cell r="K47">
            <v>200013807</v>
          </cell>
          <cell r="L47">
            <v>200016307</v>
          </cell>
          <cell r="M47">
            <v>500012581</v>
          </cell>
          <cell r="N47">
            <v>500012681</v>
          </cell>
          <cell r="O47">
            <v>500012581</v>
          </cell>
          <cell r="P47">
            <v>500012681</v>
          </cell>
          <cell r="Q47">
            <v>11.672349814003409</v>
          </cell>
          <cell r="R47">
            <v>10.431474434518069</v>
          </cell>
          <cell r="S47">
            <v>4.9220372409246478</v>
          </cell>
          <cell r="T47">
            <v>4.9220372409246478</v>
          </cell>
          <cell r="U47">
            <v>11.672349814003409</v>
          </cell>
          <cell r="V47">
            <v>10.431474434518069</v>
          </cell>
          <cell r="W47">
            <v>40</v>
          </cell>
          <cell r="X47">
            <v>35.377952755905511</v>
          </cell>
          <cell r="Y47">
            <v>78.479330708661422</v>
          </cell>
          <cell r="Z47">
            <v>35.377952755905511</v>
          </cell>
          <cell r="AA47">
            <v>78.479330708661422</v>
          </cell>
          <cell r="AB47">
            <v>35.377952755905511</v>
          </cell>
          <cell r="AC47">
            <v>78.479330708661422</v>
          </cell>
          <cell r="AD47">
            <v>78.479330708661422</v>
          </cell>
          <cell r="AE47">
            <v>77.507874015748044</v>
          </cell>
          <cell r="AF47">
            <v>35.507874015748037</v>
          </cell>
          <cell r="AG47">
            <v>40.003937007874022</v>
          </cell>
          <cell r="AH47" t="str">
            <v>N</v>
          </cell>
          <cell r="AI47">
            <v>51.817500000000003</v>
          </cell>
          <cell r="AJ47">
            <v>23.5</v>
          </cell>
          <cell r="AK47" t="str">
            <v>TBD</v>
          </cell>
          <cell r="AL47" t="str">
            <v>Y</v>
          </cell>
          <cell r="AM47">
            <v>200018407</v>
          </cell>
          <cell r="AN47">
            <v>200028407</v>
          </cell>
          <cell r="AO47">
            <v>200018307</v>
          </cell>
          <cell r="AP47">
            <v>200028307</v>
          </cell>
          <cell r="AQ47">
            <v>200018207</v>
          </cell>
          <cell r="AR47">
            <v>200028207</v>
          </cell>
          <cell r="AS47">
            <v>17.222222222222221</v>
          </cell>
          <cell r="AT47">
            <v>20.028405717951866</v>
          </cell>
          <cell r="AU47">
            <v>14.942446078078534</v>
          </cell>
          <cell r="AV47">
            <v>10.203677993133164</v>
          </cell>
          <cell r="AW47">
            <v>40808</v>
          </cell>
        </row>
        <row r="48">
          <cell r="C48" t="str">
            <v>Chint Solar-Astronergy - CHSM 6611P 265-295_S</v>
          </cell>
          <cell r="D48" t="str">
            <v>Standard Claw</v>
          </cell>
          <cell r="E48">
            <v>5000005</v>
          </cell>
          <cell r="F48">
            <v>39.133858267716541</v>
          </cell>
          <cell r="G48">
            <v>70.787401574803155</v>
          </cell>
          <cell r="H48">
            <v>1.9685039370078741</v>
          </cell>
          <cell r="I48">
            <v>200010706</v>
          </cell>
          <cell r="J48">
            <v>200010806</v>
          </cell>
          <cell r="K48">
            <v>200013806</v>
          </cell>
          <cell r="L48">
            <v>200016306</v>
          </cell>
          <cell r="M48">
            <v>500012574</v>
          </cell>
          <cell r="N48">
            <v>500012674</v>
          </cell>
          <cell r="O48">
            <v>500012575</v>
          </cell>
          <cell r="P48">
            <v>500012675</v>
          </cell>
          <cell r="Q48">
            <v>11.672349814003409</v>
          </cell>
          <cell r="R48">
            <v>10.431474434518069</v>
          </cell>
          <cell r="S48">
            <v>4.9220372409246478</v>
          </cell>
          <cell r="T48">
            <v>4.9220372409246478</v>
          </cell>
          <cell r="U48">
            <v>11.672349814003409</v>
          </cell>
          <cell r="V48">
            <v>10.431474434518069</v>
          </cell>
          <cell r="W48">
            <v>40</v>
          </cell>
          <cell r="X48">
            <v>35.377952755905511</v>
          </cell>
          <cell r="Y48">
            <v>72.258858267716533</v>
          </cell>
          <cell r="Z48">
            <v>35.377952755905511</v>
          </cell>
          <cell r="AA48">
            <v>72.258858267716533</v>
          </cell>
          <cell r="AB48">
            <v>35.377952755905511</v>
          </cell>
          <cell r="AC48">
            <v>72.258858267716533</v>
          </cell>
          <cell r="AD48">
            <v>72.258858267716533</v>
          </cell>
          <cell r="AE48">
            <v>71.287401574803155</v>
          </cell>
          <cell r="AF48">
            <v>29.287401574803155</v>
          </cell>
          <cell r="AG48">
            <v>40.003937007874022</v>
          </cell>
          <cell r="AH48" t="str">
            <v>N</v>
          </cell>
          <cell r="AI48">
            <v>48.510000000000005</v>
          </cell>
          <cell r="AJ48">
            <v>22</v>
          </cell>
          <cell r="AK48" t="str">
            <v>TBD</v>
          </cell>
          <cell r="AL48" t="str">
            <v>Y</v>
          </cell>
          <cell r="AM48">
            <v>200018405</v>
          </cell>
          <cell r="AN48">
            <v>200028405</v>
          </cell>
          <cell r="AO48">
            <v>200018305</v>
          </cell>
          <cell r="AP48">
            <v>200028305</v>
          </cell>
          <cell r="AQ48">
            <v>200018205</v>
          </cell>
          <cell r="AR48">
            <v>200028205</v>
          </cell>
          <cell r="AS48">
            <v>15.888888888888888</v>
          </cell>
          <cell r="AT48">
            <v>20.028405717951866</v>
          </cell>
          <cell r="AU48">
            <v>14.942446078078534</v>
          </cell>
          <cell r="AV48">
            <v>10.203677993133164</v>
          </cell>
          <cell r="AW48">
            <v>40808</v>
          </cell>
        </row>
        <row r="49">
          <cell r="C49" t="str">
            <v>CNPV - CNPV-160-210M_S</v>
          </cell>
          <cell r="D49" t="str">
            <v>Standard Claw</v>
          </cell>
          <cell r="E49">
            <v>5000005</v>
          </cell>
          <cell r="F49">
            <v>31.850393700787404</v>
          </cell>
          <cell r="G49">
            <v>62.244094488188978</v>
          </cell>
          <cell r="H49">
            <v>1.5748031496062993</v>
          </cell>
          <cell r="I49">
            <v>200010704</v>
          </cell>
          <cell r="J49">
            <v>200010804</v>
          </cell>
          <cell r="K49">
            <v>200013804</v>
          </cell>
          <cell r="L49">
            <v>200016304</v>
          </cell>
          <cell r="M49">
            <v>500012566</v>
          </cell>
          <cell r="N49">
            <v>500012666</v>
          </cell>
          <cell r="O49">
            <v>500012566</v>
          </cell>
          <cell r="P49">
            <v>500012666</v>
          </cell>
          <cell r="Q49">
            <v>14.974281783352525</v>
          </cell>
          <cell r="R49">
            <v>13.370047881683151</v>
          </cell>
          <cell r="S49">
            <v>6.2910650043569554</v>
          </cell>
          <cell r="T49">
            <v>6.2910650043569554</v>
          </cell>
          <cell r="U49">
            <v>14.974281783352525</v>
          </cell>
          <cell r="V49">
            <v>13.370047881683151</v>
          </cell>
          <cell r="W49">
            <v>30</v>
          </cell>
          <cell r="X49">
            <v>27.700787401574807</v>
          </cell>
          <cell r="Y49">
            <v>63.321850393700792</v>
          </cell>
          <cell r="Z49">
            <v>27.700787401574807</v>
          </cell>
          <cell r="AA49">
            <v>63.321850393700792</v>
          </cell>
          <cell r="AB49">
            <v>27.700787401574807</v>
          </cell>
          <cell r="AC49">
            <v>63.321850393700792</v>
          </cell>
          <cell r="AD49">
            <v>63.321850393700792</v>
          </cell>
          <cell r="AE49">
            <v>62.744094488188985</v>
          </cell>
          <cell r="AF49">
            <v>20.744094488188981</v>
          </cell>
          <cell r="AG49">
            <v>32.326771653543311</v>
          </cell>
          <cell r="AH49" t="str">
            <v>Y</v>
          </cell>
          <cell r="AI49">
            <v>34.177500000000002</v>
          </cell>
          <cell r="AJ49">
            <v>15.5</v>
          </cell>
          <cell r="AK49" t="str">
            <v>TBD</v>
          </cell>
          <cell r="AL49" t="str">
            <v>Y</v>
          </cell>
          <cell r="AM49">
            <v>200018402</v>
          </cell>
          <cell r="AN49">
            <v>200028402</v>
          </cell>
          <cell r="AO49">
            <v>200018302</v>
          </cell>
          <cell r="AP49">
            <v>200028302</v>
          </cell>
          <cell r="AQ49">
            <v>200018202</v>
          </cell>
          <cell r="AR49">
            <v>200028202</v>
          </cell>
          <cell r="AS49">
            <v>13.888888888888888</v>
          </cell>
          <cell r="AT49">
            <v>25.076103795423887</v>
          </cell>
          <cell r="AU49">
            <v>18.607547533034456</v>
          </cell>
          <cell r="AV49">
            <v>12.663113701532669</v>
          </cell>
          <cell r="AW49">
            <v>40862</v>
          </cell>
        </row>
        <row r="50">
          <cell r="C50" t="str">
            <v>CNPV - CNPV-190-230M-54_S</v>
          </cell>
          <cell r="D50" t="str">
            <v>Standard Claw</v>
          </cell>
          <cell r="E50">
            <v>5000005</v>
          </cell>
          <cell r="F50">
            <v>39.055118110236222</v>
          </cell>
          <cell r="G50">
            <v>58.346456692913392</v>
          </cell>
          <cell r="H50">
            <v>1.8110236220472442</v>
          </cell>
          <cell r="I50">
            <v>200010703</v>
          </cell>
          <cell r="J50">
            <v>200010803</v>
          </cell>
          <cell r="K50">
            <v>200013803</v>
          </cell>
          <cell r="L50">
            <v>200016303</v>
          </cell>
          <cell r="M50">
            <v>500012562</v>
          </cell>
          <cell r="N50">
            <v>500012662</v>
          </cell>
          <cell r="O50">
            <v>500012562</v>
          </cell>
          <cell r="P50">
            <v>500012662</v>
          </cell>
          <cell r="Q50">
            <v>11.778694560772582</v>
          </cell>
          <cell r="R50">
            <v>10.526241039665905</v>
          </cell>
          <cell r="S50">
            <v>4.9663610300746015</v>
          </cell>
          <cell r="T50">
            <v>4.9663610300746015</v>
          </cell>
          <cell r="U50">
            <v>11.778694560772582</v>
          </cell>
          <cell r="V50">
            <v>10.526241039665905</v>
          </cell>
          <cell r="W50">
            <v>30</v>
          </cell>
          <cell r="X50">
            <v>35.062992125984252</v>
          </cell>
          <cell r="Y50">
            <v>59.58169291338583</v>
          </cell>
          <cell r="Z50">
            <v>35.062992125984252</v>
          </cell>
          <cell r="AA50">
            <v>59.58169291338583</v>
          </cell>
          <cell r="AB50">
            <v>35.062992125984252</v>
          </cell>
          <cell r="AC50">
            <v>59.58169291338583</v>
          </cell>
          <cell r="AD50">
            <v>59.58169291338583</v>
          </cell>
          <cell r="AE50">
            <v>58.846456692913392</v>
          </cell>
          <cell r="AF50">
            <v>16.846456692913389</v>
          </cell>
          <cell r="AG50">
            <v>39.688976377952756</v>
          </cell>
          <cell r="AH50" t="str">
            <v>Y</v>
          </cell>
          <cell r="AI50">
            <v>39.69</v>
          </cell>
          <cell r="AJ50">
            <v>18</v>
          </cell>
          <cell r="AK50" t="str">
            <v>TBD</v>
          </cell>
          <cell r="AL50" t="str">
            <v>Y</v>
          </cell>
          <cell r="AM50">
            <v>200018401</v>
          </cell>
          <cell r="AN50">
            <v>200028401</v>
          </cell>
          <cell r="AO50">
            <v>200018301</v>
          </cell>
          <cell r="AP50">
            <v>200028301</v>
          </cell>
          <cell r="AQ50">
            <v>200018201</v>
          </cell>
          <cell r="AR50">
            <v>200028201</v>
          </cell>
          <cell r="AS50">
            <v>13.22222222222222</v>
          </cell>
          <cell r="AT50">
            <v>20.19423994993074</v>
          </cell>
          <cell r="AU50">
            <v>15.063823110425394</v>
          </cell>
          <cell r="AV50">
            <v>10.285529115768481</v>
          </cell>
          <cell r="AW50">
            <v>40862</v>
          </cell>
        </row>
        <row r="51">
          <cell r="C51" t="str">
            <v>CNPV - CNPV-200-255M_S</v>
          </cell>
          <cell r="D51" t="str">
            <v>Standard Claw</v>
          </cell>
          <cell r="E51">
            <v>5000005</v>
          </cell>
          <cell r="F51">
            <v>39.055118110236222</v>
          </cell>
          <cell r="G51">
            <v>64.960629921259851</v>
          </cell>
          <cell r="H51">
            <v>1.8110236220472442</v>
          </cell>
          <cell r="I51">
            <v>200010704</v>
          </cell>
          <cell r="J51">
            <v>200010804</v>
          </cell>
          <cell r="K51">
            <v>200013804</v>
          </cell>
          <cell r="L51">
            <v>200016304</v>
          </cell>
          <cell r="M51">
            <v>500012568</v>
          </cell>
          <cell r="N51">
            <v>500012668</v>
          </cell>
          <cell r="O51">
            <v>500012569</v>
          </cell>
          <cell r="P51">
            <v>500012669</v>
          </cell>
          <cell r="Q51">
            <v>11.778694560772582</v>
          </cell>
          <cell r="R51">
            <v>10.526241039665905</v>
          </cell>
          <cell r="S51">
            <v>4.9663610300746015</v>
          </cell>
          <cell r="T51">
            <v>4.9663610300746015</v>
          </cell>
          <cell r="U51">
            <v>11.778694560772582</v>
          </cell>
          <cell r="V51">
            <v>10.526241039665905</v>
          </cell>
          <cell r="W51">
            <v>30</v>
          </cell>
          <cell r="X51">
            <v>35.062992125984252</v>
          </cell>
          <cell r="Y51">
            <v>66.195866141732282</v>
          </cell>
          <cell r="Z51">
            <v>35.062992125984252</v>
          </cell>
          <cell r="AA51">
            <v>66.195866141732282</v>
          </cell>
          <cell r="AB51">
            <v>35.062992125984252</v>
          </cell>
          <cell r="AC51">
            <v>66.195866141732282</v>
          </cell>
          <cell r="AD51">
            <v>66.195866141732282</v>
          </cell>
          <cell r="AE51">
            <v>65.460629921259851</v>
          </cell>
          <cell r="AF51">
            <v>23.460629921259848</v>
          </cell>
          <cell r="AG51">
            <v>39.688976377952756</v>
          </cell>
          <cell r="AH51" t="str">
            <v>Y</v>
          </cell>
          <cell r="AI51">
            <v>44.1</v>
          </cell>
          <cell r="AJ51">
            <v>20</v>
          </cell>
          <cell r="AK51" t="str">
            <v>TBD</v>
          </cell>
          <cell r="AL51" t="str">
            <v>Y</v>
          </cell>
          <cell r="AM51">
            <v>200018403</v>
          </cell>
          <cell r="AN51">
            <v>200028403</v>
          </cell>
          <cell r="AO51">
            <v>200018303</v>
          </cell>
          <cell r="AP51">
            <v>200028303</v>
          </cell>
          <cell r="AQ51">
            <v>200018203</v>
          </cell>
          <cell r="AR51">
            <v>200028203</v>
          </cell>
          <cell r="AS51">
            <v>14.555555555555557</v>
          </cell>
          <cell r="AT51">
            <v>20.19423994993074</v>
          </cell>
          <cell r="AU51">
            <v>15.063823110425394</v>
          </cell>
          <cell r="AV51">
            <v>10.285529115768481</v>
          </cell>
          <cell r="AW51">
            <v>40862</v>
          </cell>
        </row>
        <row r="52">
          <cell r="C52" t="str">
            <v>CNPV - CNPV-255-320M_S</v>
          </cell>
          <cell r="D52" t="str">
            <v>Standard Claw</v>
          </cell>
          <cell r="E52">
            <v>5000005</v>
          </cell>
          <cell r="F52">
            <v>39.055118110236222</v>
          </cell>
          <cell r="G52">
            <v>77.362204724409452</v>
          </cell>
          <cell r="H52">
            <v>1.8110236220472442</v>
          </cell>
          <cell r="I52">
            <v>200010707</v>
          </cell>
          <cell r="J52">
            <v>200010807</v>
          </cell>
          <cell r="K52">
            <v>200013807</v>
          </cell>
          <cell r="L52">
            <v>200016307</v>
          </cell>
          <cell r="M52">
            <v>500012581</v>
          </cell>
          <cell r="N52">
            <v>500012681</v>
          </cell>
          <cell r="O52">
            <v>500012581</v>
          </cell>
          <cell r="P52">
            <v>500012681</v>
          </cell>
          <cell r="Q52">
            <v>11.778694560772582</v>
          </cell>
          <cell r="R52">
            <v>10.526241039665905</v>
          </cell>
          <cell r="S52">
            <v>4.9663610300746015</v>
          </cell>
          <cell r="T52">
            <v>4.9663610300746015</v>
          </cell>
          <cell r="U52">
            <v>11.778694560772582</v>
          </cell>
          <cell r="V52">
            <v>10.526241039665905</v>
          </cell>
          <cell r="W52">
            <v>30</v>
          </cell>
          <cell r="X52">
            <v>35.062992125984252</v>
          </cell>
          <cell r="Y52">
            <v>78.597440944881896</v>
          </cell>
          <cell r="Z52">
            <v>35.062992125984252</v>
          </cell>
          <cell r="AA52">
            <v>78.597440944881896</v>
          </cell>
          <cell r="AB52">
            <v>35.062992125984252</v>
          </cell>
          <cell r="AC52">
            <v>78.597440944881896</v>
          </cell>
          <cell r="AD52">
            <v>78.597440944881896</v>
          </cell>
          <cell r="AE52">
            <v>77.862204724409452</v>
          </cell>
          <cell r="AF52">
            <v>35.862204724409452</v>
          </cell>
          <cell r="AG52">
            <v>39.688976377952756</v>
          </cell>
          <cell r="AH52" t="str">
            <v>Y</v>
          </cell>
          <cell r="AI52">
            <v>55.125</v>
          </cell>
          <cell r="AJ52">
            <v>25</v>
          </cell>
          <cell r="AK52" t="str">
            <v>TBD</v>
          </cell>
          <cell r="AL52" t="str">
            <v>Y</v>
          </cell>
          <cell r="AM52">
            <v>200018407</v>
          </cell>
          <cell r="AN52">
            <v>200028407</v>
          </cell>
          <cell r="AO52">
            <v>200018307</v>
          </cell>
          <cell r="AP52">
            <v>200028307</v>
          </cell>
          <cell r="AQ52">
            <v>200018207</v>
          </cell>
          <cell r="AR52">
            <v>200028207</v>
          </cell>
          <cell r="AS52">
            <v>17.222222222222221</v>
          </cell>
          <cell r="AT52">
            <v>20.19423994993074</v>
          </cell>
          <cell r="AU52">
            <v>15.063823110425394</v>
          </cell>
          <cell r="AV52">
            <v>10.285529115768481</v>
          </cell>
          <cell r="AW52">
            <v>40862</v>
          </cell>
        </row>
        <row r="53">
          <cell r="C53" t="str">
            <v>CNPV - CNPV-115-145P_S</v>
          </cell>
          <cell r="D53" t="str">
            <v>Standard Claw</v>
          </cell>
          <cell r="E53">
            <v>5000005</v>
          </cell>
          <cell r="F53">
            <v>26.535433070866144</v>
          </cell>
          <cell r="G53">
            <v>58.740157480314963</v>
          </cell>
          <cell r="H53">
            <v>1.5748031496062993</v>
          </cell>
          <cell r="I53">
            <v>200010703</v>
          </cell>
          <cell r="J53">
            <v>200010803</v>
          </cell>
          <cell r="K53">
            <v>200013803</v>
          </cell>
          <cell r="L53">
            <v>200016303</v>
          </cell>
          <cell r="M53">
            <v>500012562</v>
          </cell>
          <cell r="N53">
            <v>500012662</v>
          </cell>
          <cell r="O53">
            <v>500012563</v>
          </cell>
          <cell r="P53">
            <v>500012663</v>
          </cell>
          <cell r="Q53">
            <v>18.646759082927325</v>
          </cell>
          <cell r="R53">
            <v>16.627087624346455</v>
          </cell>
          <cell r="S53">
            <v>7.7930967180026212</v>
          </cell>
          <cell r="T53">
            <v>7.7930967180026212</v>
          </cell>
          <cell r="U53">
            <v>18.646759082927325</v>
          </cell>
          <cell r="V53">
            <v>16.627087624346455</v>
          </cell>
          <cell r="W53">
            <v>30</v>
          </cell>
          <cell r="X53">
            <v>22.385826771653544</v>
          </cell>
          <cell r="Y53">
            <v>59.817913385826778</v>
          </cell>
          <cell r="Z53">
            <v>22.385826771653544</v>
          </cell>
          <cell r="AA53">
            <v>59.817913385826778</v>
          </cell>
          <cell r="AB53">
            <v>22.385826771653544</v>
          </cell>
          <cell r="AC53">
            <v>59.817913385826778</v>
          </cell>
          <cell r="AD53">
            <v>59.817913385826778</v>
          </cell>
          <cell r="AE53">
            <v>59.240157480314963</v>
          </cell>
          <cell r="AF53">
            <v>17.240157480314966</v>
          </cell>
          <cell r="AG53">
            <v>27.011811023622048</v>
          </cell>
          <cell r="AH53" t="str">
            <v>Y</v>
          </cell>
          <cell r="AI53">
            <v>28.664999999999999</v>
          </cell>
          <cell r="AJ53">
            <v>13</v>
          </cell>
          <cell r="AK53" t="str">
            <v>TBD</v>
          </cell>
          <cell r="AL53" t="str">
            <v>Y</v>
          </cell>
          <cell r="AM53">
            <v>200018401</v>
          </cell>
          <cell r="AN53">
            <v>200028401</v>
          </cell>
          <cell r="AO53">
            <v>200018301</v>
          </cell>
          <cell r="AP53">
            <v>200028301</v>
          </cell>
          <cell r="AQ53">
            <v>200018201</v>
          </cell>
          <cell r="AR53">
            <v>200028201</v>
          </cell>
          <cell r="AS53">
            <v>13.22222222222222</v>
          </cell>
          <cell r="AT53">
            <v>30.478479205322657</v>
          </cell>
          <cell r="AU53">
            <v>22.449471967224024</v>
          </cell>
          <cell r="AV53">
            <v>15.209692728873973</v>
          </cell>
          <cell r="AW53">
            <v>40862</v>
          </cell>
        </row>
        <row r="54">
          <cell r="C54" t="str">
            <v>CNPV - CNPV-190-220P-54_S</v>
          </cell>
          <cell r="D54" t="str">
            <v>Standard Claw</v>
          </cell>
          <cell r="E54">
            <v>5000005</v>
          </cell>
          <cell r="F54">
            <v>39.055118110236222</v>
          </cell>
          <cell r="G54">
            <v>58.346456692913392</v>
          </cell>
          <cell r="H54">
            <v>1.8110236220472442</v>
          </cell>
          <cell r="I54">
            <v>200010703</v>
          </cell>
          <cell r="J54">
            <v>200010803</v>
          </cell>
          <cell r="K54">
            <v>200013803</v>
          </cell>
          <cell r="L54">
            <v>200016303</v>
          </cell>
          <cell r="M54">
            <v>500012562</v>
          </cell>
          <cell r="N54">
            <v>500012662</v>
          </cell>
          <cell r="O54">
            <v>500012562</v>
          </cell>
          <cell r="P54">
            <v>500012662</v>
          </cell>
          <cell r="Q54">
            <v>11.778694560772582</v>
          </cell>
          <cell r="R54">
            <v>10.526241039665905</v>
          </cell>
          <cell r="S54">
            <v>4.9663610300746015</v>
          </cell>
          <cell r="T54">
            <v>4.9663610300746015</v>
          </cell>
          <cell r="U54">
            <v>11.778694560772582</v>
          </cell>
          <cell r="V54">
            <v>10.526241039665905</v>
          </cell>
          <cell r="W54">
            <v>30</v>
          </cell>
          <cell r="X54">
            <v>35.062992125984252</v>
          </cell>
          <cell r="Y54">
            <v>59.58169291338583</v>
          </cell>
          <cell r="Z54">
            <v>35.062992125984252</v>
          </cell>
          <cell r="AA54">
            <v>59.58169291338583</v>
          </cell>
          <cell r="AB54">
            <v>35.062992125984252</v>
          </cell>
          <cell r="AC54">
            <v>59.58169291338583</v>
          </cell>
          <cell r="AD54">
            <v>59.58169291338583</v>
          </cell>
          <cell r="AE54">
            <v>58.846456692913392</v>
          </cell>
          <cell r="AF54">
            <v>16.846456692913389</v>
          </cell>
          <cell r="AG54">
            <v>39.688976377952756</v>
          </cell>
          <cell r="AH54" t="str">
            <v>Y</v>
          </cell>
          <cell r="AI54">
            <v>39.69</v>
          </cell>
          <cell r="AJ54">
            <v>18</v>
          </cell>
          <cell r="AK54" t="str">
            <v>TBD</v>
          </cell>
          <cell r="AL54" t="str">
            <v>Y</v>
          </cell>
          <cell r="AM54">
            <v>200018401</v>
          </cell>
          <cell r="AN54">
            <v>200028401</v>
          </cell>
          <cell r="AO54">
            <v>200018301</v>
          </cell>
          <cell r="AP54">
            <v>200028301</v>
          </cell>
          <cell r="AQ54">
            <v>200018201</v>
          </cell>
          <cell r="AR54">
            <v>200028201</v>
          </cell>
          <cell r="AS54">
            <v>13.22222222222222</v>
          </cell>
          <cell r="AT54">
            <v>20.19423994993074</v>
          </cell>
          <cell r="AU54">
            <v>15.063823110425394</v>
          </cell>
          <cell r="AV54">
            <v>10.285529115768481</v>
          </cell>
          <cell r="AW54">
            <v>40862</v>
          </cell>
        </row>
        <row r="55">
          <cell r="C55" t="str">
            <v>CNPV - CNPV-190-245P_S</v>
          </cell>
          <cell r="D55" t="str">
            <v>Standard Claw</v>
          </cell>
          <cell r="E55">
            <v>5000005</v>
          </cell>
          <cell r="F55">
            <v>39.055118110236222</v>
          </cell>
          <cell r="G55">
            <v>64.960629921259851</v>
          </cell>
          <cell r="H55">
            <v>1.8110236220472442</v>
          </cell>
          <cell r="I55">
            <v>200010704</v>
          </cell>
          <cell r="J55">
            <v>200010804</v>
          </cell>
          <cell r="K55">
            <v>200013804</v>
          </cell>
          <cell r="L55">
            <v>200016304</v>
          </cell>
          <cell r="M55">
            <v>500012568</v>
          </cell>
          <cell r="N55">
            <v>500012668</v>
          </cell>
          <cell r="O55">
            <v>500012569</v>
          </cell>
          <cell r="P55">
            <v>500012669</v>
          </cell>
          <cell r="Q55">
            <v>11.778694560772582</v>
          </cell>
          <cell r="R55">
            <v>10.526241039665905</v>
          </cell>
          <cell r="S55">
            <v>4.9663610300746015</v>
          </cell>
          <cell r="T55">
            <v>4.9663610300746015</v>
          </cell>
          <cell r="U55">
            <v>11.778694560772582</v>
          </cell>
          <cell r="V55">
            <v>10.526241039665905</v>
          </cell>
          <cell r="W55">
            <v>30</v>
          </cell>
          <cell r="X55">
            <v>35.062992125984252</v>
          </cell>
          <cell r="Y55">
            <v>66.195866141732282</v>
          </cell>
          <cell r="Z55">
            <v>35.062992125984252</v>
          </cell>
          <cell r="AA55">
            <v>66.195866141732282</v>
          </cell>
          <cell r="AB55">
            <v>35.062992125984252</v>
          </cell>
          <cell r="AC55">
            <v>66.195866141732282</v>
          </cell>
          <cell r="AD55">
            <v>66.195866141732282</v>
          </cell>
          <cell r="AE55">
            <v>65.460629921259851</v>
          </cell>
          <cell r="AF55">
            <v>23.460629921259848</v>
          </cell>
          <cell r="AG55">
            <v>39.688976377952756</v>
          </cell>
          <cell r="AH55" t="str">
            <v>Y</v>
          </cell>
          <cell r="AI55">
            <v>44.1</v>
          </cell>
          <cell r="AJ55">
            <v>20</v>
          </cell>
          <cell r="AK55" t="str">
            <v>TBD</v>
          </cell>
          <cell r="AL55" t="str">
            <v>Y</v>
          </cell>
          <cell r="AM55">
            <v>200018403</v>
          </cell>
          <cell r="AN55">
            <v>200028403</v>
          </cell>
          <cell r="AO55">
            <v>200018303</v>
          </cell>
          <cell r="AP55">
            <v>200028303</v>
          </cell>
          <cell r="AQ55">
            <v>200018203</v>
          </cell>
          <cell r="AR55">
            <v>200028203</v>
          </cell>
          <cell r="AS55">
            <v>14.555555555555557</v>
          </cell>
          <cell r="AT55">
            <v>20.19423994993074</v>
          </cell>
          <cell r="AU55">
            <v>15.063823110425394</v>
          </cell>
          <cell r="AV55">
            <v>10.285529115768481</v>
          </cell>
          <cell r="AW55">
            <v>40862</v>
          </cell>
        </row>
        <row r="56">
          <cell r="C56" t="str">
            <v>CNPV - CNPV-250-295P_S</v>
          </cell>
          <cell r="D56" t="str">
            <v>Standard Claw</v>
          </cell>
          <cell r="E56">
            <v>5000005</v>
          </cell>
          <cell r="F56">
            <v>39.055118110236222</v>
          </cell>
          <cell r="G56">
            <v>77.362204724409452</v>
          </cell>
          <cell r="H56">
            <v>1.8110236220472442</v>
          </cell>
          <cell r="I56">
            <v>200010707</v>
          </cell>
          <cell r="J56">
            <v>200010807</v>
          </cell>
          <cell r="K56">
            <v>200013807</v>
          </cell>
          <cell r="L56">
            <v>200016307</v>
          </cell>
          <cell r="M56">
            <v>500012581</v>
          </cell>
          <cell r="N56">
            <v>500012681</v>
          </cell>
          <cell r="O56">
            <v>500012581</v>
          </cell>
          <cell r="P56">
            <v>500012681</v>
          </cell>
          <cell r="Q56">
            <v>11.778694560772582</v>
          </cell>
          <cell r="R56">
            <v>10.526241039665905</v>
          </cell>
          <cell r="S56">
            <v>4.9663610300746015</v>
          </cell>
          <cell r="T56">
            <v>4.9663610300746015</v>
          </cell>
          <cell r="U56">
            <v>11.778694560772582</v>
          </cell>
          <cell r="V56">
            <v>10.526241039665905</v>
          </cell>
          <cell r="W56">
            <v>30</v>
          </cell>
          <cell r="X56">
            <v>35.062992125984252</v>
          </cell>
          <cell r="Y56">
            <v>78.597440944881896</v>
          </cell>
          <cell r="Z56">
            <v>35.062992125984252</v>
          </cell>
          <cell r="AA56">
            <v>78.597440944881896</v>
          </cell>
          <cell r="AB56">
            <v>35.062992125984252</v>
          </cell>
          <cell r="AC56">
            <v>78.597440944881896</v>
          </cell>
          <cell r="AD56">
            <v>78.597440944881896</v>
          </cell>
          <cell r="AE56">
            <v>77.862204724409452</v>
          </cell>
          <cell r="AF56">
            <v>35.862204724409452</v>
          </cell>
          <cell r="AG56">
            <v>39.688976377952756</v>
          </cell>
          <cell r="AH56" t="str">
            <v>Y</v>
          </cell>
          <cell r="AI56">
            <v>55.125</v>
          </cell>
          <cell r="AJ56">
            <v>25</v>
          </cell>
          <cell r="AK56" t="str">
            <v>TBD</v>
          </cell>
          <cell r="AL56" t="str">
            <v>Y</v>
          </cell>
          <cell r="AM56">
            <v>200018407</v>
          </cell>
          <cell r="AN56">
            <v>200028407</v>
          </cell>
          <cell r="AO56">
            <v>200018307</v>
          </cell>
          <cell r="AP56">
            <v>200028307</v>
          </cell>
          <cell r="AQ56">
            <v>200018207</v>
          </cell>
          <cell r="AR56">
            <v>200028207</v>
          </cell>
          <cell r="AS56">
            <v>17.222222222222221</v>
          </cell>
          <cell r="AT56">
            <v>20.19423994993074</v>
          </cell>
          <cell r="AU56">
            <v>15.063823110425394</v>
          </cell>
          <cell r="AV56">
            <v>10.285529115768481</v>
          </cell>
          <cell r="AW56">
            <v>40862</v>
          </cell>
        </row>
        <row r="57">
          <cell r="C57" t="str">
            <v>Conergy - P 210-235PA_S</v>
          </cell>
          <cell r="D57" t="str">
            <v>Standard Claw</v>
          </cell>
          <cell r="E57">
            <v>5000005</v>
          </cell>
          <cell r="F57">
            <v>39.370078740157481</v>
          </cell>
          <cell r="G57">
            <v>65.039370078740163</v>
          </cell>
          <cell r="H57">
            <v>1.9685039370078741</v>
          </cell>
          <cell r="I57">
            <v>200010704</v>
          </cell>
          <cell r="J57">
            <v>200010804</v>
          </cell>
          <cell r="K57">
            <v>200013804</v>
          </cell>
          <cell r="L57">
            <v>200016304</v>
          </cell>
          <cell r="M57">
            <v>500012568</v>
          </cell>
          <cell r="N57">
            <v>500012668</v>
          </cell>
          <cell r="O57">
            <v>500012569</v>
          </cell>
          <cell r="P57">
            <v>500012669</v>
          </cell>
          <cell r="Q57">
            <v>11.725279318414811</v>
          </cell>
          <cell r="R57">
            <v>10.478642249707667</v>
          </cell>
          <cell r="S57">
            <v>4.9440996728708777</v>
          </cell>
          <cell r="T57">
            <v>4.9440996728708777</v>
          </cell>
          <cell r="U57">
            <v>11.725279318414811</v>
          </cell>
          <cell r="V57">
            <v>10.478642249707667</v>
          </cell>
          <cell r="W57">
            <v>50</v>
          </cell>
          <cell r="X57">
            <v>35.220472440944881</v>
          </cell>
          <cell r="Y57">
            <v>66.11712598425197</v>
          </cell>
          <cell r="Z57">
            <v>35.220472440944881</v>
          </cell>
          <cell r="AA57">
            <v>66.11712598425197</v>
          </cell>
          <cell r="AB57">
            <v>35.220472440944881</v>
          </cell>
          <cell r="AC57">
            <v>66.11712598425197</v>
          </cell>
          <cell r="AD57">
            <v>66.11712598425197</v>
          </cell>
          <cell r="AE57">
            <v>65.539370078740163</v>
          </cell>
          <cell r="AF57">
            <v>23.539370078740163</v>
          </cell>
          <cell r="AG57">
            <v>39.846456692913392</v>
          </cell>
          <cell r="AH57" t="str">
            <v>N</v>
          </cell>
          <cell r="AI57">
            <v>48.510000000000005</v>
          </cell>
          <cell r="AJ57">
            <v>22</v>
          </cell>
          <cell r="AK57" t="str">
            <v>TBD</v>
          </cell>
          <cell r="AL57" t="str">
            <v>Y</v>
          </cell>
          <cell r="AM57">
            <v>200018403</v>
          </cell>
          <cell r="AN57">
            <v>200028403</v>
          </cell>
          <cell r="AO57">
            <v>200018303</v>
          </cell>
          <cell r="AP57">
            <v>200028303</v>
          </cell>
          <cell r="AQ57">
            <v>200018203</v>
          </cell>
          <cell r="AR57">
            <v>200028203</v>
          </cell>
          <cell r="AS57">
            <v>14.555555555555557</v>
          </cell>
          <cell r="AT57">
            <v>20.110973161651764</v>
          </cell>
          <cell r="AU57">
            <v>15.002886128524771</v>
          </cell>
          <cell r="AV57">
            <v>10.244439167746933</v>
          </cell>
          <cell r="AW57">
            <v>40617</v>
          </cell>
        </row>
        <row r="58">
          <cell r="C58" t="str">
            <v>Conergy - PM 225-245 P_L</v>
          </cell>
          <cell r="D58" t="str">
            <v>2nd Gen Long Claw (Conergy PM / AUO PM)</v>
          </cell>
          <cell r="E58">
            <v>500014410</v>
          </cell>
          <cell r="F58">
            <v>39.370078740157481</v>
          </cell>
          <cell r="G58">
            <v>65.669291338582681</v>
          </cell>
          <cell r="H58">
            <v>1.5748031496062993</v>
          </cell>
          <cell r="I58">
            <v>200010704</v>
          </cell>
          <cell r="J58">
            <v>200010804</v>
          </cell>
          <cell r="K58">
            <v>200013804</v>
          </cell>
          <cell r="L58">
            <v>200016304</v>
          </cell>
          <cell r="M58">
            <v>500012569</v>
          </cell>
          <cell r="N58">
            <v>500012669</v>
          </cell>
          <cell r="O58">
            <v>500012569</v>
          </cell>
          <cell r="P58">
            <v>500012669</v>
          </cell>
          <cell r="Q58">
            <v>10.41563801751966</v>
          </cell>
          <cell r="R58">
            <v>9.3110390770937794</v>
          </cell>
          <cell r="S58">
            <v>4.3972196268899051</v>
          </cell>
          <cell r="T58">
            <v>4.3972196268899051</v>
          </cell>
          <cell r="U58">
            <v>10.41563801751966</v>
          </cell>
          <cell r="V58">
            <v>9.3110390770937794</v>
          </cell>
          <cell r="W58">
            <v>50</v>
          </cell>
          <cell r="X58">
            <v>39.590551181102363</v>
          </cell>
          <cell r="Y58">
            <v>66.4242125984252</v>
          </cell>
          <cell r="Z58">
            <v>39.590551181102363</v>
          </cell>
          <cell r="AA58">
            <v>66.4242125984252</v>
          </cell>
          <cell r="AB58">
            <v>39.590551181102363</v>
          </cell>
          <cell r="AC58">
            <v>66.4242125984252</v>
          </cell>
          <cell r="AD58">
            <v>66.4242125984252</v>
          </cell>
          <cell r="AE58">
            <v>66.169291338582681</v>
          </cell>
          <cell r="AF58">
            <v>24.169291338582681</v>
          </cell>
          <cell r="AG58">
            <v>40.240157480314963</v>
          </cell>
          <cell r="AH58" t="str">
            <v>Y</v>
          </cell>
          <cell r="AI58">
            <v>44.1</v>
          </cell>
          <cell r="AJ58">
            <v>20</v>
          </cell>
          <cell r="AK58" t="str">
            <v>TBD</v>
          </cell>
          <cell r="AL58" t="str">
            <v>Y</v>
          </cell>
          <cell r="AM58">
            <v>200018403</v>
          </cell>
          <cell r="AN58">
            <v>200028403</v>
          </cell>
          <cell r="AO58">
            <v>200018303</v>
          </cell>
          <cell r="AP58">
            <v>200028303</v>
          </cell>
          <cell r="AQ58">
            <v>200018203</v>
          </cell>
          <cell r="AR58">
            <v>200028203</v>
          </cell>
          <cell r="AS58">
            <v>14.555555555555557</v>
          </cell>
          <cell r="AT58">
            <v>19.905846229389603</v>
          </cell>
          <cell r="AU58">
            <v>14.852704372847956</v>
          </cell>
          <cell r="AV58">
            <v>10.143144054640397</v>
          </cell>
          <cell r="AW58">
            <v>41284</v>
          </cell>
        </row>
        <row r="59">
          <cell r="C59" t="str">
            <v>Eclipsall Energy Corp - NRG-60 230-250_S</v>
          </cell>
          <cell r="D59" t="str">
            <v>Standard Claw</v>
          </cell>
          <cell r="E59">
            <v>5000005</v>
          </cell>
          <cell r="F59">
            <v>39.251968503937007</v>
          </cell>
          <cell r="G59">
            <v>65.472440944881896</v>
          </cell>
          <cell r="H59">
            <v>1.6535433070866143</v>
          </cell>
          <cell r="I59">
            <v>200010704</v>
          </cell>
          <cell r="J59">
            <v>200010804</v>
          </cell>
          <cell r="K59">
            <v>200013804</v>
          </cell>
          <cell r="L59">
            <v>200016304</v>
          </cell>
          <cell r="M59">
            <v>500012569</v>
          </cell>
          <cell r="N59">
            <v>500012669</v>
          </cell>
          <cell r="O59">
            <v>500012569</v>
          </cell>
          <cell r="P59">
            <v>500012669</v>
          </cell>
          <cell r="Q59">
            <v>11.685537017566332</v>
          </cell>
          <cell r="R59">
            <v>10.443226306738659</v>
          </cell>
          <cell r="S59">
            <v>4.9275343458296801</v>
          </cell>
          <cell r="T59">
            <v>4.9275343458296801</v>
          </cell>
          <cell r="U59">
            <v>11.685537017566332</v>
          </cell>
          <cell r="V59">
            <v>10.443226306738659</v>
          </cell>
          <cell r="W59">
            <v>50</v>
          </cell>
          <cell r="X59">
            <v>35.338582677165356</v>
          </cell>
          <cell r="Y59">
            <v>66.786417322834652</v>
          </cell>
          <cell r="Z59">
            <v>35.338582677165356</v>
          </cell>
          <cell r="AA59">
            <v>66.786417322834652</v>
          </cell>
          <cell r="AB59">
            <v>35.338582677165356</v>
          </cell>
          <cell r="AC59">
            <v>66.786417322834652</v>
          </cell>
          <cell r="AD59">
            <v>66.786417322834652</v>
          </cell>
          <cell r="AE59">
            <v>65.972440944881896</v>
          </cell>
          <cell r="AF59">
            <v>23.972440944881896</v>
          </cell>
          <cell r="AG59">
            <v>39.964566929133859</v>
          </cell>
          <cell r="AH59" t="str">
            <v>N</v>
          </cell>
          <cell r="AI59">
            <v>48.510000000000005</v>
          </cell>
          <cell r="AJ59">
            <v>22</v>
          </cell>
          <cell r="AK59" t="str">
            <v>TBD</v>
          </cell>
          <cell r="AL59" t="str">
            <v>Y</v>
          </cell>
          <cell r="AM59">
            <v>200018403</v>
          </cell>
          <cell r="AN59">
            <v>200028403</v>
          </cell>
          <cell r="AO59">
            <v>200018303</v>
          </cell>
          <cell r="AP59">
            <v>200028303</v>
          </cell>
          <cell r="AQ59">
            <v>200018203</v>
          </cell>
          <cell r="AR59">
            <v>200028203</v>
          </cell>
          <cell r="AS59">
            <v>14.555555555555557</v>
          </cell>
          <cell r="AT59">
            <v>20.048982508950235</v>
          </cell>
          <cell r="AU59">
            <v>14.957509840214923</v>
          </cell>
          <cell r="AV59">
            <v>10.213837681475505</v>
          </cell>
          <cell r="AW59">
            <v>40862</v>
          </cell>
        </row>
        <row r="60">
          <cell r="C60" t="str">
            <v>Eclipsall Energy Corp - NRG-72 280-300_S</v>
          </cell>
          <cell r="D60" t="str">
            <v>Standard Claw</v>
          </cell>
          <cell r="E60">
            <v>5000005</v>
          </cell>
          <cell r="F60">
            <v>39.251968503937007</v>
          </cell>
          <cell r="G60">
            <v>78.070866141732282</v>
          </cell>
          <cell r="H60">
            <v>1.6535433070866143</v>
          </cell>
          <cell r="I60">
            <v>200010708</v>
          </cell>
          <cell r="J60">
            <v>200010808</v>
          </cell>
          <cell r="K60">
            <v>200013808</v>
          </cell>
          <cell r="L60">
            <v>200016308</v>
          </cell>
          <cell r="M60">
            <v>500012582</v>
          </cell>
          <cell r="N60">
            <v>500012682</v>
          </cell>
          <cell r="O60">
            <v>500012582</v>
          </cell>
          <cell r="P60">
            <v>500012682</v>
          </cell>
          <cell r="Q60">
            <v>11.685537017566332</v>
          </cell>
          <cell r="R60">
            <v>10.443226306738659</v>
          </cell>
          <cell r="S60">
            <v>4.9275343458296801</v>
          </cell>
          <cell r="T60">
            <v>4.9275343458296801</v>
          </cell>
          <cell r="U60">
            <v>11.685537017566332</v>
          </cell>
          <cell r="V60">
            <v>10.443226306738659</v>
          </cell>
          <cell r="W60">
            <v>50</v>
          </cell>
          <cell r="X60">
            <v>35.338582677165356</v>
          </cell>
          <cell r="Y60">
            <v>79.384842519685037</v>
          </cell>
          <cell r="Z60">
            <v>35.338582677165356</v>
          </cell>
          <cell r="AA60">
            <v>79.384842519685037</v>
          </cell>
          <cell r="AB60">
            <v>35.338582677165356</v>
          </cell>
          <cell r="AC60">
            <v>79.384842519685037</v>
          </cell>
          <cell r="AD60">
            <v>79.384842519685037</v>
          </cell>
          <cell r="AE60">
            <v>78.570866141732296</v>
          </cell>
          <cell r="AF60">
            <v>36.570866141732289</v>
          </cell>
          <cell r="AG60">
            <v>39.964566929133859</v>
          </cell>
          <cell r="AH60" t="str">
            <v>N</v>
          </cell>
          <cell r="AI60">
            <v>55.125</v>
          </cell>
          <cell r="AJ60">
            <v>25</v>
          </cell>
          <cell r="AK60" t="str">
            <v>TBD</v>
          </cell>
          <cell r="AL60" t="str">
            <v>Y</v>
          </cell>
          <cell r="AM60">
            <v>200018407</v>
          </cell>
          <cell r="AN60">
            <v>200028407</v>
          </cell>
          <cell r="AO60">
            <v>200018307</v>
          </cell>
          <cell r="AP60">
            <v>200028307</v>
          </cell>
          <cell r="AQ60">
            <v>200018207</v>
          </cell>
          <cell r="AR60">
            <v>200028207</v>
          </cell>
          <cell r="AS60">
            <v>17.222222222222221</v>
          </cell>
          <cell r="AT60">
            <v>20.048982508950235</v>
          </cell>
          <cell r="AU60">
            <v>14.957509840214923</v>
          </cell>
          <cell r="AV60">
            <v>10.213837681475505</v>
          </cell>
          <cell r="AW60">
            <v>41254</v>
          </cell>
        </row>
        <row r="61">
          <cell r="C61" t="str">
            <v>Eging - EG-175-185 M48-C_S</v>
          </cell>
          <cell r="D61" t="str">
            <v>Standard Claw</v>
          </cell>
          <cell r="E61">
            <v>5000005</v>
          </cell>
          <cell r="F61">
            <v>38.976377952755911</v>
          </cell>
          <cell r="G61">
            <v>52.559055118110237</v>
          </cell>
          <cell r="H61">
            <v>1.7716535433070868</v>
          </cell>
          <cell r="I61">
            <v>200010701</v>
          </cell>
          <cell r="J61">
            <v>200010801</v>
          </cell>
          <cell r="K61">
            <v>200013801</v>
          </cell>
          <cell r="L61">
            <v>200016301</v>
          </cell>
          <cell r="M61">
            <v>500012556</v>
          </cell>
          <cell r="N61">
            <v>500012656</v>
          </cell>
          <cell r="O61">
            <v>500012557</v>
          </cell>
          <cell r="P61">
            <v>500012657</v>
          </cell>
          <cell r="Q61">
            <v>11.725279318414811</v>
          </cell>
          <cell r="R61">
            <v>10.478642249707667</v>
          </cell>
          <cell r="S61">
            <v>4.9440996728708777</v>
          </cell>
          <cell r="T61">
            <v>4.9440996728708777</v>
          </cell>
          <cell r="U61">
            <v>11.725279318414811</v>
          </cell>
          <cell r="V61">
            <v>10.478642249707667</v>
          </cell>
          <cell r="W61">
            <v>50</v>
          </cell>
          <cell r="X61">
            <v>35.220472440944881</v>
          </cell>
          <cell r="Y61">
            <v>54.030511811023622</v>
          </cell>
          <cell r="Z61">
            <v>35.220472440944881</v>
          </cell>
          <cell r="AA61">
            <v>54.030511811023622</v>
          </cell>
          <cell r="AB61">
            <v>35.220472440944881</v>
          </cell>
          <cell r="AC61">
            <v>54.030511811023622</v>
          </cell>
          <cell r="AD61">
            <v>54.030511811023622</v>
          </cell>
          <cell r="AE61" t="str">
            <v>NA</v>
          </cell>
          <cell r="AF61" t="str">
            <v>NA</v>
          </cell>
          <cell r="AG61" t="str">
            <v>NA</v>
          </cell>
          <cell r="AH61" t="str">
            <v>N</v>
          </cell>
          <cell r="AI61">
            <v>35.720999999999997</v>
          </cell>
          <cell r="AJ61">
            <v>16.2</v>
          </cell>
          <cell r="AK61" t="str">
            <v>TBD</v>
          </cell>
          <cell r="AL61" t="str">
            <v>Y</v>
          </cell>
          <cell r="AM61" t="str">
            <v>2000184TBD</v>
          </cell>
          <cell r="AN61" t="str">
            <v>2000284TBD</v>
          </cell>
          <cell r="AO61" t="str">
            <v>2000183TBD</v>
          </cell>
          <cell r="AP61" t="str">
            <v>2000283TBD</v>
          </cell>
          <cell r="AQ61" t="str">
            <v>2000182TBD</v>
          </cell>
          <cell r="AR61" t="str">
            <v>2000282TBD</v>
          </cell>
          <cell r="AS61" t="str">
            <v>TBD</v>
          </cell>
          <cell r="AT61" t="str">
            <v>NA</v>
          </cell>
          <cell r="AU61" t="str">
            <v>NA</v>
          </cell>
          <cell r="AV61" t="str">
            <v>NA</v>
          </cell>
          <cell r="AW61">
            <v>40617</v>
          </cell>
        </row>
        <row r="62">
          <cell r="C62" t="str">
            <v>Eging - EG-200-210 M54-C_S</v>
          </cell>
          <cell r="D62" t="str">
            <v>Standard Claw</v>
          </cell>
          <cell r="E62">
            <v>5000005</v>
          </cell>
          <cell r="F62">
            <v>38.976377952755911</v>
          </cell>
          <cell r="G62">
            <v>58.661417322834652</v>
          </cell>
          <cell r="H62">
            <v>1.9685039370078741</v>
          </cell>
          <cell r="I62">
            <v>200010703</v>
          </cell>
          <cell r="J62">
            <v>200010803</v>
          </cell>
          <cell r="K62">
            <v>200013803</v>
          </cell>
          <cell r="L62">
            <v>200016303</v>
          </cell>
          <cell r="M62">
            <v>500012562</v>
          </cell>
          <cell r="N62">
            <v>500012662</v>
          </cell>
          <cell r="O62">
            <v>500012563</v>
          </cell>
          <cell r="P62">
            <v>500012663</v>
          </cell>
          <cell r="Q62">
            <v>11.725279318414811</v>
          </cell>
          <cell r="R62">
            <v>10.478642249707667</v>
          </cell>
          <cell r="S62">
            <v>4.9440996728708777</v>
          </cell>
          <cell r="T62">
            <v>4.9440996728708777</v>
          </cell>
          <cell r="U62">
            <v>11.725279318414811</v>
          </cell>
          <cell r="V62">
            <v>10.478642249707667</v>
          </cell>
          <cell r="W62">
            <v>50</v>
          </cell>
          <cell r="X62">
            <v>35.220472440944881</v>
          </cell>
          <cell r="Y62">
            <v>60.132874015748037</v>
          </cell>
          <cell r="Z62">
            <v>35.220472440944881</v>
          </cell>
          <cell r="AA62">
            <v>60.132874015748037</v>
          </cell>
          <cell r="AB62">
            <v>35.220472440944881</v>
          </cell>
          <cell r="AC62">
            <v>60.132874015748037</v>
          </cell>
          <cell r="AD62">
            <v>60.132874015748037</v>
          </cell>
          <cell r="AE62">
            <v>59.161417322834652</v>
          </cell>
          <cell r="AF62">
            <v>17.161417322834652</v>
          </cell>
          <cell r="AG62">
            <v>39.846456692913392</v>
          </cell>
          <cell r="AH62" t="str">
            <v>N</v>
          </cell>
          <cell r="AI62">
            <v>40.351500000000001</v>
          </cell>
          <cell r="AJ62">
            <v>18.3</v>
          </cell>
          <cell r="AK62" t="str">
            <v>TBD</v>
          </cell>
          <cell r="AL62" t="str">
            <v>Y</v>
          </cell>
          <cell r="AM62">
            <v>200018401</v>
          </cell>
          <cell r="AN62">
            <v>200028401</v>
          </cell>
          <cell r="AO62">
            <v>200018301</v>
          </cell>
          <cell r="AP62">
            <v>200028301</v>
          </cell>
          <cell r="AQ62">
            <v>200018201</v>
          </cell>
          <cell r="AR62">
            <v>200028201</v>
          </cell>
          <cell r="AS62">
            <v>13.22222222222222</v>
          </cell>
          <cell r="AT62">
            <v>20.110973161651764</v>
          </cell>
          <cell r="AU62">
            <v>15.002886128524771</v>
          </cell>
          <cell r="AV62">
            <v>10.244439167746933</v>
          </cell>
          <cell r="AW62">
            <v>40617</v>
          </cell>
        </row>
        <row r="63">
          <cell r="C63" t="str">
            <v>Eging - EG-210-235 M60-C_S</v>
          </cell>
          <cell r="D63" t="str">
            <v>Standard Claw</v>
          </cell>
          <cell r="E63">
            <v>5000005</v>
          </cell>
          <cell r="F63">
            <v>38.976377952755911</v>
          </cell>
          <cell r="G63">
            <v>64.960629921259851</v>
          </cell>
          <cell r="H63">
            <v>1.9685039370078741</v>
          </cell>
          <cell r="I63">
            <v>200010704</v>
          </cell>
          <cell r="J63">
            <v>200010804</v>
          </cell>
          <cell r="K63">
            <v>200013804</v>
          </cell>
          <cell r="L63">
            <v>200016304</v>
          </cell>
          <cell r="M63">
            <v>500012569</v>
          </cell>
          <cell r="N63">
            <v>500012669</v>
          </cell>
          <cell r="O63">
            <v>500012569</v>
          </cell>
          <cell r="P63">
            <v>500012669</v>
          </cell>
          <cell r="Q63">
            <v>11.725279318414811</v>
          </cell>
          <cell r="R63">
            <v>10.478642249707667</v>
          </cell>
          <cell r="S63">
            <v>4.9440996728708777</v>
          </cell>
          <cell r="T63">
            <v>4.9440996728708777</v>
          </cell>
          <cell r="U63">
            <v>11.725279318414811</v>
          </cell>
          <cell r="V63">
            <v>10.478642249707667</v>
          </cell>
          <cell r="W63">
            <v>50</v>
          </cell>
          <cell r="X63">
            <v>35.220472440944881</v>
          </cell>
          <cell r="Y63">
            <v>66.43208661417323</v>
          </cell>
          <cell r="Z63">
            <v>35.220472440944881</v>
          </cell>
          <cell r="AA63">
            <v>66.43208661417323</v>
          </cell>
          <cell r="AB63">
            <v>35.220472440944881</v>
          </cell>
          <cell r="AC63">
            <v>66.43208661417323</v>
          </cell>
          <cell r="AD63">
            <v>66.43208661417323</v>
          </cell>
          <cell r="AE63">
            <v>65.460629921259851</v>
          </cell>
          <cell r="AF63">
            <v>23.460629921259848</v>
          </cell>
          <cell r="AG63">
            <v>39.846456692913392</v>
          </cell>
          <cell r="AH63" t="str">
            <v>N</v>
          </cell>
          <cell r="AI63">
            <v>42.997500000000002</v>
          </cell>
          <cell r="AJ63">
            <v>19.5</v>
          </cell>
          <cell r="AK63" t="str">
            <v>TBD</v>
          </cell>
          <cell r="AL63" t="str">
            <v>Y</v>
          </cell>
          <cell r="AM63">
            <v>200018403</v>
          </cell>
          <cell r="AN63">
            <v>200028403</v>
          </cell>
          <cell r="AO63">
            <v>200018303</v>
          </cell>
          <cell r="AP63">
            <v>200028303</v>
          </cell>
          <cell r="AQ63">
            <v>200018203</v>
          </cell>
          <cell r="AR63">
            <v>200028203</v>
          </cell>
          <cell r="AS63">
            <v>14.555555555555557</v>
          </cell>
          <cell r="AT63">
            <v>20.110973161651764</v>
          </cell>
          <cell r="AU63">
            <v>15.002886128524771</v>
          </cell>
          <cell r="AV63">
            <v>10.244439167746933</v>
          </cell>
          <cell r="AW63">
            <v>40617</v>
          </cell>
        </row>
        <row r="64">
          <cell r="C64" t="str">
            <v>Eging - EG-240-285 M72-C_S</v>
          </cell>
          <cell r="D64" t="str">
            <v>Standard Claw</v>
          </cell>
          <cell r="E64">
            <v>5000005</v>
          </cell>
          <cell r="F64">
            <v>38.976377952755911</v>
          </cell>
          <cell r="G64">
            <v>77.480314960629926</v>
          </cell>
          <cell r="H64">
            <v>1.9685039370078741</v>
          </cell>
          <cell r="I64">
            <v>200010707</v>
          </cell>
          <cell r="J64">
            <v>200010807</v>
          </cell>
          <cell r="K64">
            <v>200013807</v>
          </cell>
          <cell r="L64">
            <v>200016307</v>
          </cell>
          <cell r="M64">
            <v>500012581</v>
          </cell>
          <cell r="N64">
            <v>500012681</v>
          </cell>
          <cell r="O64">
            <v>500012581</v>
          </cell>
          <cell r="P64">
            <v>500012681</v>
          </cell>
          <cell r="Q64">
            <v>11.725279318414811</v>
          </cell>
          <cell r="R64">
            <v>10.478642249707667</v>
          </cell>
          <cell r="S64">
            <v>4.9440996728708777</v>
          </cell>
          <cell r="T64">
            <v>4.9440996728708777</v>
          </cell>
          <cell r="U64">
            <v>11.725279318414811</v>
          </cell>
          <cell r="V64">
            <v>10.478642249707667</v>
          </cell>
          <cell r="W64">
            <v>50</v>
          </cell>
          <cell r="X64">
            <v>35.220472440944881</v>
          </cell>
          <cell r="Y64">
            <v>78.951771653543318</v>
          </cell>
          <cell r="Z64">
            <v>35.220472440944881</v>
          </cell>
          <cell r="AA64">
            <v>78.951771653543318</v>
          </cell>
          <cell r="AB64">
            <v>35.220472440944881</v>
          </cell>
          <cell r="AC64">
            <v>78.951771653543318</v>
          </cell>
          <cell r="AD64">
            <v>78.951771653543318</v>
          </cell>
          <cell r="AE64">
            <v>77.980314960629926</v>
          </cell>
          <cell r="AF64">
            <v>35.980314960629926</v>
          </cell>
          <cell r="AG64">
            <v>39.846456692913392</v>
          </cell>
          <cell r="AH64" t="str">
            <v>N</v>
          </cell>
          <cell r="AI64">
            <v>60.637500000000003</v>
          </cell>
          <cell r="AJ64">
            <v>27.5</v>
          </cell>
          <cell r="AK64" t="str">
            <v>TBD</v>
          </cell>
          <cell r="AL64" t="str">
            <v>Y</v>
          </cell>
          <cell r="AM64">
            <v>200018407</v>
          </cell>
          <cell r="AN64">
            <v>200028407</v>
          </cell>
          <cell r="AO64">
            <v>200018307</v>
          </cell>
          <cell r="AP64">
            <v>200028307</v>
          </cell>
          <cell r="AQ64">
            <v>200018207</v>
          </cell>
          <cell r="AR64">
            <v>200028207</v>
          </cell>
          <cell r="AS64">
            <v>17.222222222222221</v>
          </cell>
          <cell r="AT64">
            <v>20.110973161651764</v>
          </cell>
          <cell r="AU64">
            <v>15.002886128524771</v>
          </cell>
          <cell r="AV64">
            <v>10.244439167746933</v>
          </cell>
          <cell r="AW64">
            <v>40617</v>
          </cell>
        </row>
        <row r="65">
          <cell r="C65" t="str">
            <v>ET Solar - ET-P654 190-215_S</v>
          </cell>
          <cell r="D65" t="str">
            <v>Standard Claw</v>
          </cell>
          <cell r="E65">
            <v>5000005</v>
          </cell>
          <cell r="F65">
            <v>39.055118110236222</v>
          </cell>
          <cell r="G65">
            <v>58.346456692913392</v>
          </cell>
          <cell r="H65">
            <v>1.9685039370078741</v>
          </cell>
          <cell r="I65">
            <v>200010703</v>
          </cell>
          <cell r="J65">
            <v>200010803</v>
          </cell>
          <cell r="K65">
            <v>200013803</v>
          </cell>
          <cell r="L65">
            <v>200016303</v>
          </cell>
          <cell r="M65">
            <v>500012562</v>
          </cell>
          <cell r="N65">
            <v>500012662</v>
          </cell>
          <cell r="O65">
            <v>500012563</v>
          </cell>
          <cell r="P65">
            <v>500012663</v>
          </cell>
          <cell r="Q65">
            <v>11.698754267040043</v>
          </cell>
          <cell r="R65">
            <v>10.455004839041191</v>
          </cell>
          <cell r="S65">
            <v>4.9330437584696041</v>
          </cell>
          <cell r="T65">
            <v>4.9330437584696041</v>
          </cell>
          <cell r="U65">
            <v>11.698754267040043</v>
          </cell>
          <cell r="V65">
            <v>10.455004839041191</v>
          </cell>
          <cell r="W65">
            <v>50</v>
          </cell>
          <cell r="X65">
            <v>35.2992125984252</v>
          </cell>
          <cell r="Y65">
            <v>59.817913385826778</v>
          </cell>
          <cell r="Z65">
            <v>35.2992125984252</v>
          </cell>
          <cell r="AA65">
            <v>59.817913385826778</v>
          </cell>
          <cell r="AB65">
            <v>35.2992125984252</v>
          </cell>
          <cell r="AC65">
            <v>59.817913385826778</v>
          </cell>
          <cell r="AD65">
            <v>59.817913385826778</v>
          </cell>
          <cell r="AE65">
            <v>58.846456692913392</v>
          </cell>
          <cell r="AF65">
            <v>16.846456692913389</v>
          </cell>
          <cell r="AG65">
            <v>39.925196850393704</v>
          </cell>
          <cell r="AH65" t="str">
            <v>Y</v>
          </cell>
          <cell r="AI65">
            <v>39.249000000000002</v>
          </cell>
          <cell r="AJ65">
            <v>17.8</v>
          </cell>
          <cell r="AK65" t="str">
            <v>TBD</v>
          </cell>
          <cell r="AL65" t="str">
            <v>Y</v>
          </cell>
          <cell r="AM65">
            <v>200018401</v>
          </cell>
          <cell r="AN65">
            <v>200028401</v>
          </cell>
          <cell r="AO65">
            <v>200018301</v>
          </cell>
          <cell r="AP65">
            <v>200028301</v>
          </cell>
          <cell r="AQ65">
            <v>200018201</v>
          </cell>
          <cell r="AR65">
            <v>200028201</v>
          </cell>
          <cell r="AS65">
            <v>13.22222222222222</v>
          </cell>
          <cell r="AT65">
            <v>20.069602586497279</v>
          </cell>
          <cell r="AU65">
            <v>14.97260437224279</v>
          </cell>
          <cell r="AV65">
            <v>10.224017732239455</v>
          </cell>
          <cell r="AW65">
            <v>40617</v>
          </cell>
        </row>
        <row r="66">
          <cell r="C66" t="str">
            <v>ET Solar - ET-P660 220-240_S</v>
          </cell>
          <cell r="D66" t="str">
            <v>Standard Claw</v>
          </cell>
          <cell r="E66">
            <v>5000005</v>
          </cell>
          <cell r="F66">
            <v>39.055118110236222</v>
          </cell>
          <cell r="G66">
            <v>64.566929133858267</v>
          </cell>
          <cell r="H66">
            <v>1.9685039370078741</v>
          </cell>
          <cell r="I66">
            <v>200010704</v>
          </cell>
          <cell r="J66">
            <v>200010804</v>
          </cell>
          <cell r="K66">
            <v>200013804</v>
          </cell>
          <cell r="L66">
            <v>200016304</v>
          </cell>
          <cell r="M66">
            <v>500012568</v>
          </cell>
          <cell r="N66">
            <v>500012668</v>
          </cell>
          <cell r="O66">
            <v>500012569</v>
          </cell>
          <cell r="P66">
            <v>500012669</v>
          </cell>
          <cell r="Q66">
            <v>11.698754267040043</v>
          </cell>
          <cell r="R66">
            <v>10.455004839041191</v>
          </cell>
          <cell r="S66">
            <v>4.9330437584696041</v>
          </cell>
          <cell r="T66">
            <v>4.9330437584696041</v>
          </cell>
          <cell r="U66">
            <v>11.698754267040043</v>
          </cell>
          <cell r="V66">
            <v>10.455004839041191</v>
          </cell>
          <cell r="W66">
            <v>50</v>
          </cell>
          <cell r="X66">
            <v>35.2992125984252</v>
          </cell>
          <cell r="Y66">
            <v>66.038385826771659</v>
          </cell>
          <cell r="Z66">
            <v>35.2992125984252</v>
          </cell>
          <cell r="AA66">
            <v>66.038385826771659</v>
          </cell>
          <cell r="AB66">
            <v>35.2992125984252</v>
          </cell>
          <cell r="AC66">
            <v>66.038385826771659</v>
          </cell>
          <cell r="AD66">
            <v>66.038385826771659</v>
          </cell>
          <cell r="AE66">
            <v>65.066929133858267</v>
          </cell>
          <cell r="AF66">
            <v>23.066929133858274</v>
          </cell>
          <cell r="AG66">
            <v>39.925196850393704</v>
          </cell>
          <cell r="AH66" t="str">
            <v>Y</v>
          </cell>
          <cell r="AI66">
            <v>42.5565</v>
          </cell>
          <cell r="AJ66">
            <v>19.3</v>
          </cell>
          <cell r="AK66" t="str">
            <v>TBD</v>
          </cell>
          <cell r="AL66" t="str">
            <v>Y</v>
          </cell>
          <cell r="AM66">
            <v>200018403</v>
          </cell>
          <cell r="AN66">
            <v>200028403</v>
          </cell>
          <cell r="AO66">
            <v>200018303</v>
          </cell>
          <cell r="AP66">
            <v>200028303</v>
          </cell>
          <cell r="AQ66">
            <v>200018203</v>
          </cell>
          <cell r="AR66">
            <v>200028203</v>
          </cell>
          <cell r="AS66">
            <v>14.555555555555557</v>
          </cell>
          <cell r="AT66">
            <v>20.069602586497279</v>
          </cell>
          <cell r="AU66">
            <v>14.97260437224279</v>
          </cell>
          <cell r="AV66">
            <v>10.224017732239455</v>
          </cell>
          <cell r="AW66">
            <v>40617</v>
          </cell>
        </row>
        <row r="67">
          <cell r="C67" t="str">
            <v>ET Solar - ET-P672 255-280_S</v>
          </cell>
          <cell r="D67" t="str">
            <v>Standard Claw</v>
          </cell>
          <cell r="E67">
            <v>5000005</v>
          </cell>
          <cell r="F67">
            <v>39.055118110236222</v>
          </cell>
          <cell r="G67">
            <v>77.00787401574803</v>
          </cell>
          <cell r="H67">
            <v>1.9685039370078741</v>
          </cell>
          <cell r="I67">
            <v>200010707</v>
          </cell>
          <cell r="J67">
            <v>200010807</v>
          </cell>
          <cell r="K67">
            <v>200013807</v>
          </cell>
          <cell r="L67">
            <v>200016307</v>
          </cell>
          <cell r="M67">
            <v>500012581</v>
          </cell>
          <cell r="N67">
            <v>500012681</v>
          </cell>
          <cell r="O67">
            <v>500012581</v>
          </cell>
          <cell r="P67">
            <v>500012681</v>
          </cell>
          <cell r="Q67">
            <v>11.698754267040043</v>
          </cell>
          <cell r="R67">
            <v>10.455004839041191</v>
          </cell>
          <cell r="S67">
            <v>4.9330437584696041</v>
          </cell>
          <cell r="T67">
            <v>4.9330437584696041</v>
          </cell>
          <cell r="U67">
            <v>11.698754267040043</v>
          </cell>
          <cell r="V67">
            <v>10.455004839041191</v>
          </cell>
          <cell r="W67">
            <v>50</v>
          </cell>
          <cell r="X67">
            <v>35.2992125984252</v>
          </cell>
          <cell r="Y67">
            <v>78.479330708661422</v>
          </cell>
          <cell r="Z67">
            <v>35.2992125984252</v>
          </cell>
          <cell r="AA67">
            <v>78.479330708661422</v>
          </cell>
          <cell r="AB67">
            <v>35.2992125984252</v>
          </cell>
          <cell r="AC67">
            <v>78.479330708661422</v>
          </cell>
          <cell r="AD67">
            <v>78.479330708661422</v>
          </cell>
          <cell r="AE67">
            <v>77.507874015748044</v>
          </cell>
          <cell r="AF67">
            <v>35.507874015748037</v>
          </cell>
          <cell r="AG67">
            <v>39.925196850393704</v>
          </cell>
          <cell r="AH67" t="str">
            <v>Y</v>
          </cell>
          <cell r="AI67">
            <v>50.715000000000003</v>
          </cell>
          <cell r="AJ67">
            <v>23</v>
          </cell>
          <cell r="AK67" t="str">
            <v>TBD</v>
          </cell>
          <cell r="AL67" t="str">
            <v>Y</v>
          </cell>
          <cell r="AM67">
            <v>200018407</v>
          </cell>
          <cell r="AN67">
            <v>200028407</v>
          </cell>
          <cell r="AO67">
            <v>200018307</v>
          </cell>
          <cell r="AP67">
            <v>200028307</v>
          </cell>
          <cell r="AQ67">
            <v>200018207</v>
          </cell>
          <cell r="AR67">
            <v>200028207</v>
          </cell>
          <cell r="AS67">
            <v>17.222222222222221</v>
          </cell>
          <cell r="AT67">
            <v>20.069602586497279</v>
          </cell>
          <cell r="AU67">
            <v>14.97260437224279</v>
          </cell>
          <cell r="AV67">
            <v>10.224017732239455</v>
          </cell>
          <cell r="AW67">
            <v>40617</v>
          </cell>
        </row>
        <row r="68">
          <cell r="C68" t="str">
            <v>ET Solar - ET-M572 165-185_S</v>
          </cell>
          <cell r="D68" t="str">
            <v>Standard Claw</v>
          </cell>
          <cell r="E68">
            <v>5000005</v>
          </cell>
          <cell r="F68">
            <v>31.811023622047244</v>
          </cell>
          <cell r="G68">
            <v>62.204724409448822</v>
          </cell>
          <cell r="H68">
            <v>1.9685039370078741</v>
          </cell>
          <cell r="I68">
            <v>200010704</v>
          </cell>
          <cell r="J68">
            <v>200010804</v>
          </cell>
          <cell r="K68">
            <v>200013804</v>
          </cell>
          <cell r="L68">
            <v>200016304</v>
          </cell>
          <cell r="M68">
            <v>500012566</v>
          </cell>
          <cell r="N68">
            <v>500012666</v>
          </cell>
          <cell r="O68">
            <v>500012566</v>
          </cell>
          <cell r="P68">
            <v>500012666</v>
          </cell>
          <cell r="Q68">
            <v>14.780819563929326</v>
          </cell>
          <cell r="R68">
            <v>13.198114568872393</v>
          </cell>
          <cell r="S68">
            <v>6.211295317501194</v>
          </cell>
          <cell r="T68">
            <v>6.211295317501194</v>
          </cell>
          <cell r="U68">
            <v>14.780819563929326</v>
          </cell>
          <cell r="V68">
            <v>13.198114568872393</v>
          </cell>
          <cell r="W68">
            <v>50</v>
          </cell>
          <cell r="X68">
            <v>28.055118110236222</v>
          </cell>
          <cell r="Y68">
            <v>63.676181102362207</v>
          </cell>
          <cell r="Z68">
            <v>28.055118110236222</v>
          </cell>
          <cell r="AA68">
            <v>63.676181102362207</v>
          </cell>
          <cell r="AB68">
            <v>28.055118110236222</v>
          </cell>
          <cell r="AC68">
            <v>63.676181102362207</v>
          </cell>
          <cell r="AD68">
            <v>63.676181102362207</v>
          </cell>
          <cell r="AE68">
            <v>62.704724409448822</v>
          </cell>
          <cell r="AF68">
            <v>20.704724409448822</v>
          </cell>
          <cell r="AG68">
            <v>32.681102362204726</v>
          </cell>
          <cell r="AH68" t="str">
            <v>Y</v>
          </cell>
          <cell r="AI68">
            <v>34.177500000000002</v>
          </cell>
          <cell r="AJ68">
            <v>15.5</v>
          </cell>
          <cell r="AK68" t="str">
            <v>TBD</v>
          </cell>
          <cell r="AL68" t="str">
            <v>Y</v>
          </cell>
          <cell r="AM68">
            <v>200018402</v>
          </cell>
          <cell r="AN68">
            <v>200028402</v>
          </cell>
          <cell r="AO68">
            <v>200018302</v>
          </cell>
          <cell r="AP68">
            <v>200028302</v>
          </cell>
          <cell r="AQ68">
            <v>200018202</v>
          </cell>
          <cell r="AR68">
            <v>200028202</v>
          </cell>
          <cell r="AS68">
            <v>13.888888888888888</v>
          </cell>
          <cell r="AT68">
            <v>24.785769092963804</v>
          </cell>
          <cell r="AU68">
            <v>18.39852585667062</v>
          </cell>
          <cell r="AV68">
            <v>12.523577389800897</v>
          </cell>
          <cell r="AW68">
            <v>40617</v>
          </cell>
        </row>
        <row r="69">
          <cell r="C69" t="str">
            <v>Evergreen Solar - ES-ES-B 180-195 _S</v>
          </cell>
          <cell r="D69" t="str">
            <v>Standard Claw</v>
          </cell>
          <cell r="E69">
            <v>5000005</v>
          </cell>
          <cell r="F69">
            <v>37.480314960629926</v>
          </cell>
          <cell r="G69">
            <v>61.811023622047244</v>
          </cell>
          <cell r="H69">
            <v>1.6141732283464567</v>
          </cell>
          <cell r="I69">
            <v>200010703</v>
          </cell>
          <cell r="J69">
            <v>200010803</v>
          </cell>
          <cell r="K69">
            <v>200013803</v>
          </cell>
          <cell r="L69">
            <v>200016303</v>
          </cell>
          <cell r="M69">
            <v>500012565</v>
          </cell>
          <cell r="N69">
            <v>500012665</v>
          </cell>
          <cell r="O69">
            <v>500012566</v>
          </cell>
          <cell r="P69">
            <v>500012666</v>
          </cell>
          <cell r="Q69">
            <v>12.430184243800053</v>
          </cell>
          <cell r="R69">
            <v>11.106632994896712</v>
          </cell>
          <cell r="S69">
            <v>5.2375834396852632</v>
          </cell>
          <cell r="T69">
            <v>5.2375834396852632</v>
          </cell>
          <cell r="U69">
            <v>12.430184243800053</v>
          </cell>
          <cell r="V69">
            <v>11.106632994896712</v>
          </cell>
          <cell r="W69">
            <v>40</v>
          </cell>
          <cell r="X69">
            <v>33.251968503937007</v>
          </cell>
          <cell r="Y69">
            <v>62.810039370078741</v>
          </cell>
          <cell r="Z69">
            <v>33.251968503937007</v>
          </cell>
          <cell r="AA69">
            <v>62.810039370078741</v>
          </cell>
          <cell r="AB69">
            <v>33.251968503937007</v>
          </cell>
          <cell r="AC69">
            <v>62.810039370078741</v>
          </cell>
          <cell r="AD69">
            <v>62.810039370078741</v>
          </cell>
          <cell r="AE69">
            <v>62.311023622047252</v>
          </cell>
          <cell r="AF69">
            <v>20.311023622047248</v>
          </cell>
          <cell r="AG69">
            <v>37.877952755905518</v>
          </cell>
          <cell r="AH69" t="str">
            <v>N</v>
          </cell>
          <cell r="AI69">
            <v>40.131</v>
          </cell>
          <cell r="AJ69">
            <v>18.2</v>
          </cell>
          <cell r="AK69" t="str">
            <v>TBD</v>
          </cell>
          <cell r="AL69" t="str">
            <v>Y</v>
          </cell>
          <cell r="AM69">
            <v>200018402</v>
          </cell>
          <cell r="AN69">
            <v>200028402</v>
          </cell>
          <cell r="AO69">
            <v>200018302</v>
          </cell>
          <cell r="AP69">
            <v>200028302</v>
          </cell>
          <cell r="AQ69">
            <v>200018202</v>
          </cell>
          <cell r="AR69">
            <v>200028202</v>
          </cell>
          <cell r="AS69">
            <v>13.888888888888888</v>
          </cell>
          <cell r="AT69">
            <v>21.205174093809141</v>
          </cell>
          <cell r="AU69">
            <v>15.802424560557412</v>
          </cell>
          <cell r="AV69">
            <v>10.783051510926835</v>
          </cell>
          <cell r="AW69">
            <v>40617</v>
          </cell>
        </row>
        <row r="70">
          <cell r="C70" t="str">
            <v>Evergreen Solar - ES-A 190-210 _S</v>
          </cell>
          <cell r="D70" t="str">
            <v>Standard Claw</v>
          </cell>
          <cell r="E70">
            <v>5000005</v>
          </cell>
          <cell r="F70">
            <v>37.440944881889763</v>
          </cell>
          <cell r="G70">
            <v>64.960629921259851</v>
          </cell>
          <cell r="H70">
            <v>1.8110236220472442</v>
          </cell>
          <cell r="I70">
            <v>200010704</v>
          </cell>
          <cell r="J70">
            <v>200010804</v>
          </cell>
          <cell r="K70">
            <v>200013804</v>
          </cell>
          <cell r="L70">
            <v>200016304</v>
          </cell>
          <cell r="M70">
            <v>500012568</v>
          </cell>
          <cell r="N70">
            <v>500012668</v>
          </cell>
          <cell r="O70">
            <v>500012569</v>
          </cell>
          <cell r="P70">
            <v>500012669</v>
          </cell>
          <cell r="Q70">
            <v>12.415249784803859</v>
          </cell>
          <cell r="R70">
            <v>11.09333164994227</v>
          </cell>
          <cell r="S70">
            <v>5.2313722342562112</v>
          </cell>
          <cell r="T70">
            <v>5.2313722342562112</v>
          </cell>
          <cell r="U70">
            <v>12.415249784803859</v>
          </cell>
          <cell r="V70">
            <v>11.09333164994227</v>
          </cell>
          <cell r="W70">
            <v>40</v>
          </cell>
          <cell r="X70">
            <v>33.29133858267717</v>
          </cell>
          <cell r="Y70">
            <v>66.038385826771659</v>
          </cell>
          <cell r="Z70">
            <v>33.29133858267717</v>
          </cell>
          <cell r="AA70">
            <v>66.038385826771659</v>
          </cell>
          <cell r="AB70">
            <v>33.29133858267717</v>
          </cell>
          <cell r="AC70">
            <v>66.038385826771659</v>
          </cell>
          <cell r="AD70">
            <v>66.038385826771659</v>
          </cell>
          <cell r="AE70">
            <v>65.460629921259851</v>
          </cell>
          <cell r="AF70">
            <v>23.460629921259848</v>
          </cell>
          <cell r="AG70">
            <v>37.917322834645674</v>
          </cell>
          <cell r="AH70" t="str">
            <v>N</v>
          </cell>
          <cell r="AI70">
            <v>41.013000000000005</v>
          </cell>
          <cell r="AJ70">
            <v>18.600000000000001</v>
          </cell>
          <cell r="AK70" t="str">
            <v>TBD</v>
          </cell>
          <cell r="AL70" t="str">
            <v>Y</v>
          </cell>
          <cell r="AM70">
            <v>200018403</v>
          </cell>
          <cell r="AN70">
            <v>200028403</v>
          </cell>
          <cell r="AO70">
            <v>200018303</v>
          </cell>
          <cell r="AP70">
            <v>200028303</v>
          </cell>
          <cell r="AQ70">
            <v>200018203</v>
          </cell>
          <cell r="AR70">
            <v>200028203</v>
          </cell>
          <cell r="AS70">
            <v>14.555555555555557</v>
          </cell>
          <cell r="AT70">
            <v>21.182094678710879</v>
          </cell>
          <cell r="AU70">
            <v>15.785588285943929</v>
          </cell>
          <cell r="AV70">
            <v>10.771721446726827</v>
          </cell>
          <cell r="AW70">
            <v>40617</v>
          </cell>
        </row>
        <row r="71">
          <cell r="C71" t="str">
            <v>Evergreen Solar - ES-E 210-220_S</v>
          </cell>
          <cell r="D71" t="str">
            <v>Standard Claw</v>
          </cell>
          <cell r="E71">
            <v>5000005</v>
          </cell>
          <cell r="F71">
            <v>37.452755905511815</v>
          </cell>
          <cell r="G71">
            <v>67.814960629921259</v>
          </cell>
          <cell r="H71">
            <v>1.8110236220472442</v>
          </cell>
          <cell r="I71">
            <v>200010705</v>
          </cell>
          <cell r="J71">
            <v>200010805</v>
          </cell>
          <cell r="K71">
            <v>200013805</v>
          </cell>
          <cell r="L71">
            <v>200016305</v>
          </cell>
          <cell r="M71">
            <v>500012571</v>
          </cell>
          <cell r="N71">
            <v>500012671</v>
          </cell>
          <cell r="O71">
            <v>500012572</v>
          </cell>
          <cell r="P71">
            <v>500012672</v>
          </cell>
          <cell r="Q71">
            <v>12.410776499433517</v>
          </cell>
          <cell r="R71">
            <v>11.089347496878155</v>
          </cell>
          <cell r="S71">
            <v>5.2295117482898927</v>
          </cell>
          <cell r="T71">
            <v>5.2295117482898927</v>
          </cell>
          <cell r="U71">
            <v>12.410776499433517</v>
          </cell>
          <cell r="V71">
            <v>11.089347496878155</v>
          </cell>
          <cell r="W71">
            <v>40</v>
          </cell>
          <cell r="X71">
            <v>33.303149606299215</v>
          </cell>
          <cell r="Y71">
            <v>68.892716535433081</v>
          </cell>
          <cell r="Z71">
            <v>33.303149606299215</v>
          </cell>
          <cell r="AA71">
            <v>68.892716535433081</v>
          </cell>
          <cell r="AB71">
            <v>33.303149606299215</v>
          </cell>
          <cell r="AC71">
            <v>68.892716535433081</v>
          </cell>
          <cell r="AD71">
            <v>68.892716535433081</v>
          </cell>
          <cell r="AE71">
            <v>68.314960629921259</v>
          </cell>
          <cell r="AF71">
            <v>26.314960629921266</v>
          </cell>
          <cell r="AG71">
            <v>37.929133858267718</v>
          </cell>
          <cell r="AH71" t="str">
            <v>N</v>
          </cell>
          <cell r="AI71">
            <v>42.997500000000002</v>
          </cell>
          <cell r="AJ71">
            <v>19.5</v>
          </cell>
          <cell r="AK71" t="str">
            <v>TBD</v>
          </cell>
          <cell r="AL71" t="str">
            <v>Y</v>
          </cell>
          <cell r="AM71">
            <v>200018404</v>
          </cell>
          <cell r="AN71">
            <v>200028404</v>
          </cell>
          <cell r="AO71">
            <v>200018304</v>
          </cell>
          <cell r="AP71">
            <v>200028304</v>
          </cell>
          <cell r="AQ71">
            <v>200018204</v>
          </cell>
          <cell r="AR71">
            <v>200028204</v>
          </cell>
          <cell r="AS71">
            <v>15.222222222222221</v>
          </cell>
          <cell r="AT71">
            <v>21.175180898581257</v>
          </cell>
          <cell r="AU71">
            <v>15.78054449149221</v>
          </cell>
          <cell r="AV71">
            <v>10.768327097061066</v>
          </cell>
          <cell r="AW71">
            <v>40617</v>
          </cell>
        </row>
        <row r="72">
          <cell r="C72" t="str">
            <v>GCL Poly - GCL P6-60 235-245_S</v>
          </cell>
          <cell r="D72" t="str">
            <v>Standard Claw</v>
          </cell>
          <cell r="E72">
            <v>5000005</v>
          </cell>
          <cell r="F72">
            <v>37.007874015748037</v>
          </cell>
          <cell r="G72">
            <v>64.960629921259851</v>
          </cell>
          <cell r="H72">
            <v>1.5354330708661419</v>
          </cell>
          <cell r="I72">
            <v>200010704</v>
          </cell>
          <cell r="J72">
            <v>200010804</v>
          </cell>
          <cell r="K72">
            <v>200013804</v>
          </cell>
          <cell r="L72">
            <v>200016304</v>
          </cell>
          <cell r="M72">
            <v>500012568</v>
          </cell>
          <cell r="N72">
            <v>500012668</v>
          </cell>
          <cell r="O72">
            <v>500012569</v>
          </cell>
          <cell r="P72">
            <v>500012669</v>
          </cell>
          <cell r="Q72">
            <v>12.581545779377787</v>
          </cell>
          <cell r="R72">
            <v>11.241433881440189</v>
          </cell>
          <cell r="S72">
            <v>5.3005176223902808</v>
          </cell>
          <cell r="T72">
            <v>5.3005176223902808</v>
          </cell>
          <cell r="U72">
            <v>12.581545779377787</v>
          </cell>
          <cell r="V72">
            <v>11.241433881440189</v>
          </cell>
          <cell r="W72">
            <v>40</v>
          </cell>
          <cell r="X72">
            <v>32.858267716535437</v>
          </cell>
          <cell r="Y72">
            <v>66.038385826771659</v>
          </cell>
          <cell r="Z72">
            <v>32.858267716535437</v>
          </cell>
          <cell r="AA72">
            <v>66.038385826771659</v>
          </cell>
          <cell r="AB72">
            <v>32.858267716535437</v>
          </cell>
          <cell r="AC72">
            <v>66.038385826771659</v>
          </cell>
          <cell r="AD72">
            <v>66.038385826771659</v>
          </cell>
          <cell r="AE72">
            <v>65.460629921259851</v>
          </cell>
          <cell r="AF72">
            <v>23.460629921259848</v>
          </cell>
          <cell r="AG72">
            <v>37.484251968503941</v>
          </cell>
          <cell r="AH72" t="str">
            <v>N</v>
          </cell>
          <cell r="AI72">
            <v>42.997500000000002</v>
          </cell>
          <cell r="AJ72">
            <v>19.5</v>
          </cell>
          <cell r="AK72" t="str">
            <v>TBD</v>
          </cell>
          <cell r="AL72" t="str">
            <v>Y</v>
          </cell>
          <cell r="AM72">
            <v>200018403</v>
          </cell>
          <cell r="AN72">
            <v>200028403</v>
          </cell>
          <cell r="AO72">
            <v>200018303</v>
          </cell>
          <cell r="AP72">
            <v>200028303</v>
          </cell>
          <cell r="AQ72">
            <v>200018203</v>
          </cell>
          <cell r="AR72">
            <v>200028203</v>
          </cell>
          <cell r="AS72">
            <v>14.555555555555557</v>
          </cell>
          <cell r="AT72">
            <v>21.438838446501453</v>
          </cell>
          <cell r="AU72">
            <v>15.97281150287564</v>
          </cell>
          <cell r="AV72">
            <v>10.897685235861529</v>
          </cell>
          <cell r="AW72">
            <v>41122</v>
          </cell>
        </row>
        <row r="73">
          <cell r="C73" t="str">
            <v>GCL Poly - GCL P6-72 280-300_L</v>
          </cell>
          <cell r="D73" t="str">
            <v>2nd Gen Long Claw (GCL Poly P6 72 Cell)</v>
          </cell>
          <cell r="E73">
            <v>500014411</v>
          </cell>
          <cell r="F73">
            <v>38.937007874015748</v>
          </cell>
          <cell r="G73">
            <v>77.677165354330711</v>
          </cell>
          <cell r="H73">
            <v>1.5354330708661419</v>
          </cell>
          <cell r="I73">
            <v>200010707</v>
          </cell>
          <cell r="J73">
            <v>200010807</v>
          </cell>
          <cell r="K73">
            <v>200013807</v>
          </cell>
          <cell r="L73">
            <v>200016307</v>
          </cell>
          <cell r="M73">
            <v>500012581</v>
          </cell>
          <cell r="N73">
            <v>500012681</v>
          </cell>
          <cell r="O73">
            <v>500012581</v>
          </cell>
          <cell r="P73">
            <v>500012681</v>
          </cell>
          <cell r="Q73">
            <v>10.472504150178661</v>
          </cell>
          <cell r="R73">
            <v>9.3617595686706334</v>
          </cell>
          <cell r="S73">
            <v>4.4210069648361285</v>
          </cell>
          <cell r="T73">
            <v>4.4210069648361285</v>
          </cell>
          <cell r="U73">
            <v>10.472504150178661</v>
          </cell>
          <cell r="V73">
            <v>9.3617595686706334</v>
          </cell>
          <cell r="W73">
            <v>50</v>
          </cell>
          <cell r="X73">
            <v>39.377952755905518</v>
          </cell>
          <cell r="Y73">
            <v>78.43208661417323</v>
          </cell>
          <cell r="Z73">
            <v>39.377952755905518</v>
          </cell>
          <cell r="AA73">
            <v>78.43208661417323</v>
          </cell>
          <cell r="AB73">
            <v>39.377952755905518</v>
          </cell>
          <cell r="AC73">
            <v>78.43208661417323</v>
          </cell>
          <cell r="AD73">
            <v>78.43208661417323</v>
          </cell>
          <cell r="AE73">
            <v>78.177165354330711</v>
          </cell>
          <cell r="AF73">
            <v>36.177165354330711</v>
          </cell>
          <cell r="AG73">
            <v>39.413385826771659</v>
          </cell>
          <cell r="AH73" t="str">
            <v>Y</v>
          </cell>
          <cell r="AI73">
            <v>49.612500000000004</v>
          </cell>
          <cell r="AJ73">
            <v>22.5</v>
          </cell>
          <cell r="AK73" t="str">
            <v>TBD</v>
          </cell>
          <cell r="AL73" t="str">
            <v>Y</v>
          </cell>
          <cell r="AM73">
            <v>200018407</v>
          </cell>
          <cell r="AN73">
            <v>200028407</v>
          </cell>
          <cell r="AO73">
            <v>200018307</v>
          </cell>
          <cell r="AP73">
            <v>200028307</v>
          </cell>
          <cell r="AQ73">
            <v>200018207</v>
          </cell>
          <cell r="AR73">
            <v>200028207</v>
          </cell>
          <cell r="AS73">
            <v>17.222222222222221</v>
          </cell>
          <cell r="AT73">
            <v>20.341667202100606</v>
          </cell>
          <cell r="AU73">
            <v>15.171677372068142</v>
          </cell>
          <cell r="AV73">
            <v>10.358239753326892</v>
          </cell>
          <cell r="AW73">
            <v>41122</v>
          </cell>
        </row>
        <row r="74">
          <cell r="C74" t="str">
            <v>GE Energy - GE-CIGS 130-155_S</v>
          </cell>
          <cell r="D74" t="str">
            <v>Standard Claw</v>
          </cell>
          <cell r="E74">
            <v>5000005</v>
          </cell>
          <cell r="F74">
            <v>39.251968503937007</v>
          </cell>
          <cell r="G74">
            <v>49.409448818897637</v>
          </cell>
          <cell r="H74">
            <v>1.3779527559055118</v>
          </cell>
          <cell r="I74">
            <v>200010701</v>
          </cell>
          <cell r="J74">
            <v>200010801</v>
          </cell>
          <cell r="K74">
            <v>200013801</v>
          </cell>
          <cell r="L74">
            <v>200016301</v>
          </cell>
          <cell r="M74">
            <v>500012554</v>
          </cell>
          <cell r="N74">
            <v>500012654</v>
          </cell>
          <cell r="O74">
            <v>500012554</v>
          </cell>
          <cell r="P74">
            <v>500012654</v>
          </cell>
          <cell r="Q74">
            <v>11.50360408509002</v>
          </cell>
          <cell r="R74">
            <v>10.281085349492539</v>
          </cell>
          <cell r="S74">
            <v>4.8516763621064163</v>
          </cell>
          <cell r="T74">
            <v>4.8516763621064163</v>
          </cell>
          <cell r="U74">
            <v>11.50360408509002</v>
          </cell>
          <cell r="V74">
            <v>10.281085349492539</v>
          </cell>
          <cell r="W74">
            <v>30</v>
          </cell>
          <cell r="X74">
            <v>35.889763779527563</v>
          </cell>
          <cell r="Y74">
            <v>51.2746062992126</v>
          </cell>
          <cell r="Z74">
            <v>35.889763779527563</v>
          </cell>
          <cell r="AA74">
            <v>51.2746062992126</v>
          </cell>
          <cell r="AB74">
            <v>35.889763779527563</v>
          </cell>
          <cell r="AC74">
            <v>51.2746062992126</v>
          </cell>
          <cell r="AD74">
            <v>51.2746062992126</v>
          </cell>
          <cell r="AE74" t="str">
            <v>NA</v>
          </cell>
          <cell r="AF74" t="str">
            <v>NA</v>
          </cell>
          <cell r="AG74" t="str">
            <v>NA</v>
          </cell>
          <cell r="AH74" t="str">
            <v>Y</v>
          </cell>
          <cell r="AI74">
            <v>44.1</v>
          </cell>
          <cell r="AJ74">
            <v>20</v>
          </cell>
          <cell r="AK74" t="str">
            <v>TBD</v>
          </cell>
          <cell r="AL74" t="str">
            <v>Y</v>
          </cell>
          <cell r="AM74" t="str">
            <v>2000184TBD</v>
          </cell>
          <cell r="AN74" t="str">
            <v>2000284TBD</v>
          </cell>
          <cell r="AO74" t="str">
            <v>2000183TBD</v>
          </cell>
          <cell r="AP74" t="str">
            <v>2000283TBD</v>
          </cell>
          <cell r="AQ74" t="str">
            <v>2000182TBD</v>
          </cell>
          <cell r="AR74" t="str">
            <v>2000282TBD</v>
          </cell>
          <cell r="AS74" t="str">
            <v>TBD</v>
          </cell>
          <cell r="AT74" t="str">
            <v>NA</v>
          </cell>
          <cell r="AU74" t="str">
            <v>NA</v>
          </cell>
          <cell r="AV74" t="str">
            <v>NA</v>
          </cell>
          <cell r="AW74">
            <v>41122</v>
          </cell>
        </row>
        <row r="75">
          <cell r="C75" t="str">
            <v>Grape Solar - CS-S-DJ 180-185- GS-S-Fab3-Fab1 190-200_S</v>
          </cell>
          <cell r="D75" t="str">
            <v>Standard Claw</v>
          </cell>
          <cell r="E75">
            <v>5000005</v>
          </cell>
          <cell r="F75">
            <v>31.811023622047244</v>
          </cell>
          <cell r="G75">
            <v>62.204724409448822</v>
          </cell>
          <cell r="H75">
            <v>1.5748031496062993</v>
          </cell>
          <cell r="I75">
            <v>200010704</v>
          </cell>
          <cell r="J75">
            <v>200010804</v>
          </cell>
          <cell r="K75">
            <v>200013804</v>
          </cell>
          <cell r="L75">
            <v>200016304</v>
          </cell>
          <cell r="M75">
            <v>500012566</v>
          </cell>
          <cell r="N75">
            <v>500012666</v>
          </cell>
          <cell r="O75">
            <v>500012566</v>
          </cell>
          <cell r="P75">
            <v>500012666</v>
          </cell>
          <cell r="Q75">
            <v>14.780819563929326</v>
          </cell>
          <cell r="R75">
            <v>13.198114568872393</v>
          </cell>
          <cell r="S75">
            <v>6.211295317501194</v>
          </cell>
          <cell r="T75">
            <v>6.211295317501194</v>
          </cell>
          <cell r="U75">
            <v>14.780819563929326</v>
          </cell>
          <cell r="V75">
            <v>13.198114568872393</v>
          </cell>
          <cell r="W75">
            <v>30</v>
          </cell>
          <cell r="X75">
            <v>28.055118110236222</v>
          </cell>
          <cell r="Y75">
            <v>63.676181102362207</v>
          </cell>
          <cell r="Z75">
            <v>28.055118110236222</v>
          </cell>
          <cell r="AA75">
            <v>63.676181102362207</v>
          </cell>
          <cell r="AB75">
            <v>28.055118110236222</v>
          </cell>
          <cell r="AC75">
            <v>63.676181102362207</v>
          </cell>
          <cell r="AD75">
            <v>63.676181102362207</v>
          </cell>
          <cell r="AE75">
            <v>62.704724409448822</v>
          </cell>
          <cell r="AF75">
            <v>20.704724409448822</v>
          </cell>
          <cell r="AG75">
            <v>32.681102362204726</v>
          </cell>
          <cell r="AH75" t="str">
            <v>N</v>
          </cell>
          <cell r="AI75">
            <v>34.177500000000002</v>
          </cell>
          <cell r="AJ75">
            <v>15.5</v>
          </cell>
          <cell r="AK75" t="str">
            <v>TBD</v>
          </cell>
          <cell r="AL75" t="str">
            <v>Y</v>
          </cell>
          <cell r="AM75">
            <v>200018402</v>
          </cell>
          <cell r="AN75">
            <v>200028402</v>
          </cell>
          <cell r="AO75">
            <v>200018302</v>
          </cell>
          <cell r="AP75">
            <v>200028302</v>
          </cell>
          <cell r="AQ75">
            <v>200018202</v>
          </cell>
          <cell r="AR75">
            <v>200028202</v>
          </cell>
          <cell r="AS75">
            <v>13.888888888888888</v>
          </cell>
          <cell r="AT75">
            <v>24.785769092963804</v>
          </cell>
          <cell r="AU75">
            <v>18.39852585667062</v>
          </cell>
          <cell r="AV75">
            <v>12.523577389800897</v>
          </cell>
          <cell r="AW75">
            <v>40746</v>
          </cell>
        </row>
        <row r="76">
          <cell r="C76" t="str">
            <v>Grape Solar - GS-S-240-Fab1_S</v>
          </cell>
          <cell r="D76" t="str">
            <v>Standard Claw</v>
          </cell>
          <cell r="E76">
            <v>5000005</v>
          </cell>
          <cell r="F76">
            <v>39.370078740157481</v>
          </cell>
          <cell r="G76">
            <v>65.039370078740163</v>
          </cell>
          <cell r="H76">
            <v>1.9685039370078741</v>
          </cell>
          <cell r="I76">
            <v>200010704</v>
          </cell>
          <cell r="J76">
            <v>200010804</v>
          </cell>
          <cell r="K76">
            <v>200013804</v>
          </cell>
          <cell r="L76">
            <v>200016304</v>
          </cell>
          <cell r="M76">
            <v>500012569</v>
          </cell>
          <cell r="N76">
            <v>500012669</v>
          </cell>
          <cell r="O76">
            <v>500012569</v>
          </cell>
          <cell r="P76">
            <v>500012669</v>
          </cell>
          <cell r="Q76">
            <v>11.593851817515533</v>
          </cell>
          <cell r="R76">
            <v>10.361517999726759</v>
          </cell>
          <cell r="S76">
            <v>4.8893107769288457</v>
          </cell>
          <cell r="T76">
            <v>4.8893107769288457</v>
          </cell>
          <cell r="U76">
            <v>11.593851817515533</v>
          </cell>
          <cell r="V76">
            <v>10.361517999726759</v>
          </cell>
          <cell r="W76">
            <v>30</v>
          </cell>
          <cell r="X76">
            <v>35.614173228346459</v>
          </cell>
          <cell r="Y76">
            <v>66.510826771653541</v>
          </cell>
          <cell r="Z76">
            <v>35.614173228346459</v>
          </cell>
          <cell r="AA76">
            <v>66.510826771653541</v>
          </cell>
          <cell r="AB76">
            <v>35.614173228346459</v>
          </cell>
          <cell r="AC76">
            <v>66.510826771653541</v>
          </cell>
          <cell r="AD76">
            <v>66.510826771653541</v>
          </cell>
          <cell r="AE76">
            <v>65.539370078740163</v>
          </cell>
          <cell r="AF76">
            <v>23.539370078740163</v>
          </cell>
          <cell r="AG76">
            <v>40.240157480314963</v>
          </cell>
          <cell r="AH76" t="str">
            <v>N</v>
          </cell>
          <cell r="AI76">
            <v>44.1</v>
          </cell>
          <cell r="AJ76">
            <v>20</v>
          </cell>
          <cell r="AK76" t="str">
            <v>TBD</v>
          </cell>
          <cell r="AL76" t="str">
            <v>Y</v>
          </cell>
          <cell r="AM76">
            <v>200018403</v>
          </cell>
          <cell r="AN76">
            <v>200028403</v>
          </cell>
          <cell r="AO76">
            <v>200018303</v>
          </cell>
          <cell r="AP76">
            <v>200028303</v>
          </cell>
          <cell r="AQ76">
            <v>200018203</v>
          </cell>
          <cell r="AR76">
            <v>200028203</v>
          </cell>
          <cell r="AS76">
            <v>14.555555555555557</v>
          </cell>
          <cell r="AT76">
            <v>19.905846229389603</v>
          </cell>
          <cell r="AU76">
            <v>14.852704372847956</v>
          </cell>
          <cell r="AV76">
            <v>10.143144054640397</v>
          </cell>
          <cell r="AW76">
            <v>40746</v>
          </cell>
        </row>
        <row r="77">
          <cell r="C77" t="str">
            <v>Grape Solar - GS-S-250-Fab5_S</v>
          </cell>
          <cell r="D77" t="str">
            <v>Standard Claw</v>
          </cell>
          <cell r="E77">
            <v>5000005</v>
          </cell>
          <cell r="F77">
            <v>38.976377952755911</v>
          </cell>
          <cell r="G77">
            <v>64.566929133858267</v>
          </cell>
          <cell r="H77">
            <v>1.5748031496062993</v>
          </cell>
          <cell r="I77">
            <v>200010704</v>
          </cell>
          <cell r="J77">
            <v>200010804</v>
          </cell>
          <cell r="K77">
            <v>200013804</v>
          </cell>
          <cell r="L77">
            <v>200016304</v>
          </cell>
          <cell r="M77">
            <v>500012568</v>
          </cell>
          <cell r="N77">
            <v>500012668</v>
          </cell>
          <cell r="O77">
            <v>500012569</v>
          </cell>
          <cell r="P77">
            <v>500012669</v>
          </cell>
          <cell r="Q77">
            <v>11.725279318414811</v>
          </cell>
          <cell r="R77">
            <v>10.478642249707667</v>
          </cell>
          <cell r="S77">
            <v>4.9440996728708777</v>
          </cell>
          <cell r="T77">
            <v>4.9440996728708777</v>
          </cell>
          <cell r="U77">
            <v>11.725279318414811</v>
          </cell>
          <cell r="V77">
            <v>10.478642249707667</v>
          </cell>
          <cell r="W77">
            <v>30</v>
          </cell>
          <cell r="X77">
            <v>35.220472440944881</v>
          </cell>
          <cell r="Y77">
            <v>66.038385826771659</v>
          </cell>
          <cell r="Z77">
            <v>35.220472440944881</v>
          </cell>
          <cell r="AA77">
            <v>66.038385826771659</v>
          </cell>
          <cell r="AB77">
            <v>35.220472440944881</v>
          </cell>
          <cell r="AC77">
            <v>66.038385826771659</v>
          </cell>
          <cell r="AD77">
            <v>66.038385826771659</v>
          </cell>
          <cell r="AE77">
            <v>65.066929133858267</v>
          </cell>
          <cell r="AF77">
            <v>23.066929133858274</v>
          </cell>
          <cell r="AG77">
            <v>39.846456692913392</v>
          </cell>
          <cell r="AH77" t="str">
            <v>N</v>
          </cell>
          <cell r="AI77">
            <v>44.1</v>
          </cell>
          <cell r="AJ77">
            <v>20</v>
          </cell>
          <cell r="AK77" t="str">
            <v>TBD</v>
          </cell>
          <cell r="AL77" t="str">
            <v>Y</v>
          </cell>
          <cell r="AM77">
            <v>200018403</v>
          </cell>
          <cell r="AN77">
            <v>200028403</v>
          </cell>
          <cell r="AO77">
            <v>200018303</v>
          </cell>
          <cell r="AP77">
            <v>200028303</v>
          </cell>
          <cell r="AQ77">
            <v>200018203</v>
          </cell>
          <cell r="AR77">
            <v>200028203</v>
          </cell>
          <cell r="AS77">
            <v>14.555555555555557</v>
          </cell>
          <cell r="AT77">
            <v>20.110973161651764</v>
          </cell>
          <cell r="AU77">
            <v>15.002886128524771</v>
          </cell>
          <cell r="AV77">
            <v>10.244439167746933</v>
          </cell>
          <cell r="AW77">
            <v>40746</v>
          </cell>
        </row>
        <row r="78">
          <cell r="C78" t="str">
            <v>Grape Solar - GS-S-255-Fa3_S</v>
          </cell>
          <cell r="D78" t="str">
            <v>Standard Claw</v>
          </cell>
          <cell r="E78">
            <v>5000005</v>
          </cell>
          <cell r="F78">
            <v>42.047244094488192</v>
          </cell>
          <cell r="G78">
            <v>62.28346456692914</v>
          </cell>
          <cell r="H78">
            <v>1.9685039370078741</v>
          </cell>
          <cell r="I78">
            <v>200010704</v>
          </cell>
          <cell r="J78">
            <v>200010804</v>
          </cell>
          <cell r="K78">
            <v>200013804</v>
          </cell>
          <cell r="L78">
            <v>200016304</v>
          </cell>
          <cell r="M78">
            <v>500012566</v>
          </cell>
          <cell r="N78">
            <v>500012666</v>
          </cell>
          <cell r="O78">
            <v>500012566</v>
          </cell>
          <cell r="P78">
            <v>500012666</v>
          </cell>
          <cell r="Q78">
            <v>10.773189637539925</v>
          </cell>
          <cell r="R78">
            <v>9.6299174575486735</v>
          </cell>
          <cell r="S78">
            <v>4.5467246307897273</v>
          </cell>
          <cell r="T78">
            <v>4.5467246307897273</v>
          </cell>
          <cell r="U78">
            <v>10.773189637539925</v>
          </cell>
          <cell r="V78">
            <v>9.6299174575486735</v>
          </cell>
          <cell r="W78">
            <v>30</v>
          </cell>
          <cell r="X78">
            <v>38.29133858267717</v>
          </cell>
          <cell r="Y78">
            <v>63.754921259842526</v>
          </cell>
          <cell r="Z78">
            <v>38.29133858267717</v>
          </cell>
          <cell r="AA78">
            <v>63.754921259842526</v>
          </cell>
          <cell r="AB78">
            <v>38.29133858267717</v>
          </cell>
          <cell r="AC78">
            <v>63.754921259842526</v>
          </cell>
          <cell r="AD78">
            <v>63.754921259842526</v>
          </cell>
          <cell r="AE78">
            <v>62.78346456692914</v>
          </cell>
          <cell r="AF78">
            <v>20.783464566929137</v>
          </cell>
          <cell r="AG78">
            <v>42.917322834645667</v>
          </cell>
          <cell r="AH78" t="str">
            <v>N</v>
          </cell>
          <cell r="AI78">
            <v>44.1</v>
          </cell>
          <cell r="AJ78">
            <v>20</v>
          </cell>
          <cell r="AK78" t="str">
            <v>TBD</v>
          </cell>
          <cell r="AL78" t="str">
            <v>Y</v>
          </cell>
          <cell r="AM78">
            <v>200018402</v>
          </cell>
          <cell r="AN78">
            <v>200028402</v>
          </cell>
          <cell r="AO78">
            <v>200018302</v>
          </cell>
          <cell r="AP78">
            <v>200028302</v>
          </cell>
          <cell r="AQ78">
            <v>200018202</v>
          </cell>
          <cell r="AR78">
            <v>200028202</v>
          </cell>
          <cell r="AS78">
            <v>13.888888888888888</v>
          </cell>
          <cell r="AT78">
            <v>18.616774091610804</v>
          </cell>
          <cell r="AU78">
            <v>13.906898853604041</v>
          </cell>
          <cell r="AV78">
            <v>9.5043488290473714</v>
          </cell>
          <cell r="AW78">
            <v>40746</v>
          </cell>
        </row>
        <row r="79">
          <cell r="C79" t="str">
            <v>Grape Solar - GS-S-Fab1 270-300- GS-P-Fab1 290-295_S</v>
          </cell>
          <cell r="D79" t="str">
            <v>Standard Claw</v>
          </cell>
          <cell r="E79">
            <v>5000005</v>
          </cell>
          <cell r="F79">
            <v>39.370078740157481</v>
          </cell>
          <cell r="G79">
            <v>77.480314960629926</v>
          </cell>
          <cell r="H79">
            <v>1.9685039370078741</v>
          </cell>
          <cell r="I79">
            <v>200010707</v>
          </cell>
          <cell r="J79">
            <v>200010807</v>
          </cell>
          <cell r="K79">
            <v>200013807</v>
          </cell>
          <cell r="L79">
            <v>200016307</v>
          </cell>
          <cell r="M79">
            <v>500012581</v>
          </cell>
          <cell r="N79">
            <v>500012681</v>
          </cell>
          <cell r="O79">
            <v>500012581</v>
          </cell>
          <cell r="P79">
            <v>500012681</v>
          </cell>
          <cell r="Q79">
            <v>11.593851817515533</v>
          </cell>
          <cell r="R79">
            <v>10.361517999726759</v>
          </cell>
          <cell r="S79">
            <v>4.8893107769288457</v>
          </cell>
          <cell r="T79">
            <v>4.8893107769288457</v>
          </cell>
          <cell r="U79">
            <v>11.593851817515533</v>
          </cell>
          <cell r="V79">
            <v>10.361517999726759</v>
          </cell>
          <cell r="W79">
            <v>30</v>
          </cell>
          <cell r="X79">
            <v>35.614173228346459</v>
          </cell>
          <cell r="Y79">
            <v>78.951771653543318</v>
          </cell>
          <cell r="Z79">
            <v>35.614173228346459</v>
          </cell>
          <cell r="AA79">
            <v>78.951771653543318</v>
          </cell>
          <cell r="AB79">
            <v>35.614173228346459</v>
          </cell>
          <cell r="AC79">
            <v>78.951771653543318</v>
          </cell>
          <cell r="AD79">
            <v>78.951771653543318</v>
          </cell>
          <cell r="AE79">
            <v>77.980314960629926</v>
          </cell>
          <cell r="AF79">
            <v>35.980314960629926</v>
          </cell>
          <cell r="AG79">
            <v>40.240157480314963</v>
          </cell>
          <cell r="AH79" t="str">
            <v>N</v>
          </cell>
          <cell r="AI79">
            <v>52.92</v>
          </cell>
          <cell r="AJ79">
            <v>24</v>
          </cell>
          <cell r="AK79" t="str">
            <v>TBD</v>
          </cell>
          <cell r="AL79" t="str">
            <v>Y</v>
          </cell>
          <cell r="AM79">
            <v>200018407</v>
          </cell>
          <cell r="AN79">
            <v>200028407</v>
          </cell>
          <cell r="AO79">
            <v>200018307</v>
          </cell>
          <cell r="AP79">
            <v>200028307</v>
          </cell>
          <cell r="AQ79">
            <v>200018207</v>
          </cell>
          <cell r="AR79">
            <v>200028207</v>
          </cell>
          <cell r="AS79">
            <v>17.222222222222221</v>
          </cell>
          <cell r="AT79">
            <v>19.905846229389603</v>
          </cell>
          <cell r="AU79">
            <v>14.852704372847956</v>
          </cell>
          <cell r="AV79">
            <v>10.143144054640397</v>
          </cell>
          <cell r="AW79">
            <v>40746</v>
          </cell>
        </row>
        <row r="80">
          <cell r="C80" t="str">
            <v>Grape Solar - GS-S-TS-Platinum 385-410_S</v>
          </cell>
          <cell r="D80" t="str">
            <v>Standard Claw</v>
          </cell>
          <cell r="E80">
            <v>5000005</v>
          </cell>
          <cell r="F80">
            <v>51.496062992125985</v>
          </cell>
          <cell r="G80">
            <v>77.165354330708666</v>
          </cell>
          <cell r="H80">
            <v>1.5748031496062993</v>
          </cell>
          <cell r="I80">
            <v>200010707</v>
          </cell>
          <cell r="J80">
            <v>200010807</v>
          </cell>
          <cell r="K80">
            <v>200013807</v>
          </cell>
          <cell r="L80">
            <v>200016307</v>
          </cell>
          <cell r="M80">
            <v>500012581</v>
          </cell>
          <cell r="N80">
            <v>500012681</v>
          </cell>
          <cell r="O80">
            <v>500012581</v>
          </cell>
          <cell r="P80">
            <v>500012681</v>
          </cell>
          <cell r="Q80">
            <v>8.6226253875479095</v>
          </cell>
          <cell r="R80">
            <v>7.710888005830153</v>
          </cell>
          <cell r="S80">
            <v>3.6454613919061694</v>
          </cell>
          <cell r="T80">
            <v>3.6454613919061694</v>
          </cell>
          <cell r="U80">
            <v>8.6226253875479095</v>
          </cell>
          <cell r="V80">
            <v>7.710888005830153</v>
          </cell>
          <cell r="W80">
            <v>30</v>
          </cell>
          <cell r="X80">
            <v>47.740157480314963</v>
          </cell>
          <cell r="Y80">
            <v>78.636811023622045</v>
          </cell>
          <cell r="Z80">
            <v>47.740157480314963</v>
          </cell>
          <cell r="AA80">
            <v>78.636811023622045</v>
          </cell>
          <cell r="AB80">
            <v>47.740157480314963</v>
          </cell>
          <cell r="AC80">
            <v>78.636811023622045</v>
          </cell>
          <cell r="AD80">
            <v>78.636811023622045</v>
          </cell>
          <cell r="AE80">
            <v>77.665354330708666</v>
          </cell>
          <cell r="AF80">
            <v>35.665354330708666</v>
          </cell>
          <cell r="AG80">
            <v>52.366141732283467</v>
          </cell>
          <cell r="AH80" t="str">
            <v>N</v>
          </cell>
          <cell r="AI80">
            <v>78.277500000000003</v>
          </cell>
          <cell r="AJ80">
            <v>35.5</v>
          </cell>
          <cell r="AK80" t="str">
            <v>TBD</v>
          </cell>
          <cell r="AL80" t="str">
            <v>Y</v>
          </cell>
          <cell r="AM80">
            <v>200018407</v>
          </cell>
          <cell r="AN80">
            <v>200028407</v>
          </cell>
          <cell r="AO80">
            <v>200018307</v>
          </cell>
          <cell r="AP80">
            <v>200028307</v>
          </cell>
          <cell r="AQ80">
            <v>200018207</v>
          </cell>
          <cell r="AR80">
            <v>200028207</v>
          </cell>
          <cell r="AS80">
            <v>17.222222222222221</v>
          </cell>
          <cell r="AT80">
            <v>15.167067555207536</v>
          </cell>
          <cell r="AU80">
            <v>11.360276831802061</v>
          </cell>
          <cell r="AV80">
            <v>7.7775968384255716</v>
          </cell>
          <cell r="AW80">
            <v>40746</v>
          </cell>
        </row>
        <row r="81">
          <cell r="C81" t="str">
            <v>Grape Solar - CS-P-DJ 220-230_S</v>
          </cell>
          <cell r="D81" t="str">
            <v>Standard Claw</v>
          </cell>
          <cell r="E81">
            <v>5000005</v>
          </cell>
          <cell r="F81">
            <v>38.976377952755911</v>
          </cell>
          <cell r="G81">
            <v>64.960629921259851</v>
          </cell>
          <cell r="H81">
            <v>1.5748031496062993</v>
          </cell>
          <cell r="I81">
            <v>200010704</v>
          </cell>
          <cell r="J81">
            <v>200010804</v>
          </cell>
          <cell r="K81">
            <v>200013804</v>
          </cell>
          <cell r="L81">
            <v>200016304</v>
          </cell>
          <cell r="M81">
            <v>500012569</v>
          </cell>
          <cell r="N81">
            <v>500012669</v>
          </cell>
          <cell r="O81">
            <v>500012569</v>
          </cell>
          <cell r="P81">
            <v>500012669</v>
          </cell>
          <cell r="Q81">
            <v>11.725279318414811</v>
          </cell>
          <cell r="R81">
            <v>10.478642249707667</v>
          </cell>
          <cell r="S81">
            <v>4.9440996728708777</v>
          </cell>
          <cell r="T81">
            <v>4.9440996728708777</v>
          </cell>
          <cell r="U81">
            <v>11.725279318414811</v>
          </cell>
          <cell r="V81">
            <v>10.478642249707667</v>
          </cell>
          <cell r="W81">
            <v>30</v>
          </cell>
          <cell r="X81">
            <v>35.220472440944881</v>
          </cell>
          <cell r="Y81">
            <v>66.43208661417323</v>
          </cell>
          <cell r="Z81">
            <v>35.220472440944881</v>
          </cell>
          <cell r="AA81">
            <v>66.43208661417323</v>
          </cell>
          <cell r="AB81">
            <v>35.220472440944881</v>
          </cell>
          <cell r="AC81">
            <v>66.43208661417323</v>
          </cell>
          <cell r="AD81">
            <v>66.43208661417323</v>
          </cell>
          <cell r="AE81">
            <v>65.460629921259851</v>
          </cell>
          <cell r="AF81">
            <v>23.460629921259848</v>
          </cell>
          <cell r="AG81">
            <v>39.846456692913392</v>
          </cell>
          <cell r="AH81" t="str">
            <v>Y</v>
          </cell>
          <cell r="AI81">
            <v>42.997500000000002</v>
          </cell>
          <cell r="AJ81">
            <v>19.5</v>
          </cell>
          <cell r="AK81" t="str">
            <v>TBD</v>
          </cell>
          <cell r="AL81" t="str">
            <v>Y</v>
          </cell>
          <cell r="AM81">
            <v>200018403</v>
          </cell>
          <cell r="AN81">
            <v>200028403</v>
          </cell>
          <cell r="AO81">
            <v>200018303</v>
          </cell>
          <cell r="AP81">
            <v>200028303</v>
          </cell>
          <cell r="AQ81">
            <v>200018203</v>
          </cell>
          <cell r="AR81">
            <v>200028203</v>
          </cell>
          <cell r="AS81">
            <v>14.555555555555557</v>
          </cell>
          <cell r="AT81">
            <v>20.110973161651764</v>
          </cell>
          <cell r="AU81">
            <v>15.002886128524771</v>
          </cell>
          <cell r="AV81">
            <v>10.244439167746933</v>
          </cell>
          <cell r="AW81">
            <v>40746</v>
          </cell>
        </row>
        <row r="82">
          <cell r="C82" t="str">
            <v>Grape Solar - CS-P-240-DJ- GS-P-225-EUG_S</v>
          </cell>
          <cell r="D82" t="str">
            <v>Standard Claw</v>
          </cell>
          <cell r="E82">
            <v>5000005</v>
          </cell>
          <cell r="F82">
            <v>39.055118110236222</v>
          </cell>
          <cell r="G82">
            <v>64.566929133858267</v>
          </cell>
          <cell r="H82">
            <v>1.8110236220472442</v>
          </cell>
          <cell r="I82">
            <v>200010704</v>
          </cell>
          <cell r="J82">
            <v>200010804</v>
          </cell>
          <cell r="K82">
            <v>200013804</v>
          </cell>
          <cell r="L82">
            <v>200016304</v>
          </cell>
          <cell r="M82">
            <v>500012568</v>
          </cell>
          <cell r="N82">
            <v>500012668</v>
          </cell>
          <cell r="O82">
            <v>500012569</v>
          </cell>
          <cell r="P82">
            <v>500012669</v>
          </cell>
          <cell r="Q82">
            <v>11.698754267040043</v>
          </cell>
          <cell r="R82">
            <v>10.455004839041191</v>
          </cell>
          <cell r="S82">
            <v>4.9330437584696041</v>
          </cell>
          <cell r="T82">
            <v>4.9330437584696041</v>
          </cell>
          <cell r="U82">
            <v>11.698754267040043</v>
          </cell>
          <cell r="V82">
            <v>10.455004839041191</v>
          </cell>
          <cell r="W82">
            <v>30</v>
          </cell>
          <cell r="X82">
            <v>35.2992125984252</v>
          </cell>
          <cell r="Y82">
            <v>66.038385826771659</v>
          </cell>
          <cell r="Z82">
            <v>35.2992125984252</v>
          </cell>
          <cell r="AA82">
            <v>66.038385826771659</v>
          </cell>
          <cell r="AB82">
            <v>35.2992125984252</v>
          </cell>
          <cell r="AC82">
            <v>66.038385826771659</v>
          </cell>
          <cell r="AD82">
            <v>66.038385826771659</v>
          </cell>
          <cell r="AE82">
            <v>65.066929133858267</v>
          </cell>
          <cell r="AF82">
            <v>23.066929133858274</v>
          </cell>
          <cell r="AG82">
            <v>39.925196850393704</v>
          </cell>
          <cell r="AH82" t="str">
            <v>Y</v>
          </cell>
          <cell r="AI82">
            <v>42.997500000000002</v>
          </cell>
          <cell r="AJ82">
            <v>19.5</v>
          </cell>
          <cell r="AK82" t="str">
            <v>TBD</v>
          </cell>
          <cell r="AL82" t="str">
            <v>Y</v>
          </cell>
          <cell r="AM82">
            <v>200018403</v>
          </cell>
          <cell r="AN82">
            <v>200028403</v>
          </cell>
          <cell r="AO82">
            <v>200018303</v>
          </cell>
          <cell r="AP82">
            <v>200028303</v>
          </cell>
          <cell r="AQ82">
            <v>200018203</v>
          </cell>
          <cell r="AR82">
            <v>200028203</v>
          </cell>
          <cell r="AS82">
            <v>14.555555555555557</v>
          </cell>
          <cell r="AT82">
            <v>20.069602586497279</v>
          </cell>
          <cell r="AU82">
            <v>14.97260437224279</v>
          </cell>
          <cell r="AV82">
            <v>10.224017732239455</v>
          </cell>
          <cell r="AW82">
            <v>40746</v>
          </cell>
        </row>
        <row r="83">
          <cell r="C83" t="str">
            <v>Grape Solar - GS-P-235-Fab5_S</v>
          </cell>
          <cell r="D83" t="str">
            <v>Standard Claw</v>
          </cell>
          <cell r="E83">
            <v>5000005</v>
          </cell>
          <cell r="F83">
            <v>38.976377952755911</v>
          </cell>
          <cell r="G83">
            <v>64.960629921259851</v>
          </cell>
          <cell r="H83">
            <v>1.9685039370078741</v>
          </cell>
          <cell r="I83">
            <v>200010704</v>
          </cell>
          <cell r="J83">
            <v>200010804</v>
          </cell>
          <cell r="K83">
            <v>200013804</v>
          </cell>
          <cell r="L83">
            <v>200016304</v>
          </cell>
          <cell r="M83">
            <v>500012569</v>
          </cell>
          <cell r="N83">
            <v>500012669</v>
          </cell>
          <cell r="O83">
            <v>500012569</v>
          </cell>
          <cell r="P83">
            <v>500012669</v>
          </cell>
          <cell r="Q83">
            <v>11.725279318414811</v>
          </cell>
          <cell r="R83">
            <v>10.478642249707667</v>
          </cell>
          <cell r="S83">
            <v>4.9440996728708777</v>
          </cell>
          <cell r="T83">
            <v>4.9440996728708777</v>
          </cell>
          <cell r="U83">
            <v>11.725279318414811</v>
          </cell>
          <cell r="V83">
            <v>10.478642249707667</v>
          </cell>
          <cell r="W83">
            <v>30</v>
          </cell>
          <cell r="X83">
            <v>35.220472440944881</v>
          </cell>
          <cell r="Y83">
            <v>66.43208661417323</v>
          </cell>
          <cell r="Z83">
            <v>35.220472440944881</v>
          </cell>
          <cell r="AA83">
            <v>66.43208661417323</v>
          </cell>
          <cell r="AB83">
            <v>35.220472440944881</v>
          </cell>
          <cell r="AC83">
            <v>66.43208661417323</v>
          </cell>
          <cell r="AD83">
            <v>66.43208661417323</v>
          </cell>
          <cell r="AE83">
            <v>65.460629921259851</v>
          </cell>
          <cell r="AF83">
            <v>23.460629921259848</v>
          </cell>
          <cell r="AG83">
            <v>39.846456692913392</v>
          </cell>
          <cell r="AH83" t="str">
            <v>N</v>
          </cell>
          <cell r="AI83">
            <v>42.997500000000002</v>
          </cell>
          <cell r="AJ83">
            <v>19.5</v>
          </cell>
          <cell r="AK83" t="str">
            <v>TBD</v>
          </cell>
          <cell r="AL83" t="str">
            <v>Y</v>
          </cell>
          <cell r="AM83">
            <v>200018403</v>
          </cell>
          <cell r="AN83">
            <v>200028403</v>
          </cell>
          <cell r="AO83">
            <v>200018303</v>
          </cell>
          <cell r="AP83">
            <v>200028303</v>
          </cell>
          <cell r="AQ83">
            <v>200018203</v>
          </cell>
          <cell r="AR83">
            <v>200028203</v>
          </cell>
          <cell r="AS83">
            <v>14.555555555555557</v>
          </cell>
          <cell r="AT83">
            <v>20.110973161651764</v>
          </cell>
          <cell r="AU83">
            <v>15.002886128524771</v>
          </cell>
          <cell r="AV83">
            <v>10.244439167746933</v>
          </cell>
          <cell r="AW83">
            <v>40746</v>
          </cell>
        </row>
        <row r="84">
          <cell r="C84" t="str">
            <v>Grape Solar - CS-P-270-DJ_S</v>
          </cell>
          <cell r="D84" t="str">
            <v>Standard Claw</v>
          </cell>
          <cell r="E84">
            <v>5000005</v>
          </cell>
          <cell r="F84">
            <v>38.976377952755911</v>
          </cell>
          <cell r="G84">
            <v>77.047244094488192</v>
          </cell>
          <cell r="H84">
            <v>1.9685039370078741</v>
          </cell>
          <cell r="I84">
            <v>200010707</v>
          </cell>
          <cell r="J84">
            <v>200010807</v>
          </cell>
          <cell r="K84">
            <v>200013807</v>
          </cell>
          <cell r="L84">
            <v>200016307</v>
          </cell>
          <cell r="M84">
            <v>500012581</v>
          </cell>
          <cell r="N84">
            <v>500012681</v>
          </cell>
          <cell r="O84">
            <v>500012581</v>
          </cell>
          <cell r="P84">
            <v>500012681</v>
          </cell>
          <cell r="Q84">
            <v>11.725279318414811</v>
          </cell>
          <cell r="R84">
            <v>10.478642249707667</v>
          </cell>
          <cell r="S84">
            <v>4.9440996728708777</v>
          </cell>
          <cell r="T84">
            <v>4.9440996728708777</v>
          </cell>
          <cell r="U84">
            <v>11.725279318414811</v>
          </cell>
          <cell r="V84">
            <v>10.478642249707667</v>
          </cell>
          <cell r="W84">
            <v>30</v>
          </cell>
          <cell r="X84">
            <v>35.220472440944881</v>
          </cell>
          <cell r="Y84">
            <v>78.518700787401585</v>
          </cell>
          <cell r="Z84">
            <v>35.220472440944881</v>
          </cell>
          <cell r="AA84">
            <v>78.518700787401585</v>
          </cell>
          <cell r="AB84">
            <v>35.220472440944881</v>
          </cell>
          <cell r="AC84">
            <v>78.518700787401585</v>
          </cell>
          <cell r="AD84">
            <v>78.518700787401585</v>
          </cell>
          <cell r="AE84">
            <v>77.547244094488192</v>
          </cell>
          <cell r="AF84">
            <v>35.547244094488192</v>
          </cell>
          <cell r="AG84">
            <v>39.846456692913392</v>
          </cell>
          <cell r="AH84" t="str">
            <v>Y</v>
          </cell>
          <cell r="AI84">
            <v>55.125</v>
          </cell>
          <cell r="AJ84">
            <v>25</v>
          </cell>
          <cell r="AK84" t="str">
            <v>TBD</v>
          </cell>
          <cell r="AL84" t="str">
            <v>Y</v>
          </cell>
          <cell r="AM84">
            <v>200018407</v>
          </cell>
          <cell r="AN84">
            <v>200028407</v>
          </cell>
          <cell r="AO84">
            <v>200018307</v>
          </cell>
          <cell r="AP84">
            <v>200028307</v>
          </cell>
          <cell r="AQ84">
            <v>200018207</v>
          </cell>
          <cell r="AR84">
            <v>200028207</v>
          </cell>
          <cell r="AS84">
            <v>17.222222222222221</v>
          </cell>
          <cell r="AT84">
            <v>20.110973161651764</v>
          </cell>
          <cell r="AU84">
            <v>15.002886128524771</v>
          </cell>
          <cell r="AV84">
            <v>10.244439167746933</v>
          </cell>
          <cell r="AW84">
            <v>40746</v>
          </cell>
        </row>
        <row r="85">
          <cell r="C85" t="str">
            <v>Grape Solar - GS-P-EUG 275-280_S</v>
          </cell>
          <cell r="D85" t="str">
            <v>Standard Claw</v>
          </cell>
          <cell r="E85">
            <v>5000005</v>
          </cell>
          <cell r="F85">
            <v>39.055118110236222</v>
          </cell>
          <cell r="G85">
            <v>77.00787401574803</v>
          </cell>
          <cell r="H85">
            <v>1.9685039370078741</v>
          </cell>
          <cell r="I85">
            <v>200010707</v>
          </cell>
          <cell r="J85">
            <v>200010807</v>
          </cell>
          <cell r="K85">
            <v>200013807</v>
          </cell>
          <cell r="L85">
            <v>200016307</v>
          </cell>
          <cell r="M85">
            <v>500012581</v>
          </cell>
          <cell r="N85">
            <v>500012681</v>
          </cell>
          <cell r="O85">
            <v>500012581</v>
          </cell>
          <cell r="P85">
            <v>500012681</v>
          </cell>
          <cell r="Q85">
            <v>11.698754267040043</v>
          </cell>
          <cell r="R85">
            <v>10.455004839041191</v>
          </cell>
          <cell r="S85">
            <v>4.9330437584696041</v>
          </cell>
          <cell r="T85">
            <v>4.9330437584696041</v>
          </cell>
          <cell r="U85">
            <v>11.698754267040043</v>
          </cell>
          <cell r="V85">
            <v>10.455004839041191</v>
          </cell>
          <cell r="W85">
            <v>30</v>
          </cell>
          <cell r="X85">
            <v>35.2992125984252</v>
          </cell>
          <cell r="Y85">
            <v>78.479330708661422</v>
          </cell>
          <cell r="Z85">
            <v>35.2992125984252</v>
          </cell>
          <cell r="AA85">
            <v>78.479330708661422</v>
          </cell>
          <cell r="AB85">
            <v>35.2992125984252</v>
          </cell>
          <cell r="AC85">
            <v>78.479330708661422</v>
          </cell>
          <cell r="AD85">
            <v>78.479330708661422</v>
          </cell>
          <cell r="AE85">
            <v>77.507874015748044</v>
          </cell>
          <cell r="AF85">
            <v>35.507874015748037</v>
          </cell>
          <cell r="AG85">
            <v>39.925196850393704</v>
          </cell>
          <cell r="AH85" t="str">
            <v>N</v>
          </cell>
          <cell r="AI85">
            <v>51.155999999999999</v>
          </cell>
          <cell r="AJ85">
            <v>23.2</v>
          </cell>
          <cell r="AK85" t="str">
            <v>TBD</v>
          </cell>
          <cell r="AL85" t="str">
            <v>Y</v>
          </cell>
          <cell r="AM85">
            <v>200018407</v>
          </cell>
          <cell r="AN85">
            <v>200028407</v>
          </cell>
          <cell r="AO85">
            <v>200018307</v>
          </cell>
          <cell r="AP85">
            <v>200028307</v>
          </cell>
          <cell r="AQ85">
            <v>200018207</v>
          </cell>
          <cell r="AR85">
            <v>200028207</v>
          </cell>
          <cell r="AS85">
            <v>17.222222222222221</v>
          </cell>
          <cell r="AT85">
            <v>20.069602586497279</v>
          </cell>
          <cell r="AU85">
            <v>14.97260437224279</v>
          </cell>
          <cell r="AV85">
            <v>10.224017732239455</v>
          </cell>
          <cell r="AW85">
            <v>40746</v>
          </cell>
        </row>
        <row r="86">
          <cell r="C86" t="str">
            <v>Grape Solar - GS-P-285-Fab1_S</v>
          </cell>
          <cell r="D86" t="str">
            <v>Standard Claw</v>
          </cell>
          <cell r="E86">
            <v>5000005</v>
          </cell>
          <cell r="F86">
            <v>39.370078740157481</v>
          </cell>
          <cell r="G86">
            <v>77.480314960629926</v>
          </cell>
          <cell r="H86">
            <v>1.5748031496062993</v>
          </cell>
          <cell r="I86">
            <v>200010707</v>
          </cell>
          <cell r="J86">
            <v>200010807</v>
          </cell>
          <cell r="K86">
            <v>200013807</v>
          </cell>
          <cell r="L86">
            <v>200016307</v>
          </cell>
          <cell r="M86">
            <v>500012581</v>
          </cell>
          <cell r="N86">
            <v>500012681</v>
          </cell>
          <cell r="O86">
            <v>500012581</v>
          </cell>
          <cell r="P86">
            <v>500012681</v>
          </cell>
          <cell r="Q86">
            <v>11.593851817515533</v>
          </cell>
          <cell r="R86">
            <v>10.361517999726759</v>
          </cell>
          <cell r="S86">
            <v>4.8893107769288457</v>
          </cell>
          <cell r="T86">
            <v>4.8893107769288457</v>
          </cell>
          <cell r="U86">
            <v>11.593851817515533</v>
          </cell>
          <cell r="V86">
            <v>10.361517999726759</v>
          </cell>
          <cell r="W86">
            <v>30</v>
          </cell>
          <cell r="X86">
            <v>35.614173228346459</v>
          </cell>
          <cell r="Y86">
            <v>78.951771653543318</v>
          </cell>
          <cell r="Z86">
            <v>35.614173228346459</v>
          </cell>
          <cell r="AA86">
            <v>78.951771653543318</v>
          </cell>
          <cell r="AB86">
            <v>35.614173228346459</v>
          </cell>
          <cell r="AC86">
            <v>78.951771653543318</v>
          </cell>
          <cell r="AD86">
            <v>78.951771653543318</v>
          </cell>
          <cell r="AE86">
            <v>77.980314960629926</v>
          </cell>
          <cell r="AF86">
            <v>35.980314960629926</v>
          </cell>
          <cell r="AG86">
            <v>40.240157480314963</v>
          </cell>
          <cell r="AH86" t="str">
            <v>N</v>
          </cell>
          <cell r="AI86">
            <v>51.155999999999999</v>
          </cell>
          <cell r="AJ86">
            <v>23.2</v>
          </cell>
          <cell r="AK86" t="str">
            <v>TBD</v>
          </cell>
          <cell r="AL86" t="str">
            <v>Y</v>
          </cell>
          <cell r="AM86">
            <v>200018407</v>
          </cell>
          <cell r="AN86">
            <v>200028407</v>
          </cell>
          <cell r="AO86">
            <v>200018307</v>
          </cell>
          <cell r="AP86">
            <v>200028307</v>
          </cell>
          <cell r="AQ86">
            <v>200018207</v>
          </cell>
          <cell r="AR86">
            <v>200028207</v>
          </cell>
          <cell r="AS86">
            <v>17.222222222222221</v>
          </cell>
          <cell r="AT86">
            <v>19.905846229389603</v>
          </cell>
          <cell r="AU86">
            <v>14.852704372847956</v>
          </cell>
          <cell r="AV86">
            <v>10.143144054640397</v>
          </cell>
          <cell r="AW86">
            <v>40746</v>
          </cell>
        </row>
        <row r="87">
          <cell r="C87" t="str">
            <v>Hanwha SolarOne - SF220-30-P 200-255 L_S</v>
          </cell>
          <cell r="D87" t="str">
            <v>Standard Claw</v>
          </cell>
          <cell r="E87">
            <v>5000005</v>
          </cell>
          <cell r="F87">
            <v>39.370078740157481</v>
          </cell>
          <cell r="G87">
            <v>65.039370078740163</v>
          </cell>
          <cell r="H87">
            <v>1.9685039370078741</v>
          </cell>
          <cell r="I87">
            <v>200010704</v>
          </cell>
          <cell r="J87">
            <v>200010804</v>
          </cell>
          <cell r="K87">
            <v>200013804</v>
          </cell>
          <cell r="L87">
            <v>200016304</v>
          </cell>
          <cell r="M87">
            <v>500012568</v>
          </cell>
          <cell r="N87">
            <v>500012668</v>
          </cell>
          <cell r="O87">
            <v>500012569</v>
          </cell>
          <cell r="P87">
            <v>500012669</v>
          </cell>
          <cell r="Q87">
            <v>11.725279318414811</v>
          </cell>
          <cell r="R87">
            <v>10.478642249707667</v>
          </cell>
          <cell r="S87">
            <v>4.9440996728708777</v>
          </cell>
          <cell r="T87">
            <v>4.9440996728708777</v>
          </cell>
          <cell r="U87">
            <v>11.725279318414811</v>
          </cell>
          <cell r="V87">
            <v>10.478642249707667</v>
          </cell>
          <cell r="W87">
            <v>50</v>
          </cell>
          <cell r="X87">
            <v>35.220472440944881</v>
          </cell>
          <cell r="Y87">
            <v>66.11712598425197</v>
          </cell>
          <cell r="Z87">
            <v>35.220472440944881</v>
          </cell>
          <cell r="AA87">
            <v>66.11712598425197</v>
          </cell>
          <cell r="AB87">
            <v>35.220472440944881</v>
          </cell>
          <cell r="AC87">
            <v>66.11712598425197</v>
          </cell>
          <cell r="AD87">
            <v>66.11712598425197</v>
          </cell>
          <cell r="AE87">
            <v>65.539370078740163</v>
          </cell>
          <cell r="AF87">
            <v>23.539370078740163</v>
          </cell>
          <cell r="AG87">
            <v>39.846456692913392</v>
          </cell>
          <cell r="AH87" t="str">
            <v>Y</v>
          </cell>
          <cell r="AI87">
            <v>48.510000000000005</v>
          </cell>
          <cell r="AJ87">
            <v>22</v>
          </cell>
          <cell r="AK87" t="str">
            <v>TBD</v>
          </cell>
          <cell r="AL87" t="str">
            <v>Y</v>
          </cell>
          <cell r="AM87">
            <v>200018403</v>
          </cell>
          <cell r="AN87">
            <v>200028403</v>
          </cell>
          <cell r="AO87">
            <v>200018303</v>
          </cell>
          <cell r="AP87">
            <v>200028303</v>
          </cell>
          <cell r="AQ87">
            <v>200018203</v>
          </cell>
          <cell r="AR87">
            <v>200028203</v>
          </cell>
          <cell r="AS87">
            <v>14.555555555555557</v>
          </cell>
          <cell r="AT87">
            <v>20.110973161651764</v>
          </cell>
          <cell r="AU87">
            <v>15.002886128524771</v>
          </cell>
          <cell r="AV87">
            <v>10.244439167746933</v>
          </cell>
          <cell r="AW87">
            <v>41277</v>
          </cell>
        </row>
        <row r="88">
          <cell r="C88" t="str">
            <v>Hanwha SolarOne - SF260-36-P 270-295 L_S</v>
          </cell>
          <cell r="D88" t="str">
            <v>Standard Claw</v>
          </cell>
          <cell r="E88">
            <v>5000005</v>
          </cell>
          <cell r="F88">
            <v>39.370078740157481</v>
          </cell>
          <cell r="G88">
            <v>77.401574803149614</v>
          </cell>
          <cell r="H88">
            <v>1.9685039370078741</v>
          </cell>
          <cell r="I88">
            <v>200010707</v>
          </cell>
          <cell r="J88">
            <v>200010807</v>
          </cell>
          <cell r="K88">
            <v>200013807</v>
          </cell>
          <cell r="L88">
            <v>200016307</v>
          </cell>
          <cell r="M88">
            <v>500012581</v>
          </cell>
          <cell r="N88">
            <v>500012681</v>
          </cell>
          <cell r="O88">
            <v>500012581</v>
          </cell>
          <cell r="P88">
            <v>500012681</v>
          </cell>
          <cell r="Q88">
            <v>11.725279318414811</v>
          </cell>
          <cell r="R88">
            <v>10.478642249707667</v>
          </cell>
          <cell r="S88">
            <v>4.9440996728708777</v>
          </cell>
          <cell r="T88">
            <v>4.9440996728708777</v>
          </cell>
          <cell r="U88">
            <v>11.725279318414811</v>
          </cell>
          <cell r="V88">
            <v>10.478642249707667</v>
          </cell>
          <cell r="W88">
            <v>30</v>
          </cell>
          <cell r="X88">
            <v>35.220472440944881</v>
          </cell>
          <cell r="Y88">
            <v>78.479330708661422</v>
          </cell>
          <cell r="Z88">
            <v>35.220472440944881</v>
          </cell>
          <cell r="AA88">
            <v>78.479330708661422</v>
          </cell>
          <cell r="AB88">
            <v>35.220472440944881</v>
          </cell>
          <cell r="AC88">
            <v>78.479330708661422</v>
          </cell>
          <cell r="AD88">
            <v>78.479330708661422</v>
          </cell>
          <cell r="AE88">
            <v>77.901574803149614</v>
          </cell>
          <cell r="AF88">
            <v>35.901574803149614</v>
          </cell>
          <cell r="AG88">
            <v>39.846456692913392</v>
          </cell>
          <cell r="AH88" t="str">
            <v>Y</v>
          </cell>
          <cell r="AI88">
            <v>57.33</v>
          </cell>
          <cell r="AJ88">
            <v>26</v>
          </cell>
          <cell r="AK88" t="str">
            <v>TBD</v>
          </cell>
          <cell r="AL88" t="str">
            <v>Y</v>
          </cell>
          <cell r="AM88">
            <v>200018407</v>
          </cell>
          <cell r="AN88">
            <v>200028407</v>
          </cell>
          <cell r="AO88">
            <v>200018307</v>
          </cell>
          <cell r="AP88">
            <v>200028307</v>
          </cell>
          <cell r="AQ88">
            <v>200018207</v>
          </cell>
          <cell r="AR88">
            <v>200028207</v>
          </cell>
          <cell r="AS88">
            <v>17.222222222222221</v>
          </cell>
          <cell r="AT88">
            <v>20.110973161651764</v>
          </cell>
          <cell r="AU88">
            <v>15.002886128524771</v>
          </cell>
          <cell r="AV88">
            <v>10.244439167746933</v>
          </cell>
          <cell r="AW88">
            <v>41317</v>
          </cell>
        </row>
        <row r="89">
          <cell r="C89" t="str">
            <v>Helios Solar Works - 6T Series 240-255_S</v>
          </cell>
          <cell r="D89" t="str">
            <v>Standard Claw</v>
          </cell>
          <cell r="E89">
            <v>5000005</v>
          </cell>
          <cell r="F89">
            <v>38.976377952755911</v>
          </cell>
          <cell r="G89">
            <v>66.141732283464577</v>
          </cell>
          <cell r="H89">
            <v>1.5748031496062993</v>
          </cell>
          <cell r="I89">
            <v>200010705</v>
          </cell>
          <cell r="J89">
            <v>200010805</v>
          </cell>
          <cell r="K89">
            <v>200013805</v>
          </cell>
          <cell r="L89">
            <v>200016305</v>
          </cell>
          <cell r="M89">
            <v>500012570</v>
          </cell>
          <cell r="N89">
            <v>500012670</v>
          </cell>
          <cell r="O89">
            <v>500012571</v>
          </cell>
          <cell r="P89">
            <v>500012671</v>
          </cell>
          <cell r="Q89">
            <v>11.593851817515533</v>
          </cell>
          <cell r="R89">
            <v>10.361517999726759</v>
          </cell>
          <cell r="S89">
            <v>4.8893107769288457</v>
          </cell>
          <cell r="T89">
            <v>4.8893107769288457</v>
          </cell>
          <cell r="U89">
            <v>11.593851817515533</v>
          </cell>
          <cell r="V89">
            <v>10.361517999726759</v>
          </cell>
          <cell r="W89">
            <v>50</v>
          </cell>
          <cell r="X89">
            <v>35.614173228346459</v>
          </cell>
          <cell r="Y89">
            <v>68.006889763779526</v>
          </cell>
          <cell r="Z89">
            <v>35.614173228346459</v>
          </cell>
          <cell r="AA89">
            <v>68.006889763779526</v>
          </cell>
          <cell r="AB89">
            <v>35.614173228346459</v>
          </cell>
          <cell r="AC89">
            <v>68.006889763779526</v>
          </cell>
          <cell r="AD89">
            <v>68.006889763779526</v>
          </cell>
          <cell r="AE89">
            <v>66.641732283464577</v>
          </cell>
          <cell r="AF89">
            <v>24.64173228346457</v>
          </cell>
          <cell r="AG89">
            <v>40.240157480314963</v>
          </cell>
          <cell r="AH89" t="str">
            <v>Y</v>
          </cell>
          <cell r="AI89">
            <v>52.92</v>
          </cell>
          <cell r="AJ89">
            <v>24</v>
          </cell>
          <cell r="AK89" t="str">
            <v>TBD</v>
          </cell>
          <cell r="AL89" t="str">
            <v>Y</v>
          </cell>
          <cell r="AM89">
            <v>200018403</v>
          </cell>
          <cell r="AN89">
            <v>200028403</v>
          </cell>
          <cell r="AO89">
            <v>200018303</v>
          </cell>
          <cell r="AP89">
            <v>200028303</v>
          </cell>
          <cell r="AQ89">
            <v>200018203</v>
          </cell>
          <cell r="AR89">
            <v>200028203</v>
          </cell>
          <cell r="AS89">
            <v>14.555555555555557</v>
          </cell>
          <cell r="AT89">
            <v>19.905846229389603</v>
          </cell>
          <cell r="AU89">
            <v>14.852704372847956</v>
          </cell>
          <cell r="AV89">
            <v>10.143144054640397</v>
          </cell>
          <cell r="AW89">
            <v>40862</v>
          </cell>
        </row>
        <row r="90">
          <cell r="C90" t="str">
            <v>Helios Solar Works - 7T2 Series 280-305_S</v>
          </cell>
          <cell r="D90" t="str">
            <v>Standard Claw</v>
          </cell>
          <cell r="E90">
            <v>5000005</v>
          </cell>
          <cell r="F90">
            <v>38.740157480314963</v>
          </cell>
          <cell r="G90">
            <v>78.110236220472444</v>
          </cell>
          <cell r="H90">
            <v>1.5748031496062993</v>
          </cell>
          <cell r="I90">
            <v>200010708</v>
          </cell>
          <cell r="J90">
            <v>200010808</v>
          </cell>
          <cell r="K90">
            <v>200013808</v>
          </cell>
          <cell r="L90">
            <v>200016308</v>
          </cell>
          <cell r="M90">
            <v>500012582</v>
          </cell>
          <cell r="N90">
            <v>500012682</v>
          </cell>
          <cell r="O90">
            <v>500012582</v>
          </cell>
          <cell r="P90">
            <v>500012682</v>
          </cell>
          <cell r="Q90">
            <v>11.672349814003409</v>
          </cell>
          <cell r="R90">
            <v>10.431474434518069</v>
          </cell>
          <cell r="S90">
            <v>4.9220372409246478</v>
          </cell>
          <cell r="T90">
            <v>4.9220372409246478</v>
          </cell>
          <cell r="U90">
            <v>11.672349814003409</v>
          </cell>
          <cell r="V90">
            <v>10.431474434518069</v>
          </cell>
          <cell r="W90">
            <v>30</v>
          </cell>
          <cell r="X90">
            <v>35.377952755905511</v>
          </cell>
          <cell r="Y90">
            <v>79.975393700787407</v>
          </cell>
          <cell r="Z90">
            <v>35.377952755905511</v>
          </cell>
          <cell r="AA90">
            <v>79.975393700787407</v>
          </cell>
          <cell r="AB90">
            <v>35.377952755905511</v>
          </cell>
          <cell r="AC90">
            <v>79.975393700787407</v>
          </cell>
          <cell r="AD90">
            <v>79.975393700787407</v>
          </cell>
          <cell r="AE90">
            <v>78.610236220472444</v>
          </cell>
          <cell r="AF90">
            <v>36.610236220472444</v>
          </cell>
          <cell r="AG90">
            <v>40.003937007874022</v>
          </cell>
          <cell r="AH90" t="str">
            <v>Y</v>
          </cell>
          <cell r="AI90">
            <v>57.33</v>
          </cell>
          <cell r="AJ90">
            <v>26</v>
          </cell>
          <cell r="AK90" t="str">
            <v>TBD</v>
          </cell>
          <cell r="AL90" t="str">
            <v>Y</v>
          </cell>
          <cell r="AM90">
            <v>200018407</v>
          </cell>
          <cell r="AN90">
            <v>200028407</v>
          </cell>
          <cell r="AO90">
            <v>200018307</v>
          </cell>
          <cell r="AP90">
            <v>200028307</v>
          </cell>
          <cell r="AQ90">
            <v>200018207</v>
          </cell>
          <cell r="AR90">
            <v>200028207</v>
          </cell>
          <cell r="AS90">
            <v>17.222222222222221</v>
          </cell>
          <cell r="AT90">
            <v>20.028405717951866</v>
          </cell>
          <cell r="AU90">
            <v>14.942446078078534</v>
          </cell>
          <cell r="AV90">
            <v>10.203677993133164</v>
          </cell>
          <cell r="AW90">
            <v>40862</v>
          </cell>
        </row>
        <row r="91">
          <cell r="C91" t="str">
            <v>Helios Solar Works - 9T6 Series 390-420_S</v>
          </cell>
          <cell r="D91" t="str">
            <v>Standard Claw</v>
          </cell>
          <cell r="E91">
            <v>5000005</v>
          </cell>
          <cell r="F91">
            <v>51.574803149606304</v>
          </cell>
          <cell r="G91">
            <v>77.795275590551185</v>
          </cell>
          <cell r="H91">
            <v>1.5748031496062993</v>
          </cell>
          <cell r="I91">
            <v>200010708</v>
          </cell>
          <cell r="J91">
            <v>200010808</v>
          </cell>
          <cell r="K91">
            <v>200013808</v>
          </cell>
          <cell r="L91">
            <v>200016308</v>
          </cell>
          <cell r="M91">
            <v>500012582</v>
          </cell>
          <cell r="N91">
            <v>500012682</v>
          </cell>
          <cell r="O91">
            <v>500012582</v>
          </cell>
          <cell r="P91">
            <v>500012682</v>
          </cell>
          <cell r="Q91">
            <v>8.5374971094053489</v>
          </cell>
          <cell r="R91">
            <v>7.6348754019361866</v>
          </cell>
          <cell r="S91">
            <v>3.6096915127079598</v>
          </cell>
          <cell r="T91">
            <v>3.6096915127079598</v>
          </cell>
          <cell r="U91">
            <v>8.5374971094053489</v>
          </cell>
          <cell r="V91">
            <v>7.6348754019361866</v>
          </cell>
          <cell r="W91">
            <v>30</v>
          </cell>
          <cell r="X91">
            <v>48.212598425196852</v>
          </cell>
          <cell r="Y91">
            <v>79.660433070866148</v>
          </cell>
          <cell r="Z91">
            <v>48.212598425196852</v>
          </cell>
          <cell r="AA91">
            <v>79.660433070866148</v>
          </cell>
          <cell r="AB91">
            <v>48.212598425196852</v>
          </cell>
          <cell r="AC91">
            <v>79.660433070866148</v>
          </cell>
          <cell r="AD91">
            <v>79.660433070866148</v>
          </cell>
          <cell r="AE91">
            <v>78.295275590551185</v>
          </cell>
          <cell r="AF91">
            <v>36.295275590551185</v>
          </cell>
          <cell r="AG91">
            <v>52.838582677165356</v>
          </cell>
          <cell r="AH91" t="str">
            <v>N</v>
          </cell>
          <cell r="AI91">
            <v>76.425299999999993</v>
          </cell>
          <cell r="AJ91">
            <v>34.659999999999997</v>
          </cell>
          <cell r="AK91" t="str">
            <v>TBD</v>
          </cell>
          <cell r="AL91" t="str">
            <v>Y</v>
          </cell>
          <cell r="AM91">
            <v>200018407</v>
          </cell>
          <cell r="AN91">
            <v>200028407</v>
          </cell>
          <cell r="AO91">
            <v>200018307</v>
          </cell>
          <cell r="AP91">
            <v>200028307</v>
          </cell>
          <cell r="AQ91">
            <v>200018207</v>
          </cell>
          <cell r="AR91">
            <v>200028207</v>
          </cell>
          <cell r="AS91">
            <v>17.222222222222221</v>
          </cell>
          <cell r="AT91">
            <v>15.02824203938145</v>
          </cell>
          <cell r="AU91">
            <v>11.257368379765095</v>
          </cell>
          <cell r="AV91">
            <v>7.7076312092971628</v>
          </cell>
          <cell r="AW91">
            <v>40955</v>
          </cell>
        </row>
        <row r="92">
          <cell r="C92" t="str">
            <v>Hyundai - HiS-MSF 194-212 - HiS-SSF 197-215_S</v>
          </cell>
          <cell r="D92" t="str">
            <v>Standard Claw</v>
          </cell>
          <cell r="E92">
            <v>5000005</v>
          </cell>
          <cell r="F92">
            <v>38.700787401574807</v>
          </cell>
          <cell r="G92">
            <v>58.110236220472444</v>
          </cell>
          <cell r="H92">
            <v>1.3779527559055118</v>
          </cell>
          <cell r="I92">
            <v>200010703</v>
          </cell>
          <cell r="J92">
            <v>200010803</v>
          </cell>
          <cell r="K92">
            <v>200013803</v>
          </cell>
          <cell r="L92">
            <v>200016303</v>
          </cell>
          <cell r="M92">
            <v>500012562</v>
          </cell>
          <cell r="N92">
            <v>500012662</v>
          </cell>
          <cell r="O92">
            <v>500012563</v>
          </cell>
          <cell r="P92">
            <v>500012663</v>
          </cell>
          <cell r="Q92">
            <v>11.685537017566332</v>
          </cell>
          <cell r="R92">
            <v>10.443226306738659</v>
          </cell>
          <cell r="S92">
            <v>4.9275343458296801</v>
          </cell>
          <cell r="T92">
            <v>4.9275343458296801</v>
          </cell>
          <cell r="U92">
            <v>11.685537017566332</v>
          </cell>
          <cell r="V92">
            <v>10.443226306738659</v>
          </cell>
          <cell r="W92">
            <v>40</v>
          </cell>
          <cell r="X92">
            <v>35.338582677165356</v>
          </cell>
          <cell r="Y92">
            <v>59.975393700787407</v>
          </cell>
          <cell r="Z92">
            <v>35.338582677165356</v>
          </cell>
          <cell r="AA92">
            <v>59.975393700787407</v>
          </cell>
          <cell r="AB92">
            <v>35.338582677165356</v>
          </cell>
          <cell r="AC92">
            <v>59.975393700787407</v>
          </cell>
          <cell r="AD92">
            <v>59.975393700787407</v>
          </cell>
          <cell r="AE92">
            <v>58.610236220472444</v>
          </cell>
          <cell r="AF92">
            <v>16.610236220472444</v>
          </cell>
          <cell r="AG92">
            <v>39.964566929133859</v>
          </cell>
          <cell r="AH92" t="str">
            <v>Y</v>
          </cell>
          <cell r="AI92">
            <v>37.484999999999999</v>
          </cell>
          <cell r="AJ92">
            <v>17</v>
          </cell>
          <cell r="AK92" t="str">
            <v>TBD</v>
          </cell>
          <cell r="AL92" t="str">
            <v>Y</v>
          </cell>
          <cell r="AM92">
            <v>200018401</v>
          </cell>
          <cell r="AN92">
            <v>200028401</v>
          </cell>
          <cell r="AO92">
            <v>200018301</v>
          </cell>
          <cell r="AP92">
            <v>200028301</v>
          </cell>
          <cell r="AQ92">
            <v>200018201</v>
          </cell>
          <cell r="AR92">
            <v>200028201</v>
          </cell>
          <cell r="AS92">
            <v>13.22222222222222</v>
          </cell>
          <cell r="AT92">
            <v>20.048982508950235</v>
          </cell>
          <cell r="AU92">
            <v>14.957509840214923</v>
          </cell>
          <cell r="AV92">
            <v>10.213837681475505</v>
          </cell>
          <cell r="AW92">
            <v>40746</v>
          </cell>
        </row>
        <row r="93">
          <cell r="C93" t="str">
            <v>Hyundai - HiS-MSG-SSG-MMG-SMG 218-250_S</v>
          </cell>
          <cell r="D93" t="str">
            <v>Standard Claw</v>
          </cell>
          <cell r="E93">
            <v>5000005</v>
          </cell>
          <cell r="F93">
            <v>38.700787401574807</v>
          </cell>
          <cell r="G93">
            <v>64.763779527559052</v>
          </cell>
          <cell r="H93">
            <v>1.3779527559055118</v>
          </cell>
          <cell r="I93">
            <v>200010704</v>
          </cell>
          <cell r="J93">
            <v>200010804</v>
          </cell>
          <cell r="K93">
            <v>200013804</v>
          </cell>
          <cell r="L93">
            <v>200016304</v>
          </cell>
          <cell r="M93">
            <v>500012569</v>
          </cell>
          <cell r="N93">
            <v>500012669</v>
          </cell>
          <cell r="O93">
            <v>500012569</v>
          </cell>
          <cell r="P93">
            <v>500012669</v>
          </cell>
          <cell r="Q93">
            <v>11.685537017566332</v>
          </cell>
          <cell r="R93">
            <v>10.443226306738659</v>
          </cell>
          <cell r="S93">
            <v>4.9275343458296801</v>
          </cell>
          <cell r="T93">
            <v>4.9275343458296801</v>
          </cell>
          <cell r="U93">
            <v>11.685537017566332</v>
          </cell>
          <cell r="V93">
            <v>10.443226306738659</v>
          </cell>
          <cell r="W93">
            <v>40</v>
          </cell>
          <cell r="X93">
            <v>35.338582677165356</v>
          </cell>
          <cell r="Y93">
            <v>66.628937007874015</v>
          </cell>
          <cell r="Z93">
            <v>35.338582677165356</v>
          </cell>
          <cell r="AA93">
            <v>66.628937007874015</v>
          </cell>
          <cell r="AB93">
            <v>35.338582677165356</v>
          </cell>
          <cell r="AC93">
            <v>66.628937007874015</v>
          </cell>
          <cell r="AD93">
            <v>66.628937007874015</v>
          </cell>
          <cell r="AE93">
            <v>65.263779527559066</v>
          </cell>
          <cell r="AF93">
            <v>23.263779527559059</v>
          </cell>
          <cell r="AG93">
            <v>39.964566929133859</v>
          </cell>
          <cell r="AH93" t="str">
            <v>Y</v>
          </cell>
          <cell r="AI93">
            <v>41.895000000000003</v>
          </cell>
          <cell r="AJ93">
            <v>19</v>
          </cell>
          <cell r="AK93" t="str">
            <v>TBD</v>
          </cell>
          <cell r="AL93" t="str">
            <v>Y</v>
          </cell>
          <cell r="AM93">
            <v>200018403</v>
          </cell>
          <cell r="AN93">
            <v>200028403</v>
          </cell>
          <cell r="AO93">
            <v>200018303</v>
          </cell>
          <cell r="AP93">
            <v>200028303</v>
          </cell>
          <cell r="AQ93">
            <v>200018203</v>
          </cell>
          <cell r="AR93">
            <v>200028203</v>
          </cell>
          <cell r="AS93">
            <v>14.555555555555557</v>
          </cell>
          <cell r="AT93">
            <v>20.048982508950235</v>
          </cell>
          <cell r="AU93">
            <v>14.957509840214923</v>
          </cell>
          <cell r="AV93">
            <v>10.213837681475505</v>
          </cell>
          <cell r="AW93">
            <v>40746</v>
          </cell>
        </row>
        <row r="94">
          <cell r="C94" t="str">
            <v>Hyundai - HiS-MMI-SMI 275-295_S</v>
          </cell>
          <cell r="D94" t="str">
            <v>Standard Claw</v>
          </cell>
          <cell r="E94">
            <v>5000005</v>
          </cell>
          <cell r="F94">
            <v>38.858267716535437</v>
          </cell>
          <cell r="G94">
            <v>77.362204724409452</v>
          </cell>
          <cell r="H94">
            <v>1.9685039370078741</v>
          </cell>
          <cell r="I94">
            <v>200010708</v>
          </cell>
          <cell r="J94">
            <v>200010808</v>
          </cell>
          <cell r="K94">
            <v>200013808</v>
          </cell>
          <cell r="L94">
            <v>200016308</v>
          </cell>
          <cell r="M94">
            <v>500012581</v>
          </cell>
          <cell r="N94">
            <v>500012681</v>
          </cell>
          <cell r="O94">
            <v>500012582</v>
          </cell>
          <cell r="P94">
            <v>500012682</v>
          </cell>
          <cell r="Q94">
            <v>11.63296745038237</v>
          </cell>
          <cell r="R94">
            <v>10.396377871112776</v>
          </cell>
          <cell r="S94">
            <v>4.9056193610673633</v>
          </cell>
          <cell r="T94">
            <v>4.9056193610673633</v>
          </cell>
          <cell r="U94">
            <v>11.63296745038237</v>
          </cell>
          <cell r="V94">
            <v>10.396377871112776</v>
          </cell>
          <cell r="W94">
            <v>40</v>
          </cell>
          <cell r="X94">
            <v>35.496062992125985</v>
          </cell>
          <cell r="Y94">
            <v>79.227362204724415</v>
          </cell>
          <cell r="Z94">
            <v>35.496062992125985</v>
          </cell>
          <cell r="AA94">
            <v>79.227362204724415</v>
          </cell>
          <cell r="AB94">
            <v>35.496062992125985</v>
          </cell>
          <cell r="AC94">
            <v>79.227362204724415</v>
          </cell>
          <cell r="AD94">
            <v>79.227362204724415</v>
          </cell>
          <cell r="AE94">
            <v>77.862204724409452</v>
          </cell>
          <cell r="AF94">
            <v>35.862204724409452</v>
          </cell>
          <cell r="AG94">
            <v>40.122047244094489</v>
          </cell>
          <cell r="AH94" t="str">
            <v>Y</v>
          </cell>
          <cell r="AI94">
            <v>55.125</v>
          </cell>
          <cell r="AJ94">
            <v>25</v>
          </cell>
          <cell r="AK94" t="str">
            <v>TBD</v>
          </cell>
          <cell r="AL94" t="str">
            <v>Y</v>
          </cell>
          <cell r="AM94">
            <v>200018407</v>
          </cell>
          <cell r="AN94">
            <v>200028407</v>
          </cell>
          <cell r="AO94">
            <v>200018307</v>
          </cell>
          <cell r="AP94">
            <v>200028307</v>
          </cell>
          <cell r="AQ94">
            <v>200018207</v>
          </cell>
          <cell r="AR94">
            <v>200028207</v>
          </cell>
          <cell r="AS94">
            <v>17.222222222222221</v>
          </cell>
          <cell r="AT94">
            <v>19.966933673962352</v>
          </cell>
          <cell r="AU94">
            <v>14.897438461609681</v>
          </cell>
          <cell r="AV94">
            <v>10.173320490201343</v>
          </cell>
          <cell r="AW94">
            <v>40995</v>
          </cell>
        </row>
        <row r="95">
          <cell r="C95" t="str">
            <v>Innotech Solar (ITS) - EcoPlus- EcoFocus 210-250_S</v>
          </cell>
          <cell r="D95" t="str">
            <v>Standard Claw</v>
          </cell>
          <cell r="E95">
            <v>5000005</v>
          </cell>
          <cell r="F95">
            <v>39.015748031496067</v>
          </cell>
          <cell r="G95">
            <v>65.551181102362207</v>
          </cell>
          <cell r="H95">
            <v>1.6929133858267718</v>
          </cell>
          <cell r="I95">
            <v>200010705</v>
          </cell>
          <cell r="J95">
            <v>200010805</v>
          </cell>
          <cell r="K95">
            <v>200013805</v>
          </cell>
          <cell r="L95">
            <v>200016305</v>
          </cell>
          <cell r="M95">
            <v>500012570</v>
          </cell>
          <cell r="N95">
            <v>500012670</v>
          </cell>
          <cell r="O95">
            <v>500012570</v>
          </cell>
          <cell r="P95">
            <v>500012670</v>
          </cell>
          <cell r="Q95">
            <v>11.478078290031977</v>
          </cell>
          <cell r="R95">
            <v>10.258334702145449</v>
          </cell>
          <cell r="S95">
            <v>4.8410299798522196</v>
          </cell>
          <cell r="T95">
            <v>4.8410299798522196</v>
          </cell>
          <cell r="U95">
            <v>11.478078290031977</v>
          </cell>
          <cell r="V95">
            <v>10.258334702145449</v>
          </cell>
          <cell r="W95">
            <v>50</v>
          </cell>
          <cell r="X95">
            <v>35.968503937007874</v>
          </cell>
          <cell r="Y95">
            <v>67.647834645669292</v>
          </cell>
          <cell r="Z95">
            <v>35.968503937007874</v>
          </cell>
          <cell r="AA95">
            <v>67.647834645669292</v>
          </cell>
          <cell r="AB95">
            <v>35.968503937007874</v>
          </cell>
          <cell r="AC95">
            <v>67.647834645669292</v>
          </cell>
          <cell r="AD95">
            <v>67.647834645669292</v>
          </cell>
          <cell r="AE95">
            <v>66.051181102362207</v>
          </cell>
          <cell r="AF95">
            <v>24.051181102362211</v>
          </cell>
          <cell r="AG95">
            <v>40.507874015748037</v>
          </cell>
          <cell r="AH95" t="str">
            <v>N</v>
          </cell>
          <cell r="AI95">
            <v>48.510000000000005</v>
          </cell>
          <cell r="AJ95">
            <v>22</v>
          </cell>
          <cell r="AK95" t="str">
            <v>TBD</v>
          </cell>
          <cell r="AL95" t="str">
            <v>Y</v>
          </cell>
          <cell r="AM95">
            <v>200018403</v>
          </cell>
          <cell r="AN95">
            <v>200028403</v>
          </cell>
          <cell r="AO95">
            <v>200018303</v>
          </cell>
          <cell r="AP95">
            <v>200028303</v>
          </cell>
          <cell r="AQ95">
            <v>200018203</v>
          </cell>
          <cell r="AR95">
            <v>200028203</v>
          </cell>
          <cell r="AS95">
            <v>14.555555555555557</v>
          </cell>
          <cell r="AT95">
            <v>19.768785928187786</v>
          </cell>
          <cell r="AU95">
            <v>14.752306570454085</v>
          </cell>
          <cell r="AV95">
            <v>10.075405967947155</v>
          </cell>
          <cell r="AW95">
            <v>41026</v>
          </cell>
        </row>
        <row r="96">
          <cell r="C96" t="str">
            <v>Innotech Solar (ITS) - EcoClassic- EcoUp- EcoCut 200-230_S</v>
          </cell>
          <cell r="D96" t="str">
            <v>Standard Claw</v>
          </cell>
          <cell r="E96">
            <v>5000005</v>
          </cell>
          <cell r="F96">
            <v>38.858267716535437</v>
          </cell>
          <cell r="G96">
            <v>65.236220472440948</v>
          </cell>
          <cell r="H96">
            <v>1.5748031496062993</v>
          </cell>
          <cell r="I96">
            <v>200010705</v>
          </cell>
          <cell r="J96">
            <v>200010805</v>
          </cell>
          <cell r="K96">
            <v>200013805</v>
          </cell>
          <cell r="L96">
            <v>200016305</v>
          </cell>
          <cell r="M96">
            <v>500012570</v>
          </cell>
          <cell r="N96">
            <v>500012670</v>
          </cell>
          <cell r="O96">
            <v>500012570</v>
          </cell>
          <cell r="P96">
            <v>500012670</v>
          </cell>
          <cell r="Q96">
            <v>11.529244460694249</v>
          </cell>
          <cell r="R96">
            <v>10.303937693229198</v>
          </cell>
          <cell r="S96">
            <v>4.8623697312523513</v>
          </cell>
          <cell r="T96">
            <v>4.8623697312523513</v>
          </cell>
          <cell r="U96">
            <v>11.529244460694249</v>
          </cell>
          <cell r="V96">
            <v>10.303937693229198</v>
          </cell>
          <cell r="W96">
            <v>50</v>
          </cell>
          <cell r="X96">
            <v>35.811023622047244</v>
          </cell>
          <cell r="Y96">
            <v>67.332874015748033</v>
          </cell>
          <cell r="Z96">
            <v>35.811023622047244</v>
          </cell>
          <cell r="AA96">
            <v>67.332874015748033</v>
          </cell>
          <cell r="AB96">
            <v>35.811023622047244</v>
          </cell>
          <cell r="AC96">
            <v>67.332874015748033</v>
          </cell>
          <cell r="AD96">
            <v>67.332874015748033</v>
          </cell>
          <cell r="AE96">
            <v>65.736220472440948</v>
          </cell>
          <cell r="AF96">
            <v>23.736220472440948</v>
          </cell>
          <cell r="AG96">
            <v>40.350393700787407</v>
          </cell>
          <cell r="AH96" t="str">
            <v>N</v>
          </cell>
          <cell r="AI96">
            <v>40.792500000000004</v>
          </cell>
          <cell r="AJ96">
            <v>18.5</v>
          </cell>
          <cell r="AK96" t="str">
            <v>TBD</v>
          </cell>
          <cell r="AL96" t="str">
            <v>Y</v>
          </cell>
          <cell r="AM96">
            <v>200018403</v>
          </cell>
          <cell r="AN96">
            <v>200028403</v>
          </cell>
          <cell r="AO96">
            <v>200018303</v>
          </cell>
          <cell r="AP96">
            <v>200028303</v>
          </cell>
          <cell r="AQ96">
            <v>200018203</v>
          </cell>
          <cell r="AR96">
            <v>200028203</v>
          </cell>
          <cell r="AS96">
            <v>14.555555555555557</v>
          </cell>
          <cell r="AT96">
            <v>19.849175027736852</v>
          </cell>
          <cell r="AU96">
            <v>14.811197119599205</v>
          </cell>
          <cell r="AV96">
            <v>10.115141311657808</v>
          </cell>
          <cell r="AW96">
            <v>41026</v>
          </cell>
        </row>
        <row r="97">
          <cell r="C97" t="str">
            <v>JA Solar - JAP6 72 280-325_S</v>
          </cell>
          <cell r="D97" t="str">
            <v>Standard Claw</v>
          </cell>
          <cell r="E97">
            <v>5000005</v>
          </cell>
          <cell r="F97">
            <v>39.015748031496067</v>
          </cell>
          <cell r="G97">
            <v>77.00787401574803</v>
          </cell>
          <cell r="H97">
            <v>1.7716535433070868</v>
          </cell>
          <cell r="I97">
            <v>200010707</v>
          </cell>
          <cell r="J97">
            <v>200010807</v>
          </cell>
          <cell r="K97">
            <v>200013807</v>
          </cell>
          <cell r="L97">
            <v>200016307</v>
          </cell>
          <cell r="M97">
            <v>500012581</v>
          </cell>
          <cell r="N97">
            <v>500012681</v>
          </cell>
          <cell r="O97">
            <v>500012581</v>
          </cell>
          <cell r="P97">
            <v>500012681</v>
          </cell>
          <cell r="Q97">
            <v>11.712001665978303</v>
          </cell>
          <cell r="R97">
            <v>10.466810122774502</v>
          </cell>
          <cell r="S97">
            <v>4.9385655202770034</v>
          </cell>
          <cell r="T97">
            <v>4.9385655202770034</v>
          </cell>
          <cell r="U97">
            <v>11.712001665978303</v>
          </cell>
          <cell r="V97">
            <v>10.466810122774502</v>
          </cell>
          <cell r="W97">
            <v>30</v>
          </cell>
          <cell r="X97">
            <v>35.259842519685044</v>
          </cell>
          <cell r="Y97">
            <v>78.479330708661422</v>
          </cell>
          <cell r="Z97">
            <v>35.259842519685044</v>
          </cell>
          <cell r="AA97">
            <v>78.479330708661422</v>
          </cell>
          <cell r="AB97">
            <v>35.259842519685044</v>
          </cell>
          <cell r="AC97">
            <v>78.479330708661422</v>
          </cell>
          <cell r="AD97">
            <v>78.479330708661422</v>
          </cell>
          <cell r="AE97">
            <v>77.507874015748044</v>
          </cell>
          <cell r="AF97">
            <v>35.507874015748037</v>
          </cell>
          <cell r="AG97">
            <v>39.885826771653548</v>
          </cell>
          <cell r="AH97" t="str">
            <v>Y</v>
          </cell>
          <cell r="AI97">
            <v>49.612500000000004</v>
          </cell>
          <cell r="AJ97">
            <v>22.5</v>
          </cell>
          <cell r="AK97" t="str">
            <v>TBD</v>
          </cell>
          <cell r="AL97" t="str">
            <v>Y</v>
          </cell>
          <cell r="AM97">
            <v>200018407</v>
          </cell>
          <cell r="AN97">
            <v>200028407</v>
          </cell>
          <cell r="AO97">
            <v>200018307</v>
          </cell>
          <cell r="AP97">
            <v>200028307</v>
          </cell>
          <cell r="AQ97">
            <v>200018207</v>
          </cell>
          <cell r="AR97">
            <v>200028207</v>
          </cell>
          <cell r="AS97">
            <v>17.222222222222221</v>
          </cell>
          <cell r="AT97">
            <v>20.090266090541991</v>
          </cell>
          <cell r="AU97">
            <v>14.987729769699868</v>
          </cell>
          <cell r="AV97">
            <v>10.23421820704114</v>
          </cell>
          <cell r="AW97">
            <v>41192</v>
          </cell>
        </row>
        <row r="98">
          <cell r="C98" t="str">
            <v>JA Solar - JAP6 60 235-255_S</v>
          </cell>
          <cell r="D98" t="str">
            <v>Standard Claw</v>
          </cell>
          <cell r="E98">
            <v>5000005</v>
          </cell>
          <cell r="F98">
            <v>39.015748031496067</v>
          </cell>
          <cell r="G98">
            <v>64.960629921259851</v>
          </cell>
          <cell r="H98">
            <v>1.5748031496062993</v>
          </cell>
          <cell r="I98">
            <v>200010704</v>
          </cell>
          <cell r="J98">
            <v>200010804</v>
          </cell>
          <cell r="K98">
            <v>200013804</v>
          </cell>
          <cell r="L98">
            <v>200016304</v>
          </cell>
          <cell r="M98">
            <v>500012569</v>
          </cell>
          <cell r="N98">
            <v>500012669</v>
          </cell>
          <cell r="O98">
            <v>500012569</v>
          </cell>
          <cell r="P98">
            <v>500012669</v>
          </cell>
          <cell r="Q98">
            <v>11.580872075557229</v>
          </cell>
          <cell r="R98">
            <v>10.349950225110131</v>
          </cell>
          <cell r="S98">
            <v>4.8838986814969125</v>
          </cell>
          <cell r="T98">
            <v>4.8838986814969125</v>
          </cell>
          <cell r="U98">
            <v>11.580872075557229</v>
          </cell>
          <cell r="V98">
            <v>10.349950225110131</v>
          </cell>
          <cell r="W98">
            <v>40</v>
          </cell>
          <cell r="X98">
            <v>35.653543307086615</v>
          </cell>
          <cell r="Y98">
            <v>66.8257874015748</v>
          </cell>
          <cell r="Z98">
            <v>35.653543307086615</v>
          </cell>
          <cell r="AA98">
            <v>66.8257874015748</v>
          </cell>
          <cell r="AB98">
            <v>35.653543307086615</v>
          </cell>
          <cell r="AC98">
            <v>66.8257874015748</v>
          </cell>
          <cell r="AD98">
            <v>66.8257874015748</v>
          </cell>
          <cell r="AE98">
            <v>65.460629921259851</v>
          </cell>
          <cell r="AF98">
            <v>23.460629921259848</v>
          </cell>
          <cell r="AG98">
            <v>40.279527559055119</v>
          </cell>
          <cell r="AH98" t="str">
            <v>Y</v>
          </cell>
          <cell r="AI98">
            <v>40.792500000000004</v>
          </cell>
          <cell r="AJ98">
            <v>18.5</v>
          </cell>
          <cell r="AK98" t="str">
            <v>TBD</v>
          </cell>
          <cell r="AL98" t="str">
            <v>Y</v>
          </cell>
          <cell r="AM98">
            <v>200018403</v>
          </cell>
          <cell r="AN98">
            <v>200028403</v>
          </cell>
          <cell r="AO98">
            <v>200018303</v>
          </cell>
          <cell r="AP98">
            <v>200028303</v>
          </cell>
          <cell r="AQ98">
            <v>200018203</v>
          </cell>
          <cell r="AR98">
            <v>200028203</v>
          </cell>
          <cell r="AS98">
            <v>14.555555555555557</v>
          </cell>
          <cell r="AT98">
            <v>19.885568576882878</v>
          </cell>
          <cell r="AU98">
            <v>14.83785335812782</v>
          </cell>
          <cell r="AV98">
            <v>10.133125198752381</v>
          </cell>
          <cell r="AW98">
            <v>41192</v>
          </cell>
        </row>
        <row r="99">
          <cell r="C99" t="str">
            <v>JA Solar - JAM6 60 245-275_S</v>
          </cell>
          <cell r="D99" t="str">
            <v>Standard Claw</v>
          </cell>
          <cell r="E99">
            <v>5000005</v>
          </cell>
          <cell r="F99">
            <v>39.015748031496067</v>
          </cell>
          <cell r="G99">
            <v>64.960629921259851</v>
          </cell>
          <cell r="H99">
            <v>1.5748031496062993</v>
          </cell>
          <cell r="I99">
            <v>200010704</v>
          </cell>
          <cell r="J99">
            <v>200010804</v>
          </cell>
          <cell r="K99">
            <v>200013804</v>
          </cell>
          <cell r="L99">
            <v>200016304</v>
          </cell>
          <cell r="M99">
            <v>500012569</v>
          </cell>
          <cell r="N99">
            <v>500012669</v>
          </cell>
          <cell r="O99">
            <v>500012569</v>
          </cell>
          <cell r="P99">
            <v>500012669</v>
          </cell>
          <cell r="Q99">
            <v>11.580872075557229</v>
          </cell>
          <cell r="R99">
            <v>10.349950225110131</v>
          </cell>
          <cell r="S99">
            <v>4.8838986814969125</v>
          </cell>
          <cell r="T99">
            <v>4.8838986814969125</v>
          </cell>
          <cell r="U99">
            <v>11.580872075557229</v>
          </cell>
          <cell r="V99">
            <v>10.349950225110131</v>
          </cell>
          <cell r="W99">
            <v>40</v>
          </cell>
          <cell r="X99">
            <v>35.653543307086615</v>
          </cell>
          <cell r="Y99">
            <v>66.8257874015748</v>
          </cell>
          <cell r="Z99">
            <v>35.653543307086615</v>
          </cell>
          <cell r="AA99">
            <v>66.8257874015748</v>
          </cell>
          <cell r="AB99">
            <v>35.653543307086615</v>
          </cell>
          <cell r="AC99">
            <v>66.8257874015748</v>
          </cell>
          <cell r="AD99">
            <v>66.8257874015748</v>
          </cell>
          <cell r="AE99">
            <v>65.460629921259851</v>
          </cell>
          <cell r="AF99">
            <v>23.460629921259848</v>
          </cell>
          <cell r="AG99">
            <v>40.279527559055119</v>
          </cell>
          <cell r="AH99" t="str">
            <v>Y</v>
          </cell>
          <cell r="AI99">
            <v>40.792500000000004</v>
          </cell>
          <cell r="AJ99">
            <v>18.5</v>
          </cell>
          <cell r="AK99" t="str">
            <v>TBD</v>
          </cell>
          <cell r="AL99" t="str">
            <v>Y</v>
          </cell>
          <cell r="AM99">
            <v>200018403</v>
          </cell>
          <cell r="AN99">
            <v>200028403</v>
          </cell>
          <cell r="AO99">
            <v>200018303</v>
          </cell>
          <cell r="AP99">
            <v>200028303</v>
          </cell>
          <cell r="AQ99">
            <v>200018203</v>
          </cell>
          <cell r="AR99">
            <v>200028203</v>
          </cell>
          <cell r="AS99">
            <v>14.555555555555557</v>
          </cell>
          <cell r="AT99">
            <v>19.885568576882878</v>
          </cell>
          <cell r="AU99">
            <v>14.83785335812782</v>
          </cell>
          <cell r="AV99">
            <v>10.133125198752381</v>
          </cell>
          <cell r="AW99">
            <v>41192</v>
          </cell>
        </row>
        <row r="100">
          <cell r="C100" t="str">
            <v>JA Solar - JAM5L 72 190-215_S</v>
          </cell>
          <cell r="D100" t="str">
            <v>Standard Claw</v>
          </cell>
          <cell r="E100">
            <v>5000005</v>
          </cell>
          <cell r="F100">
            <v>31.811023622047244</v>
          </cell>
          <cell r="G100">
            <v>62.204724409448822</v>
          </cell>
          <cell r="H100">
            <v>1.5748031496062993</v>
          </cell>
          <cell r="I100">
            <v>200010704</v>
          </cell>
          <cell r="J100">
            <v>200010804</v>
          </cell>
          <cell r="K100">
            <v>200013804</v>
          </cell>
          <cell r="L100">
            <v>200016304</v>
          </cell>
          <cell r="M100">
            <v>500012566</v>
          </cell>
          <cell r="N100">
            <v>500012666</v>
          </cell>
          <cell r="O100">
            <v>500012567</v>
          </cell>
          <cell r="P100">
            <v>500012667</v>
          </cell>
          <cell r="Q100">
            <v>14.571707491264988</v>
          </cell>
          <cell r="R100">
            <v>13.012236782891378</v>
          </cell>
          <cell r="S100">
            <v>6.1250064477535702</v>
          </cell>
          <cell r="T100">
            <v>6.1250064477535702</v>
          </cell>
          <cell r="U100">
            <v>14.571707491264988</v>
          </cell>
          <cell r="V100">
            <v>13.012236782891378</v>
          </cell>
          <cell r="W100">
            <v>40</v>
          </cell>
          <cell r="X100">
            <v>28.448818897637796</v>
          </cell>
          <cell r="Y100">
            <v>64.069881889763778</v>
          </cell>
          <cell r="Z100">
            <v>28.448818897637796</v>
          </cell>
          <cell r="AA100">
            <v>64.069881889763778</v>
          </cell>
          <cell r="AB100">
            <v>28.448818897637796</v>
          </cell>
          <cell r="AC100">
            <v>64.069881889763778</v>
          </cell>
          <cell r="AD100">
            <v>64.069881889763778</v>
          </cell>
          <cell r="AE100">
            <v>62.704724409448822</v>
          </cell>
          <cell r="AF100">
            <v>20.704724409448822</v>
          </cell>
          <cell r="AG100">
            <v>33.074803149606304</v>
          </cell>
          <cell r="AH100" t="str">
            <v>Y</v>
          </cell>
          <cell r="AI100">
            <v>33.075000000000003</v>
          </cell>
          <cell r="AJ100">
            <v>15</v>
          </cell>
          <cell r="AK100" t="str">
            <v>TBD</v>
          </cell>
          <cell r="AL100" t="str">
            <v>Y</v>
          </cell>
          <cell r="AM100">
            <v>200018402</v>
          </cell>
          <cell r="AN100">
            <v>200028402</v>
          </cell>
          <cell r="AO100">
            <v>200018302</v>
          </cell>
          <cell r="AP100">
            <v>200028302</v>
          </cell>
          <cell r="AQ100">
            <v>200018202</v>
          </cell>
          <cell r="AR100">
            <v>200028202</v>
          </cell>
          <cell r="AS100">
            <v>13.888888888888888</v>
          </cell>
          <cell r="AT100">
            <v>24.471238183648364</v>
          </cell>
          <cell r="AU100">
            <v>18.171818938620692</v>
          </cell>
          <cell r="AV100">
            <v>12.372128912037903</v>
          </cell>
          <cell r="AW100">
            <v>41192</v>
          </cell>
        </row>
        <row r="101">
          <cell r="C101" t="str">
            <v>Jinko - JKM 235P-M-60_S</v>
          </cell>
          <cell r="D101" t="str">
            <v>Standard Claw</v>
          </cell>
          <cell r="E101">
            <v>5000005</v>
          </cell>
          <cell r="F101">
            <v>39.055118110236222</v>
          </cell>
          <cell r="G101">
            <v>64.960629921259851</v>
          </cell>
          <cell r="H101">
            <v>1.7716535433070868</v>
          </cell>
          <cell r="I101">
            <v>200010704</v>
          </cell>
          <cell r="J101">
            <v>200010804</v>
          </cell>
          <cell r="K101">
            <v>200013804</v>
          </cell>
          <cell r="L101">
            <v>200016304</v>
          </cell>
          <cell r="M101">
            <v>500012569</v>
          </cell>
          <cell r="N101">
            <v>500012669</v>
          </cell>
          <cell r="O101">
            <v>500012569</v>
          </cell>
          <cell r="P101">
            <v>500012669</v>
          </cell>
          <cell r="Q101">
            <v>11.698754267040043</v>
          </cell>
          <cell r="R101">
            <v>10.455004839041191</v>
          </cell>
          <cell r="S101">
            <v>4.9330437584696041</v>
          </cell>
          <cell r="T101">
            <v>4.9330437584696041</v>
          </cell>
          <cell r="U101">
            <v>11.698754267040043</v>
          </cell>
          <cell r="V101">
            <v>10.455004839041191</v>
          </cell>
          <cell r="W101">
            <v>50</v>
          </cell>
          <cell r="X101">
            <v>35.2992125984252</v>
          </cell>
          <cell r="Y101">
            <v>66.43208661417323</v>
          </cell>
          <cell r="Z101">
            <v>35.2992125984252</v>
          </cell>
          <cell r="AA101">
            <v>66.43208661417323</v>
          </cell>
          <cell r="AB101">
            <v>35.2992125984252</v>
          </cell>
          <cell r="AC101">
            <v>66.43208661417323</v>
          </cell>
          <cell r="AD101">
            <v>66.43208661417323</v>
          </cell>
          <cell r="AE101">
            <v>65.460629921259851</v>
          </cell>
          <cell r="AF101">
            <v>23.460629921259848</v>
          </cell>
          <cell r="AG101">
            <v>39.925196850393704</v>
          </cell>
          <cell r="AH101" t="str">
            <v>N</v>
          </cell>
          <cell r="AI101">
            <v>41.895000000000003</v>
          </cell>
          <cell r="AJ101">
            <v>19</v>
          </cell>
          <cell r="AK101" t="str">
            <v>TBD</v>
          </cell>
          <cell r="AL101" t="str">
            <v>Y</v>
          </cell>
          <cell r="AM101">
            <v>200018403</v>
          </cell>
          <cell r="AN101">
            <v>200028403</v>
          </cell>
          <cell r="AO101">
            <v>200018303</v>
          </cell>
          <cell r="AP101">
            <v>200028303</v>
          </cell>
          <cell r="AQ101">
            <v>200018203</v>
          </cell>
          <cell r="AR101">
            <v>200028203</v>
          </cell>
          <cell r="AS101">
            <v>14.555555555555557</v>
          </cell>
          <cell r="AT101">
            <v>20.069602586497279</v>
          </cell>
          <cell r="AU101">
            <v>14.97260437224279</v>
          </cell>
          <cell r="AV101">
            <v>10.224017732239455</v>
          </cell>
          <cell r="AW101">
            <v>40966</v>
          </cell>
        </row>
        <row r="102">
          <cell r="C102" t="str">
            <v>Jinko - JKM 290P-M-72_S</v>
          </cell>
          <cell r="D102" t="str">
            <v>Standard Claw</v>
          </cell>
          <cell r="E102">
            <v>5000005</v>
          </cell>
          <cell r="F102">
            <v>39.055118110236222</v>
          </cell>
          <cell r="G102">
            <v>77.00787401574803</v>
          </cell>
          <cell r="H102">
            <v>1.9685039370078741</v>
          </cell>
          <cell r="I102">
            <v>200010707</v>
          </cell>
          <cell r="J102">
            <v>200010807</v>
          </cell>
          <cell r="K102">
            <v>200013807</v>
          </cell>
          <cell r="L102">
            <v>200016307</v>
          </cell>
          <cell r="M102">
            <v>500012581</v>
          </cell>
          <cell r="N102">
            <v>500012681</v>
          </cell>
          <cell r="O102">
            <v>500012581</v>
          </cell>
          <cell r="P102">
            <v>500012681</v>
          </cell>
          <cell r="Q102">
            <v>11.698754267040043</v>
          </cell>
          <cell r="R102">
            <v>10.455004839041191</v>
          </cell>
          <cell r="S102">
            <v>4.9330437584696041</v>
          </cell>
          <cell r="T102">
            <v>4.9330437584696041</v>
          </cell>
          <cell r="U102">
            <v>11.698754267040043</v>
          </cell>
          <cell r="V102">
            <v>10.455004839041191</v>
          </cell>
          <cell r="W102">
            <v>50</v>
          </cell>
          <cell r="X102">
            <v>35.2992125984252</v>
          </cell>
          <cell r="Y102">
            <v>78.479330708661422</v>
          </cell>
          <cell r="Z102">
            <v>35.2992125984252</v>
          </cell>
          <cell r="AA102">
            <v>78.479330708661422</v>
          </cell>
          <cell r="AB102">
            <v>35.2992125984252</v>
          </cell>
          <cell r="AC102">
            <v>78.479330708661422</v>
          </cell>
          <cell r="AD102">
            <v>78.479330708661422</v>
          </cell>
          <cell r="AE102">
            <v>77.507874015748044</v>
          </cell>
          <cell r="AF102">
            <v>35.507874015748037</v>
          </cell>
          <cell r="AG102">
            <v>39.925196850393704</v>
          </cell>
          <cell r="AH102" t="str">
            <v>N</v>
          </cell>
          <cell r="AI102">
            <v>59.535000000000004</v>
          </cell>
          <cell r="AJ102">
            <v>27</v>
          </cell>
          <cell r="AK102" t="str">
            <v>TBD</v>
          </cell>
          <cell r="AL102" t="str">
            <v>Y</v>
          </cell>
          <cell r="AM102">
            <v>200018407</v>
          </cell>
          <cell r="AN102">
            <v>200028407</v>
          </cell>
          <cell r="AO102">
            <v>200018307</v>
          </cell>
          <cell r="AP102">
            <v>200028307</v>
          </cell>
          <cell r="AQ102">
            <v>200018207</v>
          </cell>
          <cell r="AR102">
            <v>200028207</v>
          </cell>
          <cell r="AS102">
            <v>17.222222222222221</v>
          </cell>
          <cell r="AT102">
            <v>20.069602586497279</v>
          </cell>
          <cell r="AU102">
            <v>14.97260437224279</v>
          </cell>
          <cell r="AV102">
            <v>10.224017732239455</v>
          </cell>
          <cell r="AW102">
            <v>40966</v>
          </cell>
        </row>
        <row r="103">
          <cell r="C103" t="str">
            <v>Jinko - JKM 220-270 M-96_S</v>
          </cell>
          <cell r="D103" t="str">
            <v>Standard Claw</v>
          </cell>
          <cell r="E103">
            <v>5000005</v>
          </cell>
          <cell r="F103">
            <v>42.598425196850393</v>
          </cell>
          <cell r="G103">
            <v>62.007874015748037</v>
          </cell>
          <cell r="H103">
            <v>1.7716535433070868</v>
          </cell>
          <cell r="I103">
            <v>200010704</v>
          </cell>
          <cell r="J103">
            <v>200010804</v>
          </cell>
          <cell r="K103">
            <v>200013804</v>
          </cell>
          <cell r="L103">
            <v>200016304</v>
          </cell>
          <cell r="M103">
            <v>500012566</v>
          </cell>
          <cell r="N103">
            <v>500012666</v>
          </cell>
          <cell r="O103">
            <v>500012566</v>
          </cell>
          <cell r="P103">
            <v>500012666</v>
          </cell>
          <cell r="Q103">
            <v>10.618528586472532</v>
          </cell>
          <cell r="R103">
            <v>9.49199409786738</v>
          </cell>
          <cell r="S103">
            <v>4.4820730498956358</v>
          </cell>
          <cell r="T103">
            <v>4.4820730498956358</v>
          </cell>
          <cell r="U103">
            <v>10.618528586472532</v>
          </cell>
          <cell r="V103">
            <v>9.49199409786738</v>
          </cell>
          <cell r="W103">
            <v>30</v>
          </cell>
          <cell r="X103">
            <v>38.84251968503937</v>
          </cell>
          <cell r="Y103">
            <v>63.479330708661422</v>
          </cell>
          <cell r="Z103">
            <v>38.84251968503937</v>
          </cell>
          <cell r="AA103">
            <v>63.479330708661422</v>
          </cell>
          <cell r="AB103">
            <v>38.84251968503937</v>
          </cell>
          <cell r="AC103">
            <v>63.479330708661422</v>
          </cell>
          <cell r="AD103">
            <v>63.479330708661422</v>
          </cell>
          <cell r="AE103">
            <v>62.507874015748037</v>
          </cell>
          <cell r="AF103">
            <v>20.507874015748037</v>
          </cell>
          <cell r="AG103">
            <v>43.468503937007874</v>
          </cell>
          <cell r="AH103" t="str">
            <v>N</v>
          </cell>
          <cell r="AI103">
            <v>41.895000000000003</v>
          </cell>
          <cell r="AJ103">
            <v>19</v>
          </cell>
          <cell r="AK103" t="str">
            <v>TBD</v>
          </cell>
          <cell r="AL103" t="str">
            <v>Y</v>
          </cell>
          <cell r="AM103">
            <v>200018402</v>
          </cell>
          <cell r="AN103">
            <v>200028402</v>
          </cell>
          <cell r="AO103">
            <v>200018302</v>
          </cell>
          <cell r="AP103">
            <v>200028302</v>
          </cell>
          <cell r="AQ103">
            <v>200018202</v>
          </cell>
          <cell r="AR103">
            <v>200028202</v>
          </cell>
          <cell r="AS103">
            <v>13.888888888888888</v>
          </cell>
          <cell r="AT103">
            <v>18.372214361238854</v>
          </cell>
          <cell r="AU103">
            <v>13.727082263910484</v>
          </cell>
          <cell r="AV103">
            <v>9.3827373929724605</v>
          </cell>
          <cell r="AW103">
            <v>40966</v>
          </cell>
        </row>
        <row r="104">
          <cell r="C104" t="str">
            <v>Kyocera - KD 225-245 GX-LPB_X</v>
          </cell>
          <cell r="D104" t="str">
            <v>Long Claw (Kyocera LPB)</v>
          </cell>
          <cell r="E104">
            <v>500003902</v>
          </cell>
          <cell r="F104">
            <v>38.976377952755911</v>
          </cell>
          <cell r="G104">
            <v>65.433070866141733</v>
          </cell>
          <cell r="H104">
            <v>1.8110236220472442</v>
          </cell>
          <cell r="I104">
            <v>200010704</v>
          </cell>
          <cell r="J104">
            <v>200010804</v>
          </cell>
          <cell r="K104">
            <v>200013804</v>
          </cell>
          <cell r="L104">
            <v>200016304</v>
          </cell>
          <cell r="M104">
            <v>500012568</v>
          </cell>
          <cell r="N104">
            <v>500012668</v>
          </cell>
          <cell r="O104">
            <v>500012569</v>
          </cell>
          <cell r="P104">
            <v>500012669</v>
          </cell>
          <cell r="Q104">
            <v>10.948638384786955</v>
          </cell>
          <cell r="R104">
            <v>9.7863612556795889</v>
          </cell>
          <cell r="S104">
            <v>4.620032713407368</v>
          </cell>
          <cell r="T104">
            <v>4.620032713407368</v>
          </cell>
          <cell r="U104">
            <v>10.948638384786955</v>
          </cell>
          <cell r="V104">
            <v>9.7863612556795889</v>
          </cell>
          <cell r="W104">
            <v>50</v>
          </cell>
          <cell r="X104">
            <v>37.685039370078741</v>
          </cell>
          <cell r="Y104">
            <v>66.187992125984252</v>
          </cell>
          <cell r="Z104">
            <v>37.685039370078741</v>
          </cell>
          <cell r="AA104">
            <v>66.187992125984252</v>
          </cell>
          <cell r="AB104">
            <v>37.685039370078741</v>
          </cell>
          <cell r="AC104">
            <v>66.187992125984252</v>
          </cell>
          <cell r="AD104">
            <v>66.187992125984252</v>
          </cell>
          <cell r="AE104">
            <v>65.933070866141733</v>
          </cell>
          <cell r="AF104">
            <v>23.933070866141737</v>
          </cell>
          <cell r="AG104">
            <v>40.862204724409452</v>
          </cell>
          <cell r="AH104" t="str">
            <v>Y</v>
          </cell>
          <cell r="AI104">
            <v>46.305</v>
          </cell>
          <cell r="AJ104">
            <v>21</v>
          </cell>
          <cell r="AK104" t="str">
            <v>TBD</v>
          </cell>
          <cell r="AL104" t="str">
            <v>Y</v>
          </cell>
          <cell r="AM104">
            <v>200018403</v>
          </cell>
          <cell r="AN104">
            <v>200028403</v>
          </cell>
          <cell r="AO104">
            <v>200018303</v>
          </cell>
          <cell r="AP104">
            <v>200028303</v>
          </cell>
          <cell r="AQ104">
            <v>200018203</v>
          </cell>
          <cell r="AR104">
            <v>200028203</v>
          </cell>
          <cell r="AS104">
            <v>14.555555555555557</v>
          </cell>
          <cell r="AT104">
            <v>19.59032067014968</v>
          </cell>
          <cell r="AU104">
            <v>14.621519405121935</v>
          </cell>
          <cell r="AV104">
            <v>9.9871387547568311</v>
          </cell>
          <cell r="AW104">
            <v>41318</v>
          </cell>
        </row>
        <row r="105">
          <cell r="C105" t="str">
            <v>Kyocera - KD 225-245 GX-LPB_L</v>
          </cell>
          <cell r="D105" t="str">
            <v>2nd Gen Long Claw (Kyocera LPB)</v>
          </cell>
          <cell r="E105">
            <v>500014402</v>
          </cell>
          <cell r="F105">
            <v>38.976377952755911</v>
          </cell>
          <cell r="G105">
            <v>65.433070866141733</v>
          </cell>
          <cell r="H105">
            <v>1.8110236220472442</v>
          </cell>
          <cell r="I105">
            <v>200010704</v>
          </cell>
          <cell r="J105">
            <v>200010804</v>
          </cell>
          <cell r="K105">
            <v>200013804</v>
          </cell>
          <cell r="L105">
            <v>200016304</v>
          </cell>
          <cell r="M105">
            <v>500012568</v>
          </cell>
          <cell r="N105">
            <v>500012668</v>
          </cell>
          <cell r="O105">
            <v>500012569</v>
          </cell>
          <cell r="P105">
            <v>500012669</v>
          </cell>
          <cell r="Q105">
            <v>10.210324757196451</v>
          </cell>
          <cell r="R105">
            <v>9.127898782246433</v>
          </cell>
          <cell r="S105">
            <v>4.3113065848517067</v>
          </cell>
          <cell r="T105">
            <v>4.3113065848517067</v>
          </cell>
          <cell r="U105">
            <v>10.210324757196451</v>
          </cell>
          <cell r="V105">
            <v>9.127898782246433</v>
          </cell>
          <cell r="W105">
            <v>50</v>
          </cell>
          <cell r="X105">
            <v>40.377952755905511</v>
          </cell>
          <cell r="Y105">
            <v>66.187992125984252</v>
          </cell>
          <cell r="Z105">
            <v>40.377952755905511</v>
          </cell>
          <cell r="AA105">
            <v>66.187992125984252</v>
          </cell>
          <cell r="AB105">
            <v>40.377952755905511</v>
          </cell>
          <cell r="AC105">
            <v>66.187992125984252</v>
          </cell>
          <cell r="AD105">
            <v>66.187992125984252</v>
          </cell>
          <cell r="AE105">
            <v>65.933070866141733</v>
          </cell>
          <cell r="AF105">
            <v>23.933070866141737</v>
          </cell>
          <cell r="AG105">
            <v>40.862204724409452</v>
          </cell>
          <cell r="AH105" t="str">
            <v>Y</v>
          </cell>
          <cell r="AI105">
            <v>46.305</v>
          </cell>
          <cell r="AJ105">
            <v>21</v>
          </cell>
          <cell r="AK105" t="str">
            <v>TBD</v>
          </cell>
          <cell r="AL105" t="str">
            <v>Y</v>
          </cell>
          <cell r="AM105">
            <v>200018403</v>
          </cell>
          <cell r="AN105">
            <v>200028403</v>
          </cell>
          <cell r="AO105">
            <v>200018303</v>
          </cell>
          <cell r="AP105">
            <v>200028303</v>
          </cell>
          <cell r="AQ105">
            <v>200018203</v>
          </cell>
          <cell r="AR105">
            <v>200028203</v>
          </cell>
          <cell r="AS105">
            <v>14.555555555555557</v>
          </cell>
          <cell r="AT105">
            <v>19.59032067014968</v>
          </cell>
          <cell r="AU105">
            <v>14.621519405121935</v>
          </cell>
          <cell r="AV105">
            <v>9.9871387547568311</v>
          </cell>
          <cell r="AW105">
            <v>41318</v>
          </cell>
        </row>
        <row r="106">
          <cell r="C106" t="str">
            <v>Kyocera - KD 205-220 GX-LPU_X</v>
          </cell>
          <cell r="D106" t="str">
            <v>Long Claw (Kyocera LPU)</v>
          </cell>
          <cell r="E106">
            <v>500003903</v>
          </cell>
          <cell r="F106">
            <v>38.976377952755911</v>
          </cell>
          <cell r="G106">
            <v>59.055118110236222</v>
          </cell>
          <cell r="H106">
            <v>1.8110236220472442</v>
          </cell>
          <cell r="I106">
            <v>200010703</v>
          </cell>
          <cell r="J106">
            <v>200010803</v>
          </cell>
          <cell r="K106">
            <v>200013803</v>
          </cell>
          <cell r="L106">
            <v>200016303</v>
          </cell>
          <cell r="M106">
            <v>500012562</v>
          </cell>
          <cell r="N106">
            <v>500012662</v>
          </cell>
          <cell r="O106">
            <v>500012563</v>
          </cell>
          <cell r="P106">
            <v>500012663</v>
          </cell>
          <cell r="Q106">
            <v>10.948638384786955</v>
          </cell>
          <cell r="R106">
            <v>9.7863612556795889</v>
          </cell>
          <cell r="S106">
            <v>4.620032713407368</v>
          </cell>
          <cell r="T106">
            <v>4.620032713407368</v>
          </cell>
          <cell r="U106">
            <v>10.948638384786955</v>
          </cell>
          <cell r="V106">
            <v>9.7863612556795889</v>
          </cell>
          <cell r="W106">
            <v>50</v>
          </cell>
          <cell r="X106">
            <v>37.685039370078741</v>
          </cell>
          <cell r="Y106">
            <v>59.810039370078741</v>
          </cell>
          <cell r="Z106">
            <v>37.685039370078741</v>
          </cell>
          <cell r="AA106">
            <v>59.810039370078741</v>
          </cell>
          <cell r="AB106">
            <v>37.685039370078741</v>
          </cell>
          <cell r="AC106">
            <v>59.810039370078741</v>
          </cell>
          <cell r="AD106">
            <v>59.810039370078741</v>
          </cell>
          <cell r="AE106">
            <v>59.555118110236222</v>
          </cell>
          <cell r="AF106">
            <v>17.555118110236226</v>
          </cell>
          <cell r="AG106">
            <v>40.94094488188977</v>
          </cell>
          <cell r="AH106" t="str">
            <v>Y</v>
          </cell>
          <cell r="AI106">
            <v>39.69</v>
          </cell>
          <cell r="AJ106">
            <v>18</v>
          </cell>
          <cell r="AK106" t="str">
            <v>TBD</v>
          </cell>
          <cell r="AL106" t="str">
            <v>Y</v>
          </cell>
          <cell r="AM106">
            <v>200018401</v>
          </cell>
          <cell r="AN106">
            <v>200028401</v>
          </cell>
          <cell r="AO106">
            <v>200018301</v>
          </cell>
          <cell r="AP106">
            <v>200028301</v>
          </cell>
          <cell r="AQ106">
            <v>200018201</v>
          </cell>
          <cell r="AR106">
            <v>200028201</v>
          </cell>
          <cell r="AS106">
            <v>13.22222222222222</v>
          </cell>
          <cell r="AT106">
            <v>19.551107819050522</v>
          </cell>
          <cell r="AU106">
            <v>14.592773493187313</v>
          </cell>
          <cell r="AV106">
            <v>9.9677345225049123</v>
          </cell>
          <cell r="AW106">
            <v>40966</v>
          </cell>
        </row>
        <row r="107">
          <cell r="C107" t="str">
            <v>Kyocera - KD 205-220 GX-LPU_L</v>
          </cell>
          <cell r="D107" t="str">
            <v>2nd Gen Long Claw (Kyocera LPU)</v>
          </cell>
          <cell r="E107">
            <v>500014403</v>
          </cell>
          <cell r="F107">
            <v>38.976377952755911</v>
          </cell>
          <cell r="G107">
            <v>59.055118110236222</v>
          </cell>
          <cell r="H107">
            <v>1.8110236220472442</v>
          </cell>
          <cell r="I107">
            <v>200010703</v>
          </cell>
          <cell r="J107">
            <v>200010803</v>
          </cell>
          <cell r="K107">
            <v>200013803</v>
          </cell>
          <cell r="L107">
            <v>200016303</v>
          </cell>
          <cell r="M107">
            <v>500012562</v>
          </cell>
          <cell r="N107">
            <v>500012662</v>
          </cell>
          <cell r="O107">
            <v>500012563</v>
          </cell>
          <cell r="P107">
            <v>500012663</v>
          </cell>
          <cell r="Q107">
            <v>10.210324757196451</v>
          </cell>
          <cell r="R107">
            <v>9.127898782246433</v>
          </cell>
          <cell r="S107">
            <v>4.3113065848517067</v>
          </cell>
          <cell r="T107">
            <v>4.3113065848517067</v>
          </cell>
          <cell r="U107">
            <v>10.210324757196451</v>
          </cell>
          <cell r="V107">
            <v>9.127898782246433</v>
          </cell>
          <cell r="W107">
            <v>50</v>
          </cell>
          <cell r="X107">
            <v>40.377952755905511</v>
          </cell>
          <cell r="Y107">
            <v>59.810039370078741</v>
          </cell>
          <cell r="Z107">
            <v>40.377952755905511</v>
          </cell>
          <cell r="AA107">
            <v>59.810039370078741</v>
          </cell>
          <cell r="AB107">
            <v>40.377952755905511</v>
          </cell>
          <cell r="AC107">
            <v>59.810039370078741</v>
          </cell>
          <cell r="AD107">
            <v>59.810039370078741</v>
          </cell>
          <cell r="AE107">
            <v>59.555118110236222</v>
          </cell>
          <cell r="AF107">
            <v>17.555118110236226</v>
          </cell>
          <cell r="AG107">
            <v>40.94094488188977</v>
          </cell>
          <cell r="AH107" t="str">
            <v>Y</v>
          </cell>
          <cell r="AI107">
            <v>39.69</v>
          </cell>
          <cell r="AJ107">
            <v>18</v>
          </cell>
          <cell r="AK107" t="str">
            <v>TBD</v>
          </cell>
          <cell r="AL107" t="str">
            <v>Y</v>
          </cell>
          <cell r="AM107">
            <v>200018401</v>
          </cell>
          <cell r="AN107">
            <v>200028401</v>
          </cell>
          <cell r="AO107">
            <v>200018301</v>
          </cell>
          <cell r="AP107">
            <v>200028301</v>
          </cell>
          <cell r="AQ107">
            <v>200018201</v>
          </cell>
          <cell r="AR107">
            <v>200028201</v>
          </cell>
          <cell r="AS107">
            <v>13.22222222222222</v>
          </cell>
          <cell r="AT107">
            <v>19.551107819050522</v>
          </cell>
          <cell r="AU107">
            <v>14.592773493187313</v>
          </cell>
          <cell r="AV107">
            <v>9.9677345225049123</v>
          </cell>
          <cell r="AW107">
            <v>40966</v>
          </cell>
        </row>
        <row r="108">
          <cell r="C108" t="str">
            <v>Kyocera - KD 240-250 GX-LFB _X</v>
          </cell>
          <cell r="D108" t="str">
            <v>Long Claw (Kyocera LPB)</v>
          </cell>
          <cell r="E108">
            <v>500003902</v>
          </cell>
          <cell r="F108">
            <v>38.976377952755911</v>
          </cell>
          <cell r="G108">
            <v>65.433070866141733</v>
          </cell>
          <cell r="H108">
            <v>1.8110236220472442</v>
          </cell>
          <cell r="I108">
            <v>200010704</v>
          </cell>
          <cell r="J108">
            <v>200010804</v>
          </cell>
          <cell r="K108">
            <v>200013804</v>
          </cell>
          <cell r="L108">
            <v>200016304</v>
          </cell>
          <cell r="M108">
            <v>500012568</v>
          </cell>
          <cell r="N108">
            <v>500012668</v>
          </cell>
          <cell r="O108">
            <v>500012569</v>
          </cell>
          <cell r="P108">
            <v>500012669</v>
          </cell>
          <cell r="Q108">
            <v>10.948638384786955</v>
          </cell>
          <cell r="R108">
            <v>9.7863612556795889</v>
          </cell>
          <cell r="S108">
            <v>4.620032713407368</v>
          </cell>
          <cell r="T108">
            <v>4.620032713407368</v>
          </cell>
          <cell r="U108">
            <v>10.948638384786955</v>
          </cell>
          <cell r="V108">
            <v>9.7863612556795889</v>
          </cell>
          <cell r="W108">
            <v>50</v>
          </cell>
          <cell r="X108">
            <v>37.685039370078741</v>
          </cell>
          <cell r="Y108">
            <v>66.187992125984252</v>
          </cell>
          <cell r="Z108">
            <v>37.685039370078741</v>
          </cell>
          <cell r="AA108">
            <v>66.187992125984252</v>
          </cell>
          <cell r="AB108">
            <v>37.685039370078741</v>
          </cell>
          <cell r="AC108">
            <v>66.187992125984252</v>
          </cell>
          <cell r="AD108">
            <v>66.187992125984252</v>
          </cell>
          <cell r="AE108">
            <v>65.933070866141733</v>
          </cell>
          <cell r="AF108">
            <v>23.933070866141737</v>
          </cell>
          <cell r="AG108">
            <v>40.862204724409452</v>
          </cell>
          <cell r="AH108" t="str">
            <v>Y</v>
          </cell>
          <cell r="AI108">
            <v>46.305</v>
          </cell>
          <cell r="AJ108">
            <v>21</v>
          </cell>
          <cell r="AK108" t="str">
            <v>TBD</v>
          </cell>
          <cell r="AL108" t="str">
            <v>Y</v>
          </cell>
          <cell r="AM108">
            <v>200018403</v>
          </cell>
          <cell r="AN108">
            <v>200028403</v>
          </cell>
          <cell r="AO108">
            <v>200018303</v>
          </cell>
          <cell r="AP108">
            <v>200028303</v>
          </cell>
          <cell r="AQ108">
            <v>200018203</v>
          </cell>
          <cell r="AR108">
            <v>200028203</v>
          </cell>
          <cell r="AS108">
            <v>14.555555555555557</v>
          </cell>
          <cell r="AT108">
            <v>19.59032067014968</v>
          </cell>
          <cell r="AU108">
            <v>14.621519405121935</v>
          </cell>
          <cell r="AV108">
            <v>9.9871387547568311</v>
          </cell>
          <cell r="AW108">
            <v>41318</v>
          </cell>
        </row>
        <row r="109">
          <cell r="C109" t="str">
            <v>Kyocera - KD 240-250 GX-LFB _L</v>
          </cell>
          <cell r="D109" t="str">
            <v>2nd Gen Long Claw (Kyocera LPB)</v>
          </cell>
          <cell r="E109">
            <v>500014402</v>
          </cell>
          <cell r="F109">
            <v>38.976377952755911</v>
          </cell>
          <cell r="G109">
            <v>65.433070866141733</v>
          </cell>
          <cell r="H109">
            <v>1.8110236220472442</v>
          </cell>
          <cell r="I109">
            <v>200010704</v>
          </cell>
          <cell r="J109">
            <v>200010804</v>
          </cell>
          <cell r="K109">
            <v>200013804</v>
          </cell>
          <cell r="L109">
            <v>200016304</v>
          </cell>
          <cell r="M109">
            <v>500012568</v>
          </cell>
          <cell r="N109">
            <v>500012668</v>
          </cell>
          <cell r="O109">
            <v>500012569</v>
          </cell>
          <cell r="P109">
            <v>500012669</v>
          </cell>
          <cell r="Q109">
            <v>10.210324757196451</v>
          </cell>
          <cell r="R109">
            <v>9.127898782246433</v>
          </cell>
          <cell r="S109">
            <v>4.3113065848517067</v>
          </cell>
          <cell r="T109">
            <v>4.3113065848517067</v>
          </cell>
          <cell r="U109">
            <v>10.210324757196451</v>
          </cell>
          <cell r="V109">
            <v>9.127898782246433</v>
          </cell>
          <cell r="W109">
            <v>50</v>
          </cell>
          <cell r="X109">
            <v>40.377952755905511</v>
          </cell>
          <cell r="Y109">
            <v>66.187992125984252</v>
          </cell>
          <cell r="Z109">
            <v>40.377952755905511</v>
          </cell>
          <cell r="AA109">
            <v>66.187992125984252</v>
          </cell>
          <cell r="AB109">
            <v>40.377952755905511</v>
          </cell>
          <cell r="AC109">
            <v>66.187992125984252</v>
          </cell>
          <cell r="AD109">
            <v>66.187992125984252</v>
          </cell>
          <cell r="AE109">
            <v>65.933070866141733</v>
          </cell>
          <cell r="AF109">
            <v>23.933070866141737</v>
          </cell>
          <cell r="AG109">
            <v>40.862204724409452</v>
          </cell>
          <cell r="AH109" t="str">
            <v>Y</v>
          </cell>
          <cell r="AI109">
            <v>46.305</v>
          </cell>
          <cell r="AJ109">
            <v>21</v>
          </cell>
          <cell r="AK109" t="str">
            <v>TBD</v>
          </cell>
          <cell r="AL109" t="str">
            <v>Y</v>
          </cell>
          <cell r="AM109">
            <v>200018403</v>
          </cell>
          <cell r="AN109">
            <v>200028403</v>
          </cell>
          <cell r="AO109">
            <v>200018303</v>
          </cell>
          <cell r="AP109">
            <v>200028303</v>
          </cell>
          <cell r="AQ109">
            <v>200018203</v>
          </cell>
          <cell r="AR109">
            <v>200028203</v>
          </cell>
          <cell r="AS109">
            <v>14.555555555555557</v>
          </cell>
          <cell r="AT109">
            <v>19.59032067014968</v>
          </cell>
          <cell r="AU109">
            <v>14.621519405121935</v>
          </cell>
          <cell r="AV109">
            <v>9.9871387547568311</v>
          </cell>
          <cell r="AW109">
            <v>41318</v>
          </cell>
        </row>
        <row r="110">
          <cell r="C110" t="str">
            <v>Kyocera - KD 205-220 GX-LFBS_X</v>
          </cell>
          <cell r="D110" t="str">
            <v>Long Claw (Kyocera LPU)</v>
          </cell>
          <cell r="E110">
            <v>500003903</v>
          </cell>
          <cell r="F110">
            <v>38.976377952755911</v>
          </cell>
          <cell r="G110">
            <v>59.055118110236222</v>
          </cell>
          <cell r="H110">
            <v>1.8110236220472442</v>
          </cell>
          <cell r="I110">
            <v>200010703</v>
          </cell>
          <cell r="J110">
            <v>200010803</v>
          </cell>
          <cell r="K110">
            <v>200013803</v>
          </cell>
          <cell r="L110">
            <v>200016303</v>
          </cell>
          <cell r="M110">
            <v>500012562</v>
          </cell>
          <cell r="N110">
            <v>500012662</v>
          </cell>
          <cell r="O110">
            <v>500012563</v>
          </cell>
          <cell r="P110">
            <v>500012663</v>
          </cell>
          <cell r="Q110">
            <v>10.948638384786955</v>
          </cell>
          <cell r="R110">
            <v>9.7863612556795889</v>
          </cell>
          <cell r="S110">
            <v>4.620032713407368</v>
          </cell>
          <cell r="T110">
            <v>4.620032713407368</v>
          </cell>
          <cell r="U110">
            <v>10.948638384786955</v>
          </cell>
          <cell r="V110">
            <v>9.7863612556795889</v>
          </cell>
          <cell r="W110">
            <v>50</v>
          </cell>
          <cell r="X110">
            <v>37.685039370078741</v>
          </cell>
          <cell r="Y110">
            <v>59.810039370078741</v>
          </cell>
          <cell r="Z110">
            <v>37.685039370078741</v>
          </cell>
          <cell r="AA110">
            <v>59.810039370078741</v>
          </cell>
          <cell r="AB110">
            <v>37.685039370078741</v>
          </cell>
          <cell r="AC110">
            <v>59.810039370078741</v>
          </cell>
          <cell r="AD110">
            <v>59.810039370078741</v>
          </cell>
          <cell r="AE110">
            <v>59.555118110236222</v>
          </cell>
          <cell r="AF110">
            <v>17.555118110236226</v>
          </cell>
          <cell r="AG110">
            <v>40.94094488188977</v>
          </cell>
          <cell r="AH110" t="str">
            <v>Y</v>
          </cell>
          <cell r="AI110">
            <v>39.69</v>
          </cell>
          <cell r="AJ110">
            <v>18</v>
          </cell>
          <cell r="AK110" t="str">
            <v>TBD</v>
          </cell>
          <cell r="AL110" t="str">
            <v>Y</v>
          </cell>
          <cell r="AM110">
            <v>200018401</v>
          </cell>
          <cell r="AN110">
            <v>200028401</v>
          </cell>
          <cell r="AO110">
            <v>200018301</v>
          </cell>
          <cell r="AP110">
            <v>200028301</v>
          </cell>
          <cell r="AQ110">
            <v>200018201</v>
          </cell>
          <cell r="AR110">
            <v>200028201</v>
          </cell>
          <cell r="AS110">
            <v>13.22222222222222</v>
          </cell>
          <cell r="AT110">
            <v>19.551107819050522</v>
          </cell>
          <cell r="AU110">
            <v>14.592773493187313</v>
          </cell>
          <cell r="AV110">
            <v>9.9677345225049123</v>
          </cell>
          <cell r="AW110">
            <v>40966</v>
          </cell>
        </row>
        <row r="111">
          <cell r="C111" t="str">
            <v>Kyocera - KD 205-220 GX-LFBS_L</v>
          </cell>
          <cell r="D111" t="str">
            <v>2nd Gen Long Claw (Kyocera LPU)</v>
          </cell>
          <cell r="E111">
            <v>500014403</v>
          </cell>
          <cell r="F111">
            <v>38.976377952755911</v>
          </cell>
          <cell r="G111">
            <v>59.055118110236222</v>
          </cell>
          <cell r="H111">
            <v>1.8110236220472442</v>
          </cell>
          <cell r="I111">
            <v>200010703</v>
          </cell>
          <cell r="J111">
            <v>200010803</v>
          </cell>
          <cell r="K111">
            <v>200013803</v>
          </cell>
          <cell r="L111">
            <v>200016303</v>
          </cell>
          <cell r="M111">
            <v>500012562</v>
          </cell>
          <cell r="N111">
            <v>500012662</v>
          </cell>
          <cell r="O111">
            <v>500012563</v>
          </cell>
          <cell r="P111">
            <v>500012663</v>
          </cell>
          <cell r="Q111">
            <v>10.210324757196451</v>
          </cell>
          <cell r="R111">
            <v>9.127898782246433</v>
          </cell>
          <cell r="S111">
            <v>4.3113065848517067</v>
          </cell>
          <cell r="T111">
            <v>4.3113065848517067</v>
          </cell>
          <cell r="U111">
            <v>10.210324757196451</v>
          </cell>
          <cell r="V111">
            <v>9.127898782246433</v>
          </cell>
          <cell r="W111">
            <v>50</v>
          </cell>
          <cell r="X111">
            <v>40.377952755905511</v>
          </cell>
          <cell r="Y111">
            <v>59.810039370078741</v>
          </cell>
          <cell r="Z111">
            <v>40.377952755905511</v>
          </cell>
          <cell r="AA111">
            <v>59.810039370078741</v>
          </cell>
          <cell r="AB111">
            <v>40.377952755905511</v>
          </cell>
          <cell r="AC111">
            <v>59.810039370078741</v>
          </cell>
          <cell r="AD111">
            <v>59.810039370078741</v>
          </cell>
          <cell r="AE111">
            <v>59.555118110236222</v>
          </cell>
          <cell r="AF111">
            <v>17.555118110236226</v>
          </cell>
          <cell r="AG111">
            <v>40.94094488188977</v>
          </cell>
          <cell r="AH111" t="str">
            <v>Y</v>
          </cell>
          <cell r="AI111">
            <v>39.69</v>
          </cell>
          <cell r="AJ111">
            <v>18</v>
          </cell>
          <cell r="AK111" t="str">
            <v>TBD</v>
          </cell>
          <cell r="AL111" t="str">
            <v>Y</v>
          </cell>
          <cell r="AM111">
            <v>200018401</v>
          </cell>
          <cell r="AN111">
            <v>200028401</v>
          </cell>
          <cell r="AO111">
            <v>200018301</v>
          </cell>
          <cell r="AP111">
            <v>200028301</v>
          </cell>
          <cell r="AQ111">
            <v>200018201</v>
          </cell>
          <cell r="AR111">
            <v>200028201</v>
          </cell>
          <cell r="AS111">
            <v>13.22222222222222</v>
          </cell>
          <cell r="AT111">
            <v>19.551107819050522</v>
          </cell>
          <cell r="AU111">
            <v>14.592773493187313</v>
          </cell>
          <cell r="AV111">
            <v>9.9677345225049123</v>
          </cell>
          <cell r="AW111">
            <v>40966</v>
          </cell>
        </row>
        <row r="112">
          <cell r="C112" t="str">
            <v>LDK - LDK 180-210 D-24s_S</v>
          </cell>
          <cell r="D112" t="str">
            <v>Standard Claw</v>
          </cell>
          <cell r="E112">
            <v>5000005</v>
          </cell>
          <cell r="F112">
            <v>31.811023622047244</v>
          </cell>
          <cell r="G112">
            <v>62.204724409448822</v>
          </cell>
          <cell r="H112">
            <v>1.5748031496062993</v>
          </cell>
          <cell r="I112">
            <v>200010704</v>
          </cell>
          <cell r="J112">
            <v>200010804</v>
          </cell>
          <cell r="K112">
            <v>200013804</v>
          </cell>
          <cell r="L112">
            <v>200016304</v>
          </cell>
          <cell r="M112">
            <v>500012566</v>
          </cell>
          <cell r="N112">
            <v>500012666</v>
          </cell>
          <cell r="O112">
            <v>500012567</v>
          </cell>
          <cell r="P112">
            <v>500012667</v>
          </cell>
          <cell r="Q112">
            <v>14.571707491264988</v>
          </cell>
          <cell r="R112">
            <v>13.012236782891378</v>
          </cell>
          <cell r="S112">
            <v>6.1250064477535702</v>
          </cell>
          <cell r="T112">
            <v>6.1250064477535702</v>
          </cell>
          <cell r="U112">
            <v>14.571707491264988</v>
          </cell>
          <cell r="V112">
            <v>13.012236782891378</v>
          </cell>
          <cell r="W112">
            <v>50</v>
          </cell>
          <cell r="X112">
            <v>28.448818897637796</v>
          </cell>
          <cell r="Y112">
            <v>64.069881889763778</v>
          </cell>
          <cell r="Z112">
            <v>28.448818897637796</v>
          </cell>
          <cell r="AA112">
            <v>64.069881889763778</v>
          </cell>
          <cell r="AB112">
            <v>28.448818897637796</v>
          </cell>
          <cell r="AC112">
            <v>64.069881889763778</v>
          </cell>
          <cell r="AD112">
            <v>64.069881889763778</v>
          </cell>
          <cell r="AE112">
            <v>62.704724409448822</v>
          </cell>
          <cell r="AF112">
            <v>20.704724409448822</v>
          </cell>
          <cell r="AG112">
            <v>33.074803149606304</v>
          </cell>
          <cell r="AH112" t="str">
            <v>Y</v>
          </cell>
          <cell r="AI112">
            <v>34.398000000000003</v>
          </cell>
          <cell r="AJ112">
            <v>15.6</v>
          </cell>
          <cell r="AK112" t="str">
            <v>TBD</v>
          </cell>
          <cell r="AL112" t="str">
            <v>Y</v>
          </cell>
          <cell r="AM112">
            <v>200018402</v>
          </cell>
          <cell r="AN112">
            <v>200028402</v>
          </cell>
          <cell r="AO112">
            <v>200018302</v>
          </cell>
          <cell r="AP112">
            <v>200028302</v>
          </cell>
          <cell r="AQ112">
            <v>200018202</v>
          </cell>
          <cell r="AR112">
            <v>200028202</v>
          </cell>
          <cell r="AS112">
            <v>13.888888888888888</v>
          </cell>
          <cell r="AT112">
            <v>24.471238183648364</v>
          </cell>
          <cell r="AU112">
            <v>18.171818938620692</v>
          </cell>
          <cell r="AV112">
            <v>12.372128912037903</v>
          </cell>
          <cell r="AW112">
            <v>41192</v>
          </cell>
        </row>
        <row r="113">
          <cell r="C113" t="str">
            <v>LDK - LDK 160-200 P-24s_S</v>
          </cell>
          <cell r="D113" t="str">
            <v>Standard Claw</v>
          </cell>
          <cell r="E113">
            <v>5000005</v>
          </cell>
          <cell r="F113">
            <v>31.811023622047244</v>
          </cell>
          <cell r="G113">
            <v>62.204724409448822</v>
          </cell>
          <cell r="H113">
            <v>1.5748031496062993</v>
          </cell>
          <cell r="I113">
            <v>200010704</v>
          </cell>
          <cell r="J113">
            <v>200010804</v>
          </cell>
          <cell r="K113">
            <v>200013804</v>
          </cell>
          <cell r="L113">
            <v>200016304</v>
          </cell>
          <cell r="M113">
            <v>500012566</v>
          </cell>
          <cell r="N113">
            <v>500012666</v>
          </cell>
          <cell r="O113">
            <v>500012567</v>
          </cell>
          <cell r="P113">
            <v>500012667</v>
          </cell>
          <cell r="Q113">
            <v>14.571707491264988</v>
          </cell>
          <cell r="R113">
            <v>13.012236782891378</v>
          </cell>
          <cell r="S113">
            <v>6.1250064477535702</v>
          </cell>
          <cell r="T113">
            <v>6.1250064477535702</v>
          </cell>
          <cell r="U113">
            <v>14.571707491264988</v>
          </cell>
          <cell r="V113">
            <v>13.012236782891378</v>
          </cell>
          <cell r="W113">
            <v>50</v>
          </cell>
          <cell r="X113">
            <v>28.448818897637796</v>
          </cell>
          <cell r="Y113">
            <v>64.069881889763778</v>
          </cell>
          <cell r="Z113">
            <v>28.448818897637796</v>
          </cell>
          <cell r="AA113">
            <v>64.069881889763778</v>
          </cell>
          <cell r="AB113">
            <v>28.448818897637796</v>
          </cell>
          <cell r="AC113">
            <v>64.069881889763778</v>
          </cell>
          <cell r="AD113">
            <v>64.069881889763778</v>
          </cell>
          <cell r="AE113">
            <v>62.704724409448822</v>
          </cell>
          <cell r="AF113">
            <v>20.704724409448822</v>
          </cell>
          <cell r="AG113">
            <v>33.074803149606304</v>
          </cell>
          <cell r="AH113" t="str">
            <v>Y</v>
          </cell>
          <cell r="AI113">
            <v>34.398000000000003</v>
          </cell>
          <cell r="AJ113">
            <v>15.6</v>
          </cell>
          <cell r="AK113" t="str">
            <v>TBD</v>
          </cell>
          <cell r="AL113" t="str">
            <v>Y</v>
          </cell>
          <cell r="AM113">
            <v>200018402</v>
          </cell>
          <cell r="AN113">
            <v>200028402</v>
          </cell>
          <cell r="AO113">
            <v>200018302</v>
          </cell>
          <cell r="AP113">
            <v>200028302</v>
          </cell>
          <cell r="AQ113">
            <v>200018202</v>
          </cell>
          <cell r="AR113">
            <v>200028202</v>
          </cell>
          <cell r="AS113">
            <v>13.888888888888888</v>
          </cell>
          <cell r="AT113">
            <v>24.471238183648364</v>
          </cell>
          <cell r="AU113">
            <v>18.171818938620692</v>
          </cell>
          <cell r="AV113">
            <v>12.372128912037903</v>
          </cell>
          <cell r="AW113">
            <v>41192</v>
          </cell>
        </row>
        <row r="114">
          <cell r="C114" t="str">
            <v>LDK - LDK 220-260 D-20_S</v>
          </cell>
          <cell r="D114" t="str">
            <v>Standard Claw</v>
          </cell>
          <cell r="E114">
            <v>5000005</v>
          </cell>
          <cell r="F114">
            <v>39.133858267716541</v>
          </cell>
          <cell r="G114">
            <v>64.645669291338592</v>
          </cell>
          <cell r="H114">
            <v>1.5748031496062993</v>
          </cell>
          <cell r="I114">
            <v>200010704</v>
          </cell>
          <cell r="J114">
            <v>200010804</v>
          </cell>
          <cell r="K114">
            <v>200013804</v>
          </cell>
          <cell r="L114">
            <v>200016304</v>
          </cell>
          <cell r="M114">
            <v>500012569</v>
          </cell>
          <cell r="N114">
            <v>500012669</v>
          </cell>
          <cell r="O114">
            <v>500012569</v>
          </cell>
          <cell r="P114">
            <v>500012669</v>
          </cell>
          <cell r="Q114">
            <v>11.542107859274854</v>
          </cell>
          <cell r="R114">
            <v>10.315402215766035</v>
          </cell>
          <cell r="S114">
            <v>4.8677341333410507</v>
          </cell>
          <cell r="T114">
            <v>4.8677341333410507</v>
          </cell>
          <cell r="U114">
            <v>11.542107859274854</v>
          </cell>
          <cell r="V114">
            <v>10.315402215766035</v>
          </cell>
          <cell r="W114">
            <v>50</v>
          </cell>
          <cell r="X114">
            <v>35.771653543307089</v>
          </cell>
          <cell r="Y114">
            <v>66.510826771653541</v>
          </cell>
          <cell r="Z114">
            <v>35.771653543307089</v>
          </cell>
          <cell r="AA114">
            <v>66.510826771653541</v>
          </cell>
          <cell r="AB114">
            <v>35.771653543307089</v>
          </cell>
          <cell r="AC114">
            <v>66.510826771653541</v>
          </cell>
          <cell r="AD114">
            <v>66.510826771653541</v>
          </cell>
          <cell r="AE114">
            <v>65.145669291338592</v>
          </cell>
          <cell r="AF114">
            <v>23.145669291338589</v>
          </cell>
          <cell r="AG114">
            <v>40.397637795275593</v>
          </cell>
          <cell r="AH114" t="str">
            <v>Y</v>
          </cell>
          <cell r="AI114">
            <v>44.1</v>
          </cell>
          <cell r="AJ114">
            <v>20</v>
          </cell>
          <cell r="AK114" t="str">
            <v>TBD</v>
          </cell>
          <cell r="AL114" t="str">
            <v>Y</v>
          </cell>
          <cell r="AM114">
            <v>200018403</v>
          </cell>
          <cell r="AN114">
            <v>200028403</v>
          </cell>
          <cell r="AO114">
            <v>200018303</v>
          </cell>
          <cell r="AP114">
            <v>200028303</v>
          </cell>
          <cell r="AQ114">
            <v>200018203</v>
          </cell>
          <cell r="AR114">
            <v>200028203</v>
          </cell>
          <cell r="AS114">
            <v>14.555555555555557</v>
          </cell>
          <cell r="AT114">
            <v>19.824988214643927</v>
          </cell>
          <cell r="AU114">
            <v>14.793480064873235</v>
          </cell>
          <cell r="AV114">
            <v>10.103187663745738</v>
          </cell>
          <cell r="AW114">
            <v>41192</v>
          </cell>
        </row>
        <row r="115">
          <cell r="C115" t="str">
            <v>LDK - LDK 210-250 P-20_S</v>
          </cell>
          <cell r="D115" t="str">
            <v>Standard Claw</v>
          </cell>
          <cell r="E115">
            <v>5000005</v>
          </cell>
          <cell r="F115">
            <v>39.133858267716541</v>
          </cell>
          <cell r="G115">
            <v>64.645669291338592</v>
          </cell>
          <cell r="H115">
            <v>1.5748031496062993</v>
          </cell>
          <cell r="I115">
            <v>200010704</v>
          </cell>
          <cell r="J115">
            <v>200010804</v>
          </cell>
          <cell r="K115">
            <v>200013804</v>
          </cell>
          <cell r="L115">
            <v>200016304</v>
          </cell>
          <cell r="M115">
            <v>500012569</v>
          </cell>
          <cell r="N115">
            <v>500012669</v>
          </cell>
          <cell r="O115">
            <v>500012569</v>
          </cell>
          <cell r="P115">
            <v>500012669</v>
          </cell>
          <cell r="Q115">
            <v>11.542107859274854</v>
          </cell>
          <cell r="R115">
            <v>10.315402215766035</v>
          </cell>
          <cell r="S115">
            <v>4.8677341333410507</v>
          </cell>
          <cell r="T115">
            <v>4.8677341333410507</v>
          </cell>
          <cell r="U115">
            <v>11.542107859274854</v>
          </cell>
          <cell r="V115">
            <v>10.315402215766035</v>
          </cell>
          <cell r="W115">
            <v>50</v>
          </cell>
          <cell r="X115">
            <v>35.771653543307089</v>
          </cell>
          <cell r="Y115">
            <v>66.510826771653541</v>
          </cell>
          <cell r="Z115">
            <v>35.771653543307089</v>
          </cell>
          <cell r="AA115">
            <v>66.510826771653541</v>
          </cell>
          <cell r="AB115">
            <v>35.771653543307089</v>
          </cell>
          <cell r="AC115">
            <v>66.510826771653541</v>
          </cell>
          <cell r="AD115">
            <v>66.510826771653541</v>
          </cell>
          <cell r="AE115">
            <v>65.145669291338592</v>
          </cell>
          <cell r="AF115">
            <v>23.145669291338589</v>
          </cell>
          <cell r="AG115">
            <v>40.397637795275593</v>
          </cell>
          <cell r="AH115" t="str">
            <v>Y</v>
          </cell>
          <cell r="AI115">
            <v>44.1</v>
          </cell>
          <cell r="AJ115">
            <v>20</v>
          </cell>
          <cell r="AK115" t="str">
            <v>TBD</v>
          </cell>
          <cell r="AL115" t="str">
            <v>Y</v>
          </cell>
          <cell r="AM115">
            <v>200018403</v>
          </cell>
          <cell r="AN115">
            <v>200028403</v>
          </cell>
          <cell r="AO115">
            <v>200018303</v>
          </cell>
          <cell r="AP115">
            <v>200028303</v>
          </cell>
          <cell r="AQ115">
            <v>200018203</v>
          </cell>
          <cell r="AR115">
            <v>200028203</v>
          </cell>
          <cell r="AS115">
            <v>14.555555555555557</v>
          </cell>
          <cell r="AT115">
            <v>19.824988214643927</v>
          </cell>
          <cell r="AU115">
            <v>14.793480064873235</v>
          </cell>
          <cell r="AV115">
            <v>10.103187663745738</v>
          </cell>
          <cell r="AW115">
            <v>41192</v>
          </cell>
        </row>
        <row r="116">
          <cell r="C116" t="str">
            <v>LDK - LDK 260-290 P-24_S</v>
          </cell>
          <cell r="D116" t="str">
            <v>Standard Claw</v>
          </cell>
          <cell r="E116">
            <v>5000005</v>
          </cell>
          <cell r="F116">
            <v>39.133858267716541</v>
          </cell>
          <cell r="G116">
            <v>77.086614173228355</v>
          </cell>
          <cell r="H116">
            <v>1.9685039370078741</v>
          </cell>
          <cell r="I116">
            <v>200010707</v>
          </cell>
          <cell r="J116">
            <v>200010807</v>
          </cell>
          <cell r="K116">
            <v>200013807</v>
          </cell>
          <cell r="L116">
            <v>200016307</v>
          </cell>
          <cell r="M116">
            <v>500012580</v>
          </cell>
          <cell r="N116">
            <v>500012680</v>
          </cell>
          <cell r="O116">
            <v>500012581</v>
          </cell>
          <cell r="P116">
            <v>500012681</v>
          </cell>
          <cell r="Q116">
            <v>11.805586443566717</v>
          </cell>
          <cell r="R116">
            <v>10.550203911140217</v>
          </cell>
          <cell r="S116">
            <v>4.9775671493683964</v>
          </cell>
          <cell r="T116">
            <v>4.9775671493683964</v>
          </cell>
          <cell r="U116">
            <v>11.805586443566717</v>
          </cell>
          <cell r="V116">
            <v>10.550203911140217</v>
          </cell>
          <cell r="W116">
            <v>50</v>
          </cell>
          <cell r="X116">
            <v>34.984251968503941</v>
          </cell>
          <cell r="Y116">
            <v>78.164370078740163</v>
          </cell>
          <cell r="Z116">
            <v>34.984251968503941</v>
          </cell>
          <cell r="AA116">
            <v>78.164370078740163</v>
          </cell>
          <cell r="AB116">
            <v>34.984251968503941</v>
          </cell>
          <cell r="AC116">
            <v>78.164370078740163</v>
          </cell>
          <cell r="AD116">
            <v>78.164370078740163</v>
          </cell>
          <cell r="AE116">
            <v>77.586614173228355</v>
          </cell>
          <cell r="AF116">
            <v>35.586614173228355</v>
          </cell>
          <cell r="AG116">
            <v>39.610236220472444</v>
          </cell>
          <cell r="AH116" t="str">
            <v>N</v>
          </cell>
          <cell r="AI116">
            <v>67.252499999999998</v>
          </cell>
          <cell r="AJ116">
            <v>30.5</v>
          </cell>
          <cell r="AK116" t="str">
            <v>TBD</v>
          </cell>
          <cell r="AL116" t="str">
            <v>Y</v>
          </cell>
          <cell r="AM116">
            <v>200018407</v>
          </cell>
          <cell r="AN116">
            <v>200028407</v>
          </cell>
          <cell r="AO116">
            <v>200018307</v>
          </cell>
          <cell r="AP116">
            <v>200028307</v>
          </cell>
          <cell r="AQ116">
            <v>200018207</v>
          </cell>
          <cell r="AR116">
            <v>200028207</v>
          </cell>
          <cell r="AS116">
            <v>17.222222222222221</v>
          </cell>
          <cell r="AT116">
            <v>20.236138447258774</v>
          </cell>
          <cell r="AU116">
            <v>15.09447989381157</v>
          </cell>
          <cell r="AV116">
            <v>10.306198632337802</v>
          </cell>
          <cell r="AW116">
            <v>41192</v>
          </cell>
        </row>
        <row r="117">
          <cell r="C117" t="str">
            <v>Lightway - LW 195-220 (26)_S</v>
          </cell>
          <cell r="D117" t="str">
            <v>Standard Claw</v>
          </cell>
          <cell r="E117">
            <v>5000005</v>
          </cell>
          <cell r="F117">
            <v>38.976377952755911</v>
          </cell>
          <cell r="G117">
            <v>58.858267716535437</v>
          </cell>
          <cell r="H117">
            <v>1.9685039370078741</v>
          </cell>
          <cell r="I117">
            <v>200010703</v>
          </cell>
          <cell r="J117">
            <v>200010803</v>
          </cell>
          <cell r="K117">
            <v>200013803</v>
          </cell>
          <cell r="L117">
            <v>200016303</v>
          </cell>
          <cell r="M117">
            <v>500012563</v>
          </cell>
          <cell r="N117">
            <v>500012663</v>
          </cell>
          <cell r="O117">
            <v>500012563</v>
          </cell>
          <cell r="P117">
            <v>500012663</v>
          </cell>
          <cell r="Q117">
            <v>11.646065132777842</v>
          </cell>
          <cell r="R117">
            <v>10.40805030701417</v>
          </cell>
          <cell r="S117">
            <v>4.911079789514722</v>
          </cell>
          <cell r="T117">
            <v>4.911079789514722</v>
          </cell>
          <cell r="U117">
            <v>11.646065132777842</v>
          </cell>
          <cell r="V117">
            <v>10.40805030701417</v>
          </cell>
          <cell r="W117">
            <v>50</v>
          </cell>
          <cell r="X117">
            <v>35.45669291338583</v>
          </cell>
          <cell r="Y117">
            <v>60.56594488188977</v>
          </cell>
          <cell r="Z117">
            <v>35.45669291338583</v>
          </cell>
          <cell r="AA117">
            <v>60.56594488188977</v>
          </cell>
          <cell r="AB117">
            <v>35.45669291338583</v>
          </cell>
          <cell r="AC117">
            <v>60.56594488188977</v>
          </cell>
          <cell r="AD117">
            <v>60.56594488188977</v>
          </cell>
          <cell r="AE117">
            <v>59.358267716535437</v>
          </cell>
          <cell r="AF117">
            <v>17.358267716535437</v>
          </cell>
          <cell r="AG117">
            <v>40.082677165354333</v>
          </cell>
          <cell r="AH117" t="str">
            <v>Y</v>
          </cell>
          <cell r="AI117">
            <v>39.69</v>
          </cell>
          <cell r="AJ117">
            <v>18</v>
          </cell>
          <cell r="AK117" t="str">
            <v>TBD</v>
          </cell>
          <cell r="AL117" t="str">
            <v>Y</v>
          </cell>
          <cell r="AM117">
            <v>200018401</v>
          </cell>
          <cell r="AN117">
            <v>200028401</v>
          </cell>
          <cell r="AO117">
            <v>200018301</v>
          </cell>
          <cell r="AP117">
            <v>200028301</v>
          </cell>
          <cell r="AQ117">
            <v>200018201</v>
          </cell>
          <cell r="AR117">
            <v>200028201</v>
          </cell>
          <cell r="AS117">
            <v>13.22222222222222</v>
          </cell>
          <cell r="AT117">
            <v>19.987381438876472</v>
          </cell>
          <cell r="AU117">
            <v>14.912410483320945</v>
          </cell>
          <cell r="AV117">
            <v>10.183419458492327</v>
          </cell>
          <cell r="AW117">
            <v>40966</v>
          </cell>
        </row>
        <row r="118">
          <cell r="C118" t="str">
            <v>Lightway - LW 220-240 (29)_S</v>
          </cell>
          <cell r="D118" t="str">
            <v>Standard Claw</v>
          </cell>
          <cell r="E118">
            <v>5000005</v>
          </cell>
          <cell r="F118">
            <v>38.976377952755911</v>
          </cell>
          <cell r="G118">
            <v>64.960629921259851</v>
          </cell>
          <cell r="H118">
            <v>1.9685039370078741</v>
          </cell>
          <cell r="I118">
            <v>200010704</v>
          </cell>
          <cell r="J118">
            <v>200010804</v>
          </cell>
          <cell r="K118">
            <v>200013804</v>
          </cell>
          <cell r="L118">
            <v>200016304</v>
          </cell>
          <cell r="M118">
            <v>500012569</v>
          </cell>
          <cell r="N118">
            <v>500012669</v>
          </cell>
          <cell r="O118">
            <v>500012569</v>
          </cell>
          <cell r="P118">
            <v>500012669</v>
          </cell>
          <cell r="Q118">
            <v>11.646065132777842</v>
          </cell>
          <cell r="R118">
            <v>10.40805030701417</v>
          </cell>
          <cell r="S118">
            <v>4.911079789514722</v>
          </cell>
          <cell r="T118">
            <v>4.911079789514722</v>
          </cell>
          <cell r="U118">
            <v>11.646065132777842</v>
          </cell>
          <cell r="V118">
            <v>10.40805030701417</v>
          </cell>
          <cell r="W118">
            <v>50</v>
          </cell>
          <cell r="X118">
            <v>35.45669291338583</v>
          </cell>
          <cell r="Y118">
            <v>66.668307086614178</v>
          </cell>
          <cell r="Z118">
            <v>35.45669291338583</v>
          </cell>
          <cell r="AA118">
            <v>66.668307086614178</v>
          </cell>
          <cell r="AB118">
            <v>35.45669291338583</v>
          </cell>
          <cell r="AC118">
            <v>66.668307086614178</v>
          </cell>
          <cell r="AD118">
            <v>66.668307086614178</v>
          </cell>
          <cell r="AE118">
            <v>65.460629921259851</v>
          </cell>
          <cell r="AF118">
            <v>23.460629921259848</v>
          </cell>
          <cell r="AG118">
            <v>40.082677165354333</v>
          </cell>
          <cell r="AH118" t="str">
            <v>Y</v>
          </cell>
          <cell r="AI118">
            <v>46.305</v>
          </cell>
          <cell r="AJ118">
            <v>21</v>
          </cell>
          <cell r="AK118" t="str">
            <v>TBD</v>
          </cell>
          <cell r="AL118" t="str">
            <v>Y</v>
          </cell>
          <cell r="AM118">
            <v>200018403</v>
          </cell>
          <cell r="AN118">
            <v>200028403</v>
          </cell>
          <cell r="AO118">
            <v>200018303</v>
          </cell>
          <cell r="AP118">
            <v>200028303</v>
          </cell>
          <cell r="AQ118">
            <v>200018203</v>
          </cell>
          <cell r="AR118">
            <v>200028203</v>
          </cell>
          <cell r="AS118">
            <v>14.555555555555557</v>
          </cell>
          <cell r="AT118">
            <v>19.987381438876472</v>
          </cell>
          <cell r="AU118">
            <v>14.912410483320945</v>
          </cell>
          <cell r="AV118">
            <v>10.183419458492327</v>
          </cell>
          <cell r="AW118">
            <v>40966</v>
          </cell>
        </row>
        <row r="119">
          <cell r="C119" t="str">
            <v>Lightway - LW 260-285 (35)_S</v>
          </cell>
          <cell r="D119" t="str">
            <v>Standard Claw</v>
          </cell>
          <cell r="E119">
            <v>5000005</v>
          </cell>
          <cell r="F119">
            <v>38.976377952755911</v>
          </cell>
          <cell r="G119">
            <v>77.559055118110237</v>
          </cell>
          <cell r="H119">
            <v>1.9685039370078741</v>
          </cell>
          <cell r="I119">
            <v>200010708</v>
          </cell>
          <cell r="J119">
            <v>200010808</v>
          </cell>
          <cell r="K119">
            <v>200013808</v>
          </cell>
          <cell r="L119">
            <v>200016308</v>
          </cell>
          <cell r="M119">
            <v>500012581</v>
          </cell>
          <cell r="N119">
            <v>500012681</v>
          </cell>
          <cell r="O119">
            <v>500012582</v>
          </cell>
          <cell r="P119">
            <v>500012682</v>
          </cell>
          <cell r="Q119">
            <v>11.646065132777842</v>
          </cell>
          <cell r="R119">
            <v>10.40805030701417</v>
          </cell>
          <cell r="S119">
            <v>4.911079789514722</v>
          </cell>
          <cell r="T119">
            <v>4.911079789514722</v>
          </cell>
          <cell r="U119">
            <v>11.646065132777842</v>
          </cell>
          <cell r="V119">
            <v>10.40805030701417</v>
          </cell>
          <cell r="W119">
            <v>40</v>
          </cell>
          <cell r="X119">
            <v>35.45669291338583</v>
          </cell>
          <cell r="Y119">
            <v>79.266732283464577</v>
          </cell>
          <cell r="Z119">
            <v>35.45669291338583</v>
          </cell>
          <cell r="AA119">
            <v>79.266732283464577</v>
          </cell>
          <cell r="AB119">
            <v>35.45669291338583</v>
          </cell>
          <cell r="AC119">
            <v>79.266732283464577</v>
          </cell>
          <cell r="AD119">
            <v>79.266732283464577</v>
          </cell>
          <cell r="AE119">
            <v>78.059055118110237</v>
          </cell>
          <cell r="AF119">
            <v>36.059055118110244</v>
          </cell>
          <cell r="AG119">
            <v>40.082677165354333</v>
          </cell>
          <cell r="AH119" t="str">
            <v>N</v>
          </cell>
          <cell r="AI119">
            <v>57.33</v>
          </cell>
          <cell r="AJ119">
            <v>26</v>
          </cell>
          <cell r="AK119" t="str">
            <v>TBD</v>
          </cell>
          <cell r="AL119" t="str">
            <v>Y</v>
          </cell>
          <cell r="AM119">
            <v>200018407</v>
          </cell>
          <cell r="AN119">
            <v>200028407</v>
          </cell>
          <cell r="AO119">
            <v>200018307</v>
          </cell>
          <cell r="AP119">
            <v>200028307</v>
          </cell>
          <cell r="AQ119">
            <v>200018207</v>
          </cell>
          <cell r="AR119">
            <v>200028207</v>
          </cell>
          <cell r="AS119">
            <v>17.222222222222221</v>
          </cell>
          <cell r="AT119">
            <v>19.987381438876472</v>
          </cell>
          <cell r="AU119">
            <v>14.912410483320945</v>
          </cell>
          <cell r="AV119">
            <v>10.183419458492327</v>
          </cell>
          <cell r="AW119">
            <v>41026</v>
          </cell>
        </row>
        <row r="120">
          <cell r="C120" t="str">
            <v>LG - LG-240-230-M1C_M</v>
          </cell>
          <cell r="D120" t="str">
            <v>Short Clamp Multi Claw</v>
          </cell>
          <cell r="E120">
            <v>500000701</v>
          </cell>
          <cell r="F120">
            <v>38.818897637795281</v>
          </cell>
          <cell r="G120">
            <v>64.251968503937007</v>
          </cell>
          <cell r="H120">
            <v>1.6535433070866143</v>
          </cell>
          <cell r="I120">
            <v>200010704</v>
          </cell>
          <cell r="J120">
            <v>200010804</v>
          </cell>
          <cell r="K120">
            <v>200013804</v>
          </cell>
          <cell r="L120">
            <v>200016304</v>
          </cell>
          <cell r="M120">
            <v>500012567</v>
          </cell>
          <cell r="N120">
            <v>500012667</v>
          </cell>
          <cell r="O120">
            <v>500012568</v>
          </cell>
          <cell r="P120">
            <v>500012668</v>
          </cell>
          <cell r="Q120">
            <v>11.056931675457074</v>
          </cell>
          <cell r="R120">
            <v>9.882914545766873</v>
          </cell>
          <cell r="S120">
            <v>4.6652632533993668</v>
          </cell>
          <cell r="T120">
            <v>4.6652632533993668</v>
          </cell>
          <cell r="U120">
            <v>11.056931675457074</v>
          </cell>
          <cell r="V120">
            <v>9.882914545766873</v>
          </cell>
          <cell r="W120">
            <v>50</v>
          </cell>
          <cell r="X120">
            <v>37.320472440944883</v>
          </cell>
          <cell r="Y120">
            <v>64.827362204724409</v>
          </cell>
          <cell r="Z120">
            <v>37.320472440944883</v>
          </cell>
          <cell r="AA120">
            <v>64.827362204724409</v>
          </cell>
          <cell r="AB120">
            <v>37.320472440944883</v>
          </cell>
          <cell r="AC120">
            <v>64.827362204724409</v>
          </cell>
          <cell r="AD120">
            <v>64.827362204724409</v>
          </cell>
          <cell r="AE120">
            <v>64.751968503937007</v>
          </cell>
          <cell r="AF120">
            <v>22.751968503937011</v>
          </cell>
          <cell r="AG120">
            <v>40.082677165354333</v>
          </cell>
          <cell r="AH120" t="str">
            <v>Y</v>
          </cell>
          <cell r="AI120">
            <v>41.740650000000002</v>
          </cell>
          <cell r="AJ120">
            <v>18.93</v>
          </cell>
          <cell r="AK120" t="str">
            <v>TBD</v>
          </cell>
          <cell r="AL120" t="str">
            <v>Y</v>
          </cell>
          <cell r="AM120">
            <v>200018403</v>
          </cell>
          <cell r="AN120">
            <v>200028403</v>
          </cell>
          <cell r="AO120">
            <v>200018303</v>
          </cell>
          <cell r="AP120">
            <v>200028303</v>
          </cell>
          <cell r="AQ120">
            <v>200018203</v>
          </cell>
          <cell r="AR120">
            <v>200028203</v>
          </cell>
          <cell r="AS120">
            <v>14.555555555555557</v>
          </cell>
          <cell r="AT120">
            <v>19.987381438876472</v>
          </cell>
          <cell r="AU120">
            <v>14.912410483320945</v>
          </cell>
          <cell r="AV120">
            <v>10.183419458492327</v>
          </cell>
          <cell r="AW120">
            <v>40886</v>
          </cell>
        </row>
        <row r="121">
          <cell r="C121" t="str">
            <v>LG - LG-230-220-P1C_M</v>
          </cell>
          <cell r="D121" t="str">
            <v>Short Clamp Multi Claw</v>
          </cell>
          <cell r="E121">
            <v>500000701</v>
          </cell>
          <cell r="F121">
            <v>38.818897637795281</v>
          </cell>
          <cell r="G121">
            <v>64.251968503937007</v>
          </cell>
          <cell r="H121">
            <v>1.6535433070866143</v>
          </cell>
          <cell r="I121">
            <v>200010704</v>
          </cell>
          <cell r="J121">
            <v>200010804</v>
          </cell>
          <cell r="K121">
            <v>200013804</v>
          </cell>
          <cell r="L121">
            <v>200016304</v>
          </cell>
          <cell r="M121">
            <v>500012567</v>
          </cell>
          <cell r="N121">
            <v>500012667</v>
          </cell>
          <cell r="O121">
            <v>500012568</v>
          </cell>
          <cell r="P121">
            <v>500012668</v>
          </cell>
          <cell r="Q121">
            <v>11.056931675457074</v>
          </cell>
          <cell r="R121">
            <v>9.882914545766873</v>
          </cell>
          <cell r="S121">
            <v>4.6652632533993668</v>
          </cell>
          <cell r="T121">
            <v>4.6652632533993668</v>
          </cell>
          <cell r="U121">
            <v>11.056931675457074</v>
          </cell>
          <cell r="V121">
            <v>9.882914545766873</v>
          </cell>
          <cell r="W121">
            <v>50</v>
          </cell>
          <cell r="X121">
            <v>37.320472440944883</v>
          </cell>
          <cell r="Y121">
            <v>64.827362204724409</v>
          </cell>
          <cell r="Z121">
            <v>37.320472440944883</v>
          </cell>
          <cell r="AA121">
            <v>64.827362204724409</v>
          </cell>
          <cell r="AB121">
            <v>37.320472440944883</v>
          </cell>
          <cell r="AC121">
            <v>64.827362204724409</v>
          </cell>
          <cell r="AD121">
            <v>64.827362204724409</v>
          </cell>
          <cell r="AE121">
            <v>64.751968503937007</v>
          </cell>
          <cell r="AF121">
            <v>22.751968503937011</v>
          </cell>
          <cell r="AG121">
            <v>40.082677165354333</v>
          </cell>
          <cell r="AH121" t="str">
            <v>Y</v>
          </cell>
          <cell r="AI121">
            <v>41.740650000000002</v>
          </cell>
          <cell r="AJ121">
            <v>18.93</v>
          </cell>
          <cell r="AK121" t="str">
            <v>TBD</v>
          </cell>
          <cell r="AL121" t="str">
            <v>Y</v>
          </cell>
          <cell r="AM121">
            <v>200018403</v>
          </cell>
          <cell r="AN121">
            <v>200028403</v>
          </cell>
          <cell r="AO121">
            <v>200018303</v>
          </cell>
          <cell r="AP121">
            <v>200028303</v>
          </cell>
          <cell r="AQ121">
            <v>200018203</v>
          </cell>
          <cell r="AR121">
            <v>200028203</v>
          </cell>
          <cell r="AS121">
            <v>14.555555555555557</v>
          </cell>
          <cell r="AT121">
            <v>19.987381438876472</v>
          </cell>
          <cell r="AU121">
            <v>14.912410483320945</v>
          </cell>
          <cell r="AV121">
            <v>10.183419458492327</v>
          </cell>
          <cell r="AW121">
            <v>40886</v>
          </cell>
        </row>
        <row r="122">
          <cell r="C122" t="str">
            <v>LG - LG-230-265 S1C-R1C_M</v>
          </cell>
          <cell r="D122" t="str">
            <v>Short Clamp Multi Claw</v>
          </cell>
          <cell r="E122">
            <v>500000701</v>
          </cell>
          <cell r="F122">
            <v>38.818897637795281</v>
          </cell>
          <cell r="G122">
            <v>64.251968503937007</v>
          </cell>
          <cell r="H122">
            <v>1.6535433070866143</v>
          </cell>
          <cell r="I122">
            <v>200010704</v>
          </cell>
          <cell r="J122">
            <v>200010804</v>
          </cell>
          <cell r="K122">
            <v>200013804</v>
          </cell>
          <cell r="L122">
            <v>200016304</v>
          </cell>
          <cell r="M122">
            <v>500012567</v>
          </cell>
          <cell r="N122">
            <v>500012667</v>
          </cell>
          <cell r="O122">
            <v>500012568</v>
          </cell>
          <cell r="P122">
            <v>500012668</v>
          </cell>
          <cell r="Q122">
            <v>11.056931675457074</v>
          </cell>
          <cell r="R122">
            <v>9.882914545766873</v>
          </cell>
          <cell r="S122">
            <v>4.6652632533993668</v>
          </cell>
          <cell r="T122">
            <v>4.6652632533993668</v>
          </cell>
          <cell r="U122">
            <v>11.056931675457074</v>
          </cell>
          <cell r="V122">
            <v>9.882914545766873</v>
          </cell>
          <cell r="W122">
            <v>50</v>
          </cell>
          <cell r="X122">
            <v>37.320472440944883</v>
          </cell>
          <cell r="Y122">
            <v>64.827362204724409</v>
          </cell>
          <cell r="Z122">
            <v>37.320472440944883</v>
          </cell>
          <cell r="AA122">
            <v>64.827362204724409</v>
          </cell>
          <cell r="AB122">
            <v>37.320472440944883</v>
          </cell>
          <cell r="AC122">
            <v>64.827362204724409</v>
          </cell>
          <cell r="AD122">
            <v>64.827362204724409</v>
          </cell>
          <cell r="AE122">
            <v>64.751968503937007</v>
          </cell>
          <cell r="AF122">
            <v>22.751968503937011</v>
          </cell>
          <cell r="AG122">
            <v>40.082677165354333</v>
          </cell>
          <cell r="AH122" t="str">
            <v>Y</v>
          </cell>
          <cell r="AI122">
            <v>41.740650000000002</v>
          </cell>
          <cell r="AJ122">
            <v>18.93</v>
          </cell>
          <cell r="AK122" t="str">
            <v>TBD</v>
          </cell>
          <cell r="AL122" t="str">
            <v>Y</v>
          </cell>
          <cell r="AM122">
            <v>200018403</v>
          </cell>
          <cell r="AN122">
            <v>200028403</v>
          </cell>
          <cell r="AO122">
            <v>200018303</v>
          </cell>
          <cell r="AP122">
            <v>200028303</v>
          </cell>
          <cell r="AQ122">
            <v>200018203</v>
          </cell>
          <cell r="AR122">
            <v>200028203</v>
          </cell>
          <cell r="AS122">
            <v>14.555555555555557</v>
          </cell>
          <cell r="AT122">
            <v>19.987381438876472</v>
          </cell>
          <cell r="AU122">
            <v>14.912410483320945</v>
          </cell>
          <cell r="AV122">
            <v>10.183419458492327</v>
          </cell>
          <cell r="AW122">
            <v>40886</v>
          </cell>
        </row>
        <row r="123">
          <cell r="C123" t="str">
            <v>Lumos - LS245-60P_S</v>
          </cell>
          <cell r="D123" t="str">
            <v>Standard Claw</v>
          </cell>
          <cell r="E123">
            <v>5000005</v>
          </cell>
          <cell r="F123">
            <v>39.055118110236222</v>
          </cell>
          <cell r="G123">
            <v>64.960629921259851</v>
          </cell>
          <cell r="H123">
            <v>1.9685039370078741</v>
          </cell>
          <cell r="I123">
            <v>200010704</v>
          </cell>
          <cell r="J123">
            <v>200010804</v>
          </cell>
          <cell r="K123">
            <v>200013804</v>
          </cell>
          <cell r="L123">
            <v>200016304</v>
          </cell>
          <cell r="M123">
            <v>500012569</v>
          </cell>
          <cell r="N123">
            <v>500012669</v>
          </cell>
          <cell r="O123">
            <v>500012569</v>
          </cell>
          <cell r="P123">
            <v>500012669</v>
          </cell>
          <cell r="Q123">
            <v>11.698754267040043</v>
          </cell>
          <cell r="R123">
            <v>10.455004839041191</v>
          </cell>
          <cell r="S123">
            <v>4.9330437584696041</v>
          </cell>
          <cell r="T123">
            <v>4.9330437584696041</v>
          </cell>
          <cell r="U123">
            <v>11.698754267040043</v>
          </cell>
          <cell r="V123">
            <v>10.455004839041191</v>
          </cell>
          <cell r="W123">
            <v>50</v>
          </cell>
          <cell r="X123">
            <v>35.2992125984252</v>
          </cell>
          <cell r="Y123">
            <v>66.43208661417323</v>
          </cell>
          <cell r="Z123">
            <v>35.2992125984252</v>
          </cell>
          <cell r="AA123">
            <v>66.43208661417323</v>
          </cell>
          <cell r="AB123">
            <v>35.2992125984252</v>
          </cell>
          <cell r="AC123">
            <v>66.43208661417323</v>
          </cell>
          <cell r="AD123">
            <v>66.43208661417323</v>
          </cell>
          <cell r="AE123">
            <v>65.460629921259851</v>
          </cell>
          <cell r="AF123">
            <v>23.460629921259848</v>
          </cell>
          <cell r="AG123">
            <v>39.925196850393704</v>
          </cell>
          <cell r="AH123" t="str">
            <v>N</v>
          </cell>
          <cell r="AI123">
            <v>43.659000000000006</v>
          </cell>
          <cell r="AJ123">
            <v>19.8</v>
          </cell>
          <cell r="AK123" t="str">
            <v>TBD</v>
          </cell>
          <cell r="AL123" t="str">
            <v>Y</v>
          </cell>
          <cell r="AM123">
            <v>200018403</v>
          </cell>
          <cell r="AN123">
            <v>200028403</v>
          </cell>
          <cell r="AO123">
            <v>200018303</v>
          </cell>
          <cell r="AP123">
            <v>200028303</v>
          </cell>
          <cell r="AQ123">
            <v>200018203</v>
          </cell>
          <cell r="AR123">
            <v>200028203</v>
          </cell>
          <cell r="AS123">
            <v>14.555555555555557</v>
          </cell>
          <cell r="AT123">
            <v>20.069602586497279</v>
          </cell>
          <cell r="AU123">
            <v>14.97260437224279</v>
          </cell>
          <cell r="AV123">
            <v>10.224017732239455</v>
          </cell>
          <cell r="AW123">
            <v>40714</v>
          </cell>
        </row>
        <row r="124">
          <cell r="C124" t="str">
            <v>Lumos - LS250-60M_S</v>
          </cell>
          <cell r="D124" t="str">
            <v>Standard Claw</v>
          </cell>
          <cell r="E124">
            <v>5000005</v>
          </cell>
          <cell r="F124">
            <v>39.055118110236222</v>
          </cell>
          <cell r="G124">
            <v>64.960629921259851</v>
          </cell>
          <cell r="H124">
            <v>1.7716535433070868</v>
          </cell>
          <cell r="I124">
            <v>200010704</v>
          </cell>
          <cell r="J124">
            <v>200010804</v>
          </cell>
          <cell r="K124">
            <v>200013804</v>
          </cell>
          <cell r="L124">
            <v>200016304</v>
          </cell>
          <cell r="M124">
            <v>500012568</v>
          </cell>
          <cell r="N124">
            <v>500012668</v>
          </cell>
          <cell r="O124">
            <v>500012568</v>
          </cell>
          <cell r="P124">
            <v>500012668</v>
          </cell>
          <cell r="Q124">
            <v>11.969571956649487</v>
          </cell>
          <cell r="R124">
            <v>10.696317919002421</v>
          </cell>
          <cell r="S124">
            <v>5.0458818336045681</v>
          </cell>
          <cell r="T124">
            <v>5.0458818336045681</v>
          </cell>
          <cell r="U124">
            <v>11.969571956649487</v>
          </cell>
          <cell r="V124">
            <v>10.696317919002421</v>
          </cell>
          <cell r="W124">
            <v>50</v>
          </cell>
          <cell r="X124">
            <v>34.511811023622052</v>
          </cell>
          <cell r="Y124">
            <v>65.644685039370088</v>
          </cell>
          <cell r="Z124">
            <v>34.511811023622052</v>
          </cell>
          <cell r="AA124">
            <v>65.644685039370088</v>
          </cell>
          <cell r="AB124">
            <v>34.511811023622052</v>
          </cell>
          <cell r="AC124">
            <v>65.644685039370088</v>
          </cell>
          <cell r="AD124">
            <v>65.644685039370088</v>
          </cell>
          <cell r="AE124">
            <v>65.460629921259851</v>
          </cell>
          <cell r="AF124">
            <v>23.460629921259848</v>
          </cell>
          <cell r="AG124">
            <v>39.137795275590555</v>
          </cell>
          <cell r="AH124" t="str">
            <v>N</v>
          </cell>
          <cell r="AI124">
            <v>41.895000000000003</v>
          </cell>
          <cell r="AJ124">
            <v>19</v>
          </cell>
          <cell r="AK124" t="str">
            <v>TBD</v>
          </cell>
          <cell r="AL124" t="str">
            <v>Y</v>
          </cell>
          <cell r="AM124">
            <v>200018403</v>
          </cell>
          <cell r="AN124">
            <v>200028403</v>
          </cell>
          <cell r="AO124">
            <v>200018303</v>
          </cell>
          <cell r="AP124">
            <v>200028303</v>
          </cell>
          <cell r="AQ124">
            <v>200018203</v>
          </cell>
          <cell r="AR124">
            <v>200028203</v>
          </cell>
          <cell r="AS124">
            <v>14.555555555555557</v>
          </cell>
          <cell r="AT124">
            <v>20.491314451863133</v>
          </cell>
          <cell r="AU124">
            <v>15.281106807722583</v>
          </cell>
          <cell r="AV124">
            <v>10.431991609637258</v>
          </cell>
          <cell r="AW124">
            <v>40714</v>
          </cell>
        </row>
        <row r="125">
          <cell r="C125" t="str">
            <v>Lumos - LS300-72M_S</v>
          </cell>
          <cell r="D125" t="str">
            <v>Standard Claw</v>
          </cell>
          <cell r="E125">
            <v>5000005</v>
          </cell>
          <cell r="F125">
            <v>39.055118110236222</v>
          </cell>
          <cell r="G125">
            <v>77.00787401574803</v>
          </cell>
          <cell r="H125">
            <v>1.9685039370078741</v>
          </cell>
          <cell r="I125">
            <v>200010707</v>
          </cell>
          <cell r="J125">
            <v>200010807</v>
          </cell>
          <cell r="K125">
            <v>200013807</v>
          </cell>
          <cell r="L125">
            <v>200016307</v>
          </cell>
          <cell r="M125">
            <v>500012579</v>
          </cell>
          <cell r="N125">
            <v>500012679</v>
          </cell>
          <cell r="O125">
            <v>500012580</v>
          </cell>
          <cell r="P125">
            <v>500012680</v>
          </cell>
          <cell r="Q125">
            <v>12.109774568126404</v>
          </cell>
          <cell r="R125">
            <v>10.821226454572365</v>
          </cell>
          <cell r="S125">
            <v>5.104261661709554</v>
          </cell>
          <cell r="T125">
            <v>5.104261661709554</v>
          </cell>
          <cell r="U125">
            <v>12.109774568126404</v>
          </cell>
          <cell r="V125">
            <v>10.821226454572365</v>
          </cell>
          <cell r="W125">
            <v>50</v>
          </cell>
          <cell r="X125">
            <v>34.118110236220474</v>
          </cell>
          <cell r="Y125">
            <v>77.298228346456696</v>
          </cell>
          <cell r="Z125">
            <v>34.118110236220474</v>
          </cell>
          <cell r="AA125">
            <v>77.298228346456696</v>
          </cell>
          <cell r="AB125">
            <v>34.118110236220474</v>
          </cell>
          <cell r="AC125">
            <v>77.298228346456696</v>
          </cell>
          <cell r="AD125">
            <v>77.298228346456696</v>
          </cell>
          <cell r="AE125">
            <v>77.507874015748044</v>
          </cell>
          <cell r="AF125">
            <v>35.507874015748037</v>
          </cell>
          <cell r="AG125">
            <v>38.744094488188978</v>
          </cell>
          <cell r="AH125" t="str">
            <v>N</v>
          </cell>
          <cell r="AI125">
            <v>59.535000000000004</v>
          </cell>
          <cell r="AJ125">
            <v>27</v>
          </cell>
          <cell r="AK125" t="str">
            <v>TBD</v>
          </cell>
          <cell r="AL125" t="str">
            <v>Y</v>
          </cell>
          <cell r="AM125">
            <v>200018407</v>
          </cell>
          <cell r="AN125">
            <v>200028407</v>
          </cell>
          <cell r="AO125">
            <v>200018307</v>
          </cell>
          <cell r="AP125">
            <v>200028307</v>
          </cell>
          <cell r="AQ125">
            <v>200018207</v>
          </cell>
          <cell r="AR125">
            <v>200028207</v>
          </cell>
          <cell r="AS125">
            <v>17.222222222222221</v>
          </cell>
          <cell r="AT125">
            <v>20.709050271134394</v>
          </cell>
          <cell r="AU125">
            <v>15.440237057435686</v>
          </cell>
          <cell r="AV125">
            <v>10.539202660509616</v>
          </cell>
          <cell r="AW125">
            <v>40714</v>
          </cell>
        </row>
        <row r="126">
          <cell r="C126" t="str">
            <v>Mage - PowerTec 180-190 - 5 MI- MH_S</v>
          </cell>
          <cell r="D126" t="str">
            <v>Standard Claw</v>
          </cell>
          <cell r="E126">
            <v>5000005</v>
          </cell>
          <cell r="F126">
            <v>31.811023622047244</v>
          </cell>
          <cell r="G126">
            <v>62.204724409448822</v>
          </cell>
          <cell r="H126">
            <v>1.7716535433070868</v>
          </cell>
          <cell r="I126">
            <v>200010704</v>
          </cell>
          <cell r="J126">
            <v>200010804</v>
          </cell>
          <cell r="K126">
            <v>200013804</v>
          </cell>
          <cell r="L126">
            <v>200016304</v>
          </cell>
          <cell r="M126">
            <v>500012566</v>
          </cell>
          <cell r="N126">
            <v>500012666</v>
          </cell>
          <cell r="O126">
            <v>500012566</v>
          </cell>
          <cell r="P126">
            <v>500012666</v>
          </cell>
          <cell r="Q126">
            <v>14.780819563929326</v>
          </cell>
          <cell r="R126">
            <v>13.198114568872393</v>
          </cell>
          <cell r="S126">
            <v>6.211295317501194</v>
          </cell>
          <cell r="T126">
            <v>6.211295317501194</v>
          </cell>
          <cell r="U126">
            <v>14.780819563929326</v>
          </cell>
          <cell r="V126">
            <v>13.198114568872393</v>
          </cell>
          <cell r="W126">
            <v>50</v>
          </cell>
          <cell r="X126">
            <v>28.055118110236222</v>
          </cell>
          <cell r="Y126">
            <v>63.676181102362207</v>
          </cell>
          <cell r="Z126">
            <v>28.055118110236222</v>
          </cell>
          <cell r="AA126">
            <v>63.676181102362207</v>
          </cell>
          <cell r="AB126">
            <v>28.055118110236222</v>
          </cell>
          <cell r="AC126">
            <v>63.676181102362207</v>
          </cell>
          <cell r="AD126">
            <v>63.676181102362207</v>
          </cell>
          <cell r="AE126">
            <v>62.704724409448822</v>
          </cell>
          <cell r="AF126">
            <v>20.704724409448822</v>
          </cell>
          <cell r="AG126">
            <v>32.681102362204726</v>
          </cell>
          <cell r="AH126" t="str">
            <v>N</v>
          </cell>
          <cell r="AI126">
            <v>34.177500000000002</v>
          </cell>
          <cell r="AJ126">
            <v>15.5</v>
          </cell>
          <cell r="AK126" t="str">
            <v>TBD</v>
          </cell>
          <cell r="AL126" t="str">
            <v>Y</v>
          </cell>
          <cell r="AM126">
            <v>200018402</v>
          </cell>
          <cell r="AN126">
            <v>200028402</v>
          </cell>
          <cell r="AO126">
            <v>200018302</v>
          </cell>
          <cell r="AP126">
            <v>200028302</v>
          </cell>
          <cell r="AQ126">
            <v>200018202</v>
          </cell>
          <cell r="AR126">
            <v>200028202</v>
          </cell>
          <cell r="AS126">
            <v>13.888888888888888</v>
          </cell>
          <cell r="AT126">
            <v>24.785769092963804</v>
          </cell>
          <cell r="AU126">
            <v>18.39852585667062</v>
          </cell>
          <cell r="AV126">
            <v>12.523577389800897</v>
          </cell>
          <cell r="AW126">
            <v>40638</v>
          </cell>
        </row>
        <row r="127">
          <cell r="C127" t="str">
            <v>Mage - 220-230 6PI_S</v>
          </cell>
          <cell r="D127" t="str">
            <v>Standard Claw</v>
          </cell>
          <cell r="E127">
            <v>5000005</v>
          </cell>
          <cell r="F127">
            <v>39.055118110236222</v>
          </cell>
          <cell r="G127">
            <v>64.960629921259851</v>
          </cell>
          <cell r="H127">
            <v>1.9685039370078741</v>
          </cell>
          <cell r="I127">
            <v>200010704</v>
          </cell>
          <cell r="J127">
            <v>200010804</v>
          </cell>
          <cell r="K127">
            <v>200013804</v>
          </cell>
          <cell r="L127">
            <v>200016304</v>
          </cell>
          <cell r="M127">
            <v>500012569</v>
          </cell>
          <cell r="N127">
            <v>500012669</v>
          </cell>
          <cell r="O127">
            <v>500012569</v>
          </cell>
          <cell r="P127">
            <v>500012669</v>
          </cell>
          <cell r="Q127">
            <v>11.698754267040043</v>
          </cell>
          <cell r="R127">
            <v>10.455004839041191</v>
          </cell>
          <cell r="S127">
            <v>4.9330437584696041</v>
          </cell>
          <cell r="T127">
            <v>4.9330437584696041</v>
          </cell>
          <cell r="U127">
            <v>11.698754267040043</v>
          </cell>
          <cell r="V127">
            <v>10.455004839041191</v>
          </cell>
          <cell r="W127">
            <v>50</v>
          </cell>
          <cell r="X127">
            <v>35.2992125984252</v>
          </cell>
          <cell r="Y127">
            <v>66.43208661417323</v>
          </cell>
          <cell r="Z127">
            <v>35.2992125984252</v>
          </cell>
          <cell r="AA127">
            <v>66.43208661417323</v>
          </cell>
          <cell r="AB127">
            <v>35.2992125984252</v>
          </cell>
          <cell r="AC127">
            <v>66.43208661417323</v>
          </cell>
          <cell r="AD127">
            <v>66.43208661417323</v>
          </cell>
          <cell r="AE127">
            <v>65.460629921259851</v>
          </cell>
          <cell r="AF127">
            <v>23.460629921259848</v>
          </cell>
          <cell r="AG127">
            <v>39.925196850393704</v>
          </cell>
          <cell r="AH127" t="str">
            <v>N</v>
          </cell>
          <cell r="AI127">
            <v>44.011800000000001</v>
          </cell>
          <cell r="AJ127">
            <v>19.96</v>
          </cell>
          <cell r="AK127" t="str">
            <v>TBD</v>
          </cell>
          <cell r="AL127" t="str">
            <v>Y</v>
          </cell>
          <cell r="AM127">
            <v>200018403</v>
          </cell>
          <cell r="AN127">
            <v>200028403</v>
          </cell>
          <cell r="AO127">
            <v>200018303</v>
          </cell>
          <cell r="AP127">
            <v>200028303</v>
          </cell>
          <cell r="AQ127">
            <v>200018203</v>
          </cell>
          <cell r="AR127">
            <v>200028203</v>
          </cell>
          <cell r="AS127">
            <v>14.555555555555557</v>
          </cell>
          <cell r="AT127">
            <v>20.069602586497279</v>
          </cell>
          <cell r="AU127">
            <v>14.97260437224279</v>
          </cell>
          <cell r="AV127">
            <v>10.224017732239455</v>
          </cell>
          <cell r="AW127">
            <v>40638</v>
          </cell>
        </row>
        <row r="128">
          <cell r="C128" t="str">
            <v>Mage - PowerTec 220-230 6PJ_S</v>
          </cell>
          <cell r="D128" t="str">
            <v>Standard Claw</v>
          </cell>
          <cell r="E128">
            <v>5000005</v>
          </cell>
          <cell r="F128">
            <v>39.055118110236222</v>
          </cell>
          <cell r="G128">
            <v>65.157480314960637</v>
          </cell>
          <cell r="H128">
            <v>1.7716535433070868</v>
          </cell>
          <cell r="I128">
            <v>200010704</v>
          </cell>
          <cell r="J128">
            <v>200010804</v>
          </cell>
          <cell r="K128">
            <v>200013804</v>
          </cell>
          <cell r="L128">
            <v>200016304</v>
          </cell>
          <cell r="M128">
            <v>500012569</v>
          </cell>
          <cell r="N128">
            <v>500012669</v>
          </cell>
          <cell r="O128">
            <v>500012569</v>
          </cell>
          <cell r="P128">
            <v>500012669</v>
          </cell>
          <cell r="Q128">
            <v>11.698754267040043</v>
          </cell>
          <cell r="R128">
            <v>10.455004839041191</v>
          </cell>
          <cell r="S128">
            <v>4.9330437584696041</v>
          </cell>
          <cell r="T128">
            <v>4.9330437584696041</v>
          </cell>
          <cell r="U128">
            <v>11.698754267040043</v>
          </cell>
          <cell r="V128">
            <v>10.455004839041191</v>
          </cell>
          <cell r="W128">
            <v>50</v>
          </cell>
          <cell r="X128">
            <v>35.2992125984252</v>
          </cell>
          <cell r="Y128">
            <v>66.628937007874015</v>
          </cell>
          <cell r="Z128">
            <v>35.2992125984252</v>
          </cell>
          <cell r="AA128">
            <v>66.628937007874015</v>
          </cell>
          <cell r="AB128">
            <v>35.2992125984252</v>
          </cell>
          <cell r="AC128">
            <v>66.628937007874015</v>
          </cell>
          <cell r="AD128">
            <v>66.628937007874015</v>
          </cell>
          <cell r="AE128">
            <v>65.657480314960637</v>
          </cell>
          <cell r="AF128">
            <v>23.657480314960633</v>
          </cell>
          <cell r="AG128">
            <v>39.925196850393704</v>
          </cell>
          <cell r="AH128" t="str">
            <v>N</v>
          </cell>
          <cell r="AI128">
            <v>44.011800000000001</v>
          </cell>
          <cell r="AJ128">
            <v>19.96</v>
          </cell>
          <cell r="AK128" t="str">
            <v>TBD</v>
          </cell>
          <cell r="AL128" t="str">
            <v>Y</v>
          </cell>
          <cell r="AM128">
            <v>200018403</v>
          </cell>
          <cell r="AN128">
            <v>200028403</v>
          </cell>
          <cell r="AO128">
            <v>200018303</v>
          </cell>
          <cell r="AP128">
            <v>200028303</v>
          </cell>
          <cell r="AQ128">
            <v>200018203</v>
          </cell>
          <cell r="AR128">
            <v>200028203</v>
          </cell>
          <cell r="AS128">
            <v>14.555555555555557</v>
          </cell>
          <cell r="AT128">
            <v>20.069602586497279</v>
          </cell>
          <cell r="AU128">
            <v>14.97260437224279</v>
          </cell>
          <cell r="AV128">
            <v>10.224017732239455</v>
          </cell>
          <cell r="AW128">
            <v>40638</v>
          </cell>
        </row>
        <row r="129">
          <cell r="C129" t="str">
            <v>Mage - 230-235-PH-US_S</v>
          </cell>
          <cell r="D129" t="str">
            <v>Standard Claw</v>
          </cell>
          <cell r="E129">
            <v>5000005</v>
          </cell>
          <cell r="F129">
            <v>39.055118110236222</v>
          </cell>
          <cell r="G129">
            <v>64.409448818897644</v>
          </cell>
          <cell r="H129">
            <v>1.7716535433070868</v>
          </cell>
          <cell r="I129">
            <v>200010704</v>
          </cell>
          <cell r="J129">
            <v>200010804</v>
          </cell>
          <cell r="K129">
            <v>200013804</v>
          </cell>
          <cell r="L129">
            <v>200016304</v>
          </cell>
          <cell r="M129">
            <v>500012568</v>
          </cell>
          <cell r="N129">
            <v>500012668</v>
          </cell>
          <cell r="O129">
            <v>500012569</v>
          </cell>
          <cell r="P129">
            <v>500012669</v>
          </cell>
          <cell r="Q129">
            <v>11.698754267040043</v>
          </cell>
          <cell r="R129">
            <v>10.455004839041191</v>
          </cell>
          <cell r="S129">
            <v>4.9330437584696041</v>
          </cell>
          <cell r="T129">
            <v>4.9330437584696041</v>
          </cell>
          <cell r="U129">
            <v>11.698754267040043</v>
          </cell>
          <cell r="V129">
            <v>10.455004839041191</v>
          </cell>
          <cell r="W129">
            <v>50</v>
          </cell>
          <cell r="X129">
            <v>35.2992125984252</v>
          </cell>
          <cell r="Y129">
            <v>65.880905511811022</v>
          </cell>
          <cell r="Z129">
            <v>35.2992125984252</v>
          </cell>
          <cell r="AA129">
            <v>65.880905511811022</v>
          </cell>
          <cell r="AB129">
            <v>35.2992125984252</v>
          </cell>
          <cell r="AC129">
            <v>65.880905511811022</v>
          </cell>
          <cell r="AD129">
            <v>65.880905511811022</v>
          </cell>
          <cell r="AE129">
            <v>64.909448818897644</v>
          </cell>
          <cell r="AF129">
            <v>22.909448818897644</v>
          </cell>
          <cell r="AG129">
            <v>39.925196850393704</v>
          </cell>
          <cell r="AH129" t="str">
            <v>N</v>
          </cell>
          <cell r="AI129">
            <v>39.69</v>
          </cell>
          <cell r="AJ129">
            <v>18</v>
          </cell>
          <cell r="AK129" t="str">
            <v>TBD</v>
          </cell>
          <cell r="AL129" t="str">
            <v>Y</v>
          </cell>
          <cell r="AM129">
            <v>200018403</v>
          </cell>
          <cell r="AN129">
            <v>200028403</v>
          </cell>
          <cell r="AO129">
            <v>200018303</v>
          </cell>
          <cell r="AP129">
            <v>200028303</v>
          </cell>
          <cell r="AQ129">
            <v>200018203</v>
          </cell>
          <cell r="AR129">
            <v>200028203</v>
          </cell>
          <cell r="AS129">
            <v>14.555555555555557</v>
          </cell>
          <cell r="AT129">
            <v>20.069602586497279</v>
          </cell>
          <cell r="AU129">
            <v>14.97260437224279</v>
          </cell>
          <cell r="AV129">
            <v>10.224017732239455</v>
          </cell>
          <cell r="AW129">
            <v>40886</v>
          </cell>
        </row>
        <row r="130">
          <cell r="C130" t="str">
            <v>Mitsubishi - PV-UJ6 SERIES 210-225 GA_S</v>
          </cell>
          <cell r="D130" t="str">
            <v>Standard Claw</v>
          </cell>
          <cell r="E130">
            <v>5000005</v>
          </cell>
          <cell r="F130">
            <v>39.133858267716541</v>
          </cell>
          <cell r="G130">
            <v>65.275590551181111</v>
          </cell>
          <cell r="H130">
            <v>1.8110236220472442</v>
          </cell>
          <cell r="I130">
            <v>200010704</v>
          </cell>
          <cell r="J130">
            <v>200010804</v>
          </cell>
          <cell r="K130">
            <v>200013804</v>
          </cell>
          <cell r="L130">
            <v>200016304</v>
          </cell>
          <cell r="M130">
            <v>500012569</v>
          </cell>
          <cell r="N130">
            <v>500012669</v>
          </cell>
          <cell r="O130">
            <v>500012570</v>
          </cell>
          <cell r="P130">
            <v>500012670</v>
          </cell>
          <cell r="Q130">
            <v>11.593851817515533</v>
          </cell>
          <cell r="R130">
            <v>10.361517999726759</v>
          </cell>
          <cell r="S130">
            <v>4.8893107769288457</v>
          </cell>
          <cell r="T130">
            <v>4.8893107769288457</v>
          </cell>
          <cell r="U130">
            <v>11.593851817515533</v>
          </cell>
          <cell r="V130">
            <v>10.361517999726759</v>
          </cell>
          <cell r="W130">
            <v>50</v>
          </cell>
          <cell r="X130">
            <v>35.614173228346459</v>
          </cell>
          <cell r="Y130">
            <v>66.983267716535437</v>
          </cell>
          <cell r="Z130">
            <v>35.614173228346459</v>
          </cell>
          <cell r="AA130">
            <v>66.983267716535437</v>
          </cell>
          <cell r="AB130">
            <v>35.614173228346459</v>
          </cell>
          <cell r="AC130">
            <v>66.983267716535437</v>
          </cell>
          <cell r="AD130">
            <v>66.983267716535437</v>
          </cell>
          <cell r="AE130">
            <v>65.775590551181111</v>
          </cell>
          <cell r="AF130">
            <v>23.775590551181107</v>
          </cell>
          <cell r="AG130">
            <v>40.240157480314963</v>
          </cell>
          <cell r="AH130" t="str">
            <v>Y</v>
          </cell>
          <cell r="AI130">
            <v>44.1</v>
          </cell>
          <cell r="AJ130">
            <v>20</v>
          </cell>
          <cell r="AK130" t="str">
            <v>TBD</v>
          </cell>
          <cell r="AL130" t="str">
            <v>Y</v>
          </cell>
          <cell r="AM130">
            <v>200018403</v>
          </cell>
          <cell r="AN130">
            <v>200028403</v>
          </cell>
          <cell r="AO130">
            <v>200018303</v>
          </cell>
          <cell r="AP130">
            <v>200028303</v>
          </cell>
          <cell r="AQ130">
            <v>200018203</v>
          </cell>
          <cell r="AR130">
            <v>200028203</v>
          </cell>
          <cell r="AS130">
            <v>14.555555555555557</v>
          </cell>
          <cell r="AT130">
            <v>19.905846229389603</v>
          </cell>
          <cell r="AU130">
            <v>14.852704372847956</v>
          </cell>
          <cell r="AV130">
            <v>10.143144054640397</v>
          </cell>
          <cell r="AW130">
            <v>40886</v>
          </cell>
        </row>
        <row r="131">
          <cell r="C131" t="str">
            <v>Mitsubishi - PV-UJ225-235GA6 - PV-MJU 240-255 GB_S</v>
          </cell>
          <cell r="D131" t="str">
            <v>Standard Claw</v>
          </cell>
          <cell r="E131">
            <v>5000005</v>
          </cell>
          <cell r="F131">
            <v>40.118110236220474</v>
          </cell>
          <cell r="G131">
            <v>63.976377952755911</v>
          </cell>
          <cell r="H131">
            <v>1.8110236220472442</v>
          </cell>
          <cell r="I131">
            <v>200010704</v>
          </cell>
          <cell r="J131">
            <v>200010804</v>
          </cell>
          <cell r="K131">
            <v>200013804</v>
          </cell>
          <cell r="L131">
            <v>200016304</v>
          </cell>
          <cell r="M131">
            <v>500012568</v>
          </cell>
          <cell r="N131">
            <v>500012668</v>
          </cell>
          <cell r="O131">
            <v>500012568</v>
          </cell>
          <cell r="P131">
            <v>500012668</v>
          </cell>
          <cell r="Q131">
            <v>11.277905669991306</v>
          </cell>
          <cell r="R131">
            <v>10.079910128313664</v>
          </cell>
          <cell r="S131">
            <v>4.7575138864553095</v>
          </cell>
          <cell r="T131">
            <v>4.7575138864553095</v>
          </cell>
          <cell r="U131">
            <v>11.277905669991306</v>
          </cell>
          <cell r="V131">
            <v>10.079910128313664</v>
          </cell>
          <cell r="W131">
            <v>50</v>
          </cell>
          <cell r="X131">
            <v>36.5984251968504</v>
          </cell>
          <cell r="Y131">
            <v>65.684055118110237</v>
          </cell>
          <cell r="Z131">
            <v>36.5984251968504</v>
          </cell>
          <cell r="AA131">
            <v>65.684055118110237</v>
          </cell>
          <cell r="AB131">
            <v>36.5984251968504</v>
          </cell>
          <cell r="AC131">
            <v>65.684055118110237</v>
          </cell>
          <cell r="AD131">
            <v>65.684055118110237</v>
          </cell>
          <cell r="AE131">
            <v>64.476377952755911</v>
          </cell>
          <cell r="AF131">
            <v>22.476377952755911</v>
          </cell>
          <cell r="AG131">
            <v>41.224409448818896</v>
          </cell>
          <cell r="AH131" t="str">
            <v>Y</v>
          </cell>
          <cell r="AI131">
            <v>44.1</v>
          </cell>
          <cell r="AJ131">
            <v>20</v>
          </cell>
          <cell r="AK131" t="str">
            <v>TBD</v>
          </cell>
          <cell r="AL131" t="str">
            <v>Y</v>
          </cell>
          <cell r="AM131">
            <v>200018402</v>
          </cell>
          <cell r="AN131">
            <v>200028402</v>
          </cell>
          <cell r="AO131">
            <v>200018302</v>
          </cell>
          <cell r="AP131">
            <v>200028302</v>
          </cell>
          <cell r="AQ131">
            <v>200018202</v>
          </cell>
          <cell r="AR131">
            <v>200028202</v>
          </cell>
          <cell r="AS131">
            <v>13.888888888888888</v>
          </cell>
          <cell r="AT131">
            <v>19.411259351746224</v>
          </cell>
          <cell r="AU131">
            <v>14.490227989182776</v>
          </cell>
          <cell r="AV131">
            <v>9.8985024425959072</v>
          </cell>
          <cell r="AW131">
            <v>40886</v>
          </cell>
        </row>
        <row r="132">
          <cell r="C132" t="str">
            <v>Motech - IM54 205-220_S</v>
          </cell>
          <cell r="D132" t="str">
            <v>Standard Claw</v>
          </cell>
          <cell r="E132">
            <v>5000005</v>
          </cell>
          <cell r="F132">
            <v>39.055118110236222</v>
          </cell>
          <cell r="G132">
            <v>58.740157480314963</v>
          </cell>
          <cell r="H132">
            <v>1.9685039370078741</v>
          </cell>
          <cell r="I132">
            <v>200010703</v>
          </cell>
          <cell r="J132">
            <v>200010803</v>
          </cell>
          <cell r="K132">
            <v>200013803</v>
          </cell>
          <cell r="L132">
            <v>200016303</v>
          </cell>
          <cell r="M132">
            <v>500012563</v>
          </cell>
          <cell r="N132">
            <v>500012663</v>
          </cell>
          <cell r="O132">
            <v>500012563</v>
          </cell>
          <cell r="P132">
            <v>500012663</v>
          </cell>
          <cell r="Q132">
            <v>11.698754267040043</v>
          </cell>
          <cell r="R132">
            <v>10.455004839041191</v>
          </cell>
          <cell r="S132">
            <v>4.9330437584696041</v>
          </cell>
          <cell r="T132">
            <v>4.9330437584696041</v>
          </cell>
          <cell r="U132">
            <v>11.698754267040043</v>
          </cell>
          <cell r="V132">
            <v>10.455004839041191</v>
          </cell>
          <cell r="W132">
            <v>50</v>
          </cell>
          <cell r="X132">
            <v>35.2992125984252</v>
          </cell>
          <cell r="Y132">
            <v>60.211614173228348</v>
          </cell>
          <cell r="Z132">
            <v>35.2992125984252</v>
          </cell>
          <cell r="AA132">
            <v>60.211614173228348</v>
          </cell>
          <cell r="AB132">
            <v>35.2992125984252</v>
          </cell>
          <cell r="AC132">
            <v>60.211614173228348</v>
          </cell>
          <cell r="AD132">
            <v>60.211614173228348</v>
          </cell>
          <cell r="AE132">
            <v>59.240157480314963</v>
          </cell>
          <cell r="AF132">
            <v>17.240157480314966</v>
          </cell>
          <cell r="AG132">
            <v>39.925196850393704</v>
          </cell>
          <cell r="AH132" t="str">
            <v>Y</v>
          </cell>
          <cell r="AI132">
            <v>41.895000000000003</v>
          </cell>
          <cell r="AJ132">
            <v>19</v>
          </cell>
          <cell r="AK132" t="str">
            <v>TBD</v>
          </cell>
          <cell r="AL132" t="str">
            <v>Y</v>
          </cell>
          <cell r="AM132">
            <v>200018401</v>
          </cell>
          <cell r="AN132">
            <v>200028401</v>
          </cell>
          <cell r="AO132">
            <v>200018301</v>
          </cell>
          <cell r="AP132">
            <v>200028301</v>
          </cell>
          <cell r="AQ132">
            <v>200018201</v>
          </cell>
          <cell r="AR132">
            <v>200028201</v>
          </cell>
          <cell r="AS132">
            <v>13.22222222222222</v>
          </cell>
          <cell r="AT132">
            <v>20.069602586497279</v>
          </cell>
          <cell r="AU132">
            <v>14.97260437224279</v>
          </cell>
          <cell r="AV132">
            <v>10.224017732239455</v>
          </cell>
          <cell r="AW132">
            <v>40966</v>
          </cell>
        </row>
        <row r="133">
          <cell r="C133" t="str">
            <v>Motech - IM60 230-245_S</v>
          </cell>
          <cell r="D133" t="str">
            <v>Standard Claw</v>
          </cell>
          <cell r="E133">
            <v>5000005</v>
          </cell>
          <cell r="F133">
            <v>39.055118110236222</v>
          </cell>
          <cell r="G133">
            <v>64.960629921259851</v>
          </cell>
          <cell r="H133">
            <v>1.9685039370078741</v>
          </cell>
          <cell r="I133">
            <v>200010704</v>
          </cell>
          <cell r="J133">
            <v>200010804</v>
          </cell>
          <cell r="K133">
            <v>200013804</v>
          </cell>
          <cell r="L133">
            <v>200016304</v>
          </cell>
          <cell r="M133">
            <v>500012569</v>
          </cell>
          <cell r="N133">
            <v>500012669</v>
          </cell>
          <cell r="O133">
            <v>500012569</v>
          </cell>
          <cell r="P133">
            <v>500012669</v>
          </cell>
          <cell r="Q133">
            <v>11.698754267040043</v>
          </cell>
          <cell r="R133">
            <v>10.455004839041191</v>
          </cell>
          <cell r="S133">
            <v>4.9330437584696041</v>
          </cell>
          <cell r="T133">
            <v>4.9330437584696041</v>
          </cell>
          <cell r="U133">
            <v>11.698754267040043</v>
          </cell>
          <cell r="V133">
            <v>10.455004839041191</v>
          </cell>
          <cell r="W133">
            <v>50</v>
          </cell>
          <cell r="X133">
            <v>35.2992125984252</v>
          </cell>
          <cell r="Y133">
            <v>66.43208661417323</v>
          </cell>
          <cell r="Z133">
            <v>35.2992125984252</v>
          </cell>
          <cell r="AA133">
            <v>66.43208661417323</v>
          </cell>
          <cell r="AB133">
            <v>35.2992125984252</v>
          </cell>
          <cell r="AC133">
            <v>66.43208661417323</v>
          </cell>
          <cell r="AD133">
            <v>66.43208661417323</v>
          </cell>
          <cell r="AE133">
            <v>65.460629921259851</v>
          </cell>
          <cell r="AF133">
            <v>23.460629921259848</v>
          </cell>
          <cell r="AG133">
            <v>39.925196850393704</v>
          </cell>
          <cell r="AH133" t="str">
            <v>Y</v>
          </cell>
          <cell r="AI133">
            <v>43.659000000000006</v>
          </cell>
          <cell r="AJ133">
            <v>19.8</v>
          </cell>
          <cell r="AK133" t="str">
            <v>TBD</v>
          </cell>
          <cell r="AL133" t="str">
            <v>Y</v>
          </cell>
          <cell r="AM133">
            <v>200018403</v>
          </cell>
          <cell r="AN133">
            <v>200028403</v>
          </cell>
          <cell r="AO133">
            <v>200018303</v>
          </cell>
          <cell r="AP133">
            <v>200028303</v>
          </cell>
          <cell r="AQ133">
            <v>200018203</v>
          </cell>
          <cell r="AR133">
            <v>200028203</v>
          </cell>
          <cell r="AS133">
            <v>14.555555555555557</v>
          </cell>
          <cell r="AT133">
            <v>20.069602586497279</v>
          </cell>
          <cell r="AU133">
            <v>14.97260437224279</v>
          </cell>
          <cell r="AV133">
            <v>10.224017732239455</v>
          </cell>
          <cell r="AW133">
            <v>41254</v>
          </cell>
        </row>
        <row r="134">
          <cell r="C134" t="str">
            <v>Motech - IM72 280-295_S</v>
          </cell>
          <cell r="D134" t="str">
            <v>Standard Claw</v>
          </cell>
          <cell r="E134">
            <v>5000005</v>
          </cell>
          <cell r="F134">
            <v>39.055118110236222</v>
          </cell>
          <cell r="G134">
            <v>77.401574803149614</v>
          </cell>
          <cell r="H134">
            <v>1.9685039370078741</v>
          </cell>
          <cell r="I134">
            <v>200010707</v>
          </cell>
          <cell r="J134">
            <v>200010807</v>
          </cell>
          <cell r="K134">
            <v>200013807</v>
          </cell>
          <cell r="L134">
            <v>200016307</v>
          </cell>
          <cell r="M134">
            <v>500012581</v>
          </cell>
          <cell r="N134">
            <v>500012681</v>
          </cell>
          <cell r="O134">
            <v>500012581</v>
          </cell>
          <cell r="P134">
            <v>500012681</v>
          </cell>
          <cell r="Q134">
            <v>11.698754267040043</v>
          </cell>
          <cell r="R134">
            <v>10.455004839041191</v>
          </cell>
          <cell r="S134">
            <v>4.9330437584696041</v>
          </cell>
          <cell r="T134">
            <v>4.9330437584696041</v>
          </cell>
          <cell r="U134">
            <v>11.698754267040043</v>
          </cell>
          <cell r="V134">
            <v>10.455004839041191</v>
          </cell>
          <cell r="W134">
            <v>50</v>
          </cell>
          <cell r="X134">
            <v>35.2992125984252</v>
          </cell>
          <cell r="Y134">
            <v>78.873031496062993</v>
          </cell>
          <cell r="Z134">
            <v>35.2992125984252</v>
          </cell>
          <cell r="AA134">
            <v>78.873031496062993</v>
          </cell>
          <cell r="AB134">
            <v>35.2992125984252</v>
          </cell>
          <cell r="AC134">
            <v>78.873031496062993</v>
          </cell>
          <cell r="AD134">
            <v>78.873031496062993</v>
          </cell>
          <cell r="AE134">
            <v>77.901574803149614</v>
          </cell>
          <cell r="AF134">
            <v>35.901574803149614</v>
          </cell>
          <cell r="AG134">
            <v>39.925196850393704</v>
          </cell>
          <cell r="AH134" t="str">
            <v>Y</v>
          </cell>
          <cell r="AI134">
            <v>59.535000000000004</v>
          </cell>
          <cell r="AJ134">
            <v>27</v>
          </cell>
          <cell r="AK134" t="str">
            <v>TBD</v>
          </cell>
          <cell r="AL134" t="str">
            <v>Y</v>
          </cell>
          <cell r="AM134">
            <v>200018407</v>
          </cell>
          <cell r="AN134">
            <v>200028407</v>
          </cell>
          <cell r="AO134">
            <v>200018307</v>
          </cell>
          <cell r="AP134">
            <v>200028307</v>
          </cell>
          <cell r="AQ134">
            <v>200018207</v>
          </cell>
          <cell r="AR134">
            <v>200028207</v>
          </cell>
          <cell r="AS134">
            <v>17.222222222222221</v>
          </cell>
          <cell r="AT134">
            <v>20.069602586497279</v>
          </cell>
          <cell r="AU134">
            <v>14.97260437224279</v>
          </cell>
          <cell r="AV134">
            <v>10.224017732239455</v>
          </cell>
          <cell r="AW134">
            <v>40966</v>
          </cell>
        </row>
        <row r="135">
          <cell r="C135" t="str">
            <v>MX Solar - Suncase MX60 240-250_M</v>
          </cell>
          <cell r="D135" t="str">
            <v>Short Clamp Multi Claw</v>
          </cell>
          <cell r="E135">
            <v>500000701</v>
          </cell>
          <cell r="F135">
            <v>39.566929133858267</v>
          </cell>
          <cell r="G135">
            <v>65.551181102362207</v>
          </cell>
          <cell r="H135">
            <v>1.6929133858267718</v>
          </cell>
          <cell r="I135">
            <v>200010704</v>
          </cell>
          <cell r="J135">
            <v>200010804</v>
          </cell>
          <cell r="K135">
            <v>200013804</v>
          </cell>
          <cell r="L135">
            <v>200016304</v>
          </cell>
          <cell r="M135">
            <v>500012568</v>
          </cell>
          <cell r="N135">
            <v>500012668</v>
          </cell>
          <cell r="O135">
            <v>500012569</v>
          </cell>
          <cell r="P135">
            <v>500012669</v>
          </cell>
          <cell r="Q135">
            <v>10.905502819060908</v>
          </cell>
          <cell r="R135">
            <v>9.7478999668070578</v>
          </cell>
          <cell r="S135">
            <v>4.6020125984812843</v>
          </cell>
          <cell r="T135">
            <v>4.6020125984812843</v>
          </cell>
          <cell r="U135">
            <v>10.905502819060908</v>
          </cell>
          <cell r="V135">
            <v>9.7478999668070578</v>
          </cell>
          <cell r="W135">
            <v>50</v>
          </cell>
          <cell r="X135">
            <v>37.832283464566935</v>
          </cell>
          <cell r="Y135">
            <v>66.126574803149609</v>
          </cell>
          <cell r="Z135">
            <v>37.832283464566935</v>
          </cell>
          <cell r="AA135">
            <v>66.126574803149609</v>
          </cell>
          <cell r="AB135">
            <v>37.832283464566935</v>
          </cell>
          <cell r="AC135">
            <v>66.126574803149609</v>
          </cell>
          <cell r="AD135">
            <v>66.126574803149609</v>
          </cell>
          <cell r="AE135">
            <v>66.051181102362207</v>
          </cell>
          <cell r="AF135">
            <v>24.051181102362211</v>
          </cell>
          <cell r="AG135">
            <v>40.744094488188985</v>
          </cell>
          <cell r="AH135" t="str">
            <v>Y</v>
          </cell>
          <cell r="AI135">
            <v>48.510000000000005</v>
          </cell>
          <cell r="AJ135">
            <v>22</v>
          </cell>
          <cell r="AK135" t="str">
            <v>TBD</v>
          </cell>
          <cell r="AL135" t="str">
            <v>Y</v>
          </cell>
          <cell r="AM135">
            <v>200018403</v>
          </cell>
          <cell r="AN135">
            <v>200028403</v>
          </cell>
          <cell r="AO135">
            <v>200018303</v>
          </cell>
          <cell r="AP135">
            <v>200028303</v>
          </cell>
          <cell r="AQ135">
            <v>200018203</v>
          </cell>
          <cell r="AR135">
            <v>200028203</v>
          </cell>
          <cell r="AS135">
            <v>14.555555555555557</v>
          </cell>
          <cell r="AT135">
            <v>19.649442184899272</v>
          </cell>
          <cell r="AU135">
            <v>14.664853709841291</v>
          </cell>
          <cell r="AV135">
            <v>10.016387914612645</v>
          </cell>
          <cell r="AW135">
            <v>40966</v>
          </cell>
        </row>
        <row r="136">
          <cell r="C136" t="str">
            <v>NB Solar - Ningbo - Sun Earth Solar Power - TPB 156X156-54-P 190-215_M</v>
          </cell>
          <cell r="D136" t="str">
            <v>Short Clamp Multi Claw</v>
          </cell>
          <cell r="E136">
            <v>500000701</v>
          </cell>
          <cell r="F136">
            <v>39.055118110236222</v>
          </cell>
          <cell r="G136">
            <v>58.346456692913392</v>
          </cell>
          <cell r="H136">
            <v>1.8110236220472442</v>
          </cell>
          <cell r="I136">
            <v>200010702</v>
          </cell>
          <cell r="J136">
            <v>200010802</v>
          </cell>
          <cell r="K136">
            <v>200013802</v>
          </cell>
          <cell r="L136">
            <v>200016302</v>
          </cell>
          <cell r="M136">
            <v>500012561</v>
          </cell>
          <cell r="N136">
            <v>500012661</v>
          </cell>
          <cell r="O136">
            <v>500012562</v>
          </cell>
          <cell r="P136">
            <v>500012662</v>
          </cell>
          <cell r="Q136">
            <v>11.318613847978519</v>
          </cell>
          <cell r="R136">
            <v>10.116197591040002</v>
          </cell>
          <cell r="S136">
            <v>4.7745020887129126</v>
          </cell>
          <cell r="T136">
            <v>4.7745020887129126</v>
          </cell>
          <cell r="U136">
            <v>11.318613847978519</v>
          </cell>
          <cell r="V136">
            <v>10.116197591040002</v>
          </cell>
          <cell r="W136">
            <v>40</v>
          </cell>
          <cell r="X136">
            <v>36.468503937007874</v>
          </cell>
          <cell r="Y136">
            <v>58.921850393700794</v>
          </cell>
          <cell r="Z136">
            <v>36.468503937007874</v>
          </cell>
          <cell r="AA136">
            <v>58.921850393700794</v>
          </cell>
          <cell r="AB136">
            <v>36.468503937007874</v>
          </cell>
          <cell r="AC136">
            <v>58.921850393700794</v>
          </cell>
          <cell r="AD136">
            <v>58.921850393700794</v>
          </cell>
          <cell r="AE136">
            <v>58.846456692913392</v>
          </cell>
          <cell r="AF136">
            <v>16.846456692913389</v>
          </cell>
          <cell r="AG136">
            <v>38.744094488188978</v>
          </cell>
          <cell r="AH136" t="str">
            <v>N</v>
          </cell>
          <cell r="AI136">
            <v>37.484999999999999</v>
          </cell>
          <cell r="AJ136">
            <v>17</v>
          </cell>
          <cell r="AK136" t="str">
            <v>TBD</v>
          </cell>
          <cell r="AL136" t="str">
            <v>Y</v>
          </cell>
          <cell r="AM136">
            <v>200018401</v>
          </cell>
          <cell r="AN136">
            <v>200028401</v>
          </cell>
          <cell r="AO136">
            <v>200018301</v>
          </cell>
          <cell r="AP136">
            <v>200028301</v>
          </cell>
          <cell r="AQ136">
            <v>200018201</v>
          </cell>
          <cell r="AR136">
            <v>200028201</v>
          </cell>
          <cell r="AS136">
            <v>13.22222222222222</v>
          </cell>
          <cell r="AT136">
            <v>20.709050271134394</v>
          </cell>
          <cell r="AU136">
            <v>15.440237057435686</v>
          </cell>
          <cell r="AV136">
            <v>10.539202660509616</v>
          </cell>
          <cell r="AW136">
            <v>41026</v>
          </cell>
        </row>
        <row r="137">
          <cell r="C137" t="str">
            <v>NB Solar - Ningbo - Sun Earth Solar Power - TPB 156X156-60-P 220-245_M</v>
          </cell>
          <cell r="D137" t="str">
            <v>Short Clamp Multi Claw</v>
          </cell>
          <cell r="E137">
            <v>500000701</v>
          </cell>
          <cell r="F137">
            <v>39.055118110236222</v>
          </cell>
          <cell r="G137">
            <v>64.645669291338592</v>
          </cell>
          <cell r="H137">
            <v>1.8110236220472442</v>
          </cell>
          <cell r="I137">
            <v>200010704</v>
          </cell>
          <cell r="J137">
            <v>200010804</v>
          </cell>
          <cell r="K137">
            <v>200013804</v>
          </cell>
          <cell r="L137">
            <v>200016304</v>
          </cell>
          <cell r="M137">
            <v>500012567</v>
          </cell>
          <cell r="N137">
            <v>500012667</v>
          </cell>
          <cell r="O137">
            <v>500012568</v>
          </cell>
          <cell r="P137">
            <v>500012668</v>
          </cell>
          <cell r="Q137">
            <v>11.318613847978519</v>
          </cell>
          <cell r="R137">
            <v>10.116197591040002</v>
          </cell>
          <cell r="S137">
            <v>4.7745020887129126</v>
          </cell>
          <cell r="T137">
            <v>4.7745020887129126</v>
          </cell>
          <cell r="U137">
            <v>11.318613847978519</v>
          </cell>
          <cell r="V137">
            <v>10.116197591040002</v>
          </cell>
          <cell r="W137">
            <v>40</v>
          </cell>
          <cell r="X137">
            <v>36.468503937007874</v>
          </cell>
          <cell r="Y137">
            <v>65.221062992125994</v>
          </cell>
          <cell r="Z137">
            <v>36.468503937007874</v>
          </cell>
          <cell r="AA137">
            <v>65.221062992125994</v>
          </cell>
          <cell r="AB137">
            <v>36.468503937007874</v>
          </cell>
          <cell r="AC137">
            <v>65.221062992125994</v>
          </cell>
          <cell r="AD137">
            <v>65.221062992125994</v>
          </cell>
          <cell r="AE137">
            <v>65.145669291338592</v>
          </cell>
          <cell r="AF137">
            <v>23.145669291338589</v>
          </cell>
          <cell r="AG137">
            <v>38.744094488188978</v>
          </cell>
          <cell r="AH137" t="str">
            <v>N</v>
          </cell>
          <cell r="AI137">
            <v>44.1</v>
          </cell>
          <cell r="AJ137">
            <v>20</v>
          </cell>
          <cell r="AK137" t="str">
            <v>TBD</v>
          </cell>
          <cell r="AL137" t="str">
            <v>Y</v>
          </cell>
          <cell r="AM137">
            <v>200018403</v>
          </cell>
          <cell r="AN137">
            <v>200028403</v>
          </cell>
          <cell r="AO137">
            <v>200018303</v>
          </cell>
          <cell r="AP137">
            <v>200028303</v>
          </cell>
          <cell r="AQ137">
            <v>200018203</v>
          </cell>
          <cell r="AR137">
            <v>200028203</v>
          </cell>
          <cell r="AS137">
            <v>14.555555555555557</v>
          </cell>
          <cell r="AT137">
            <v>20.709050271134394</v>
          </cell>
          <cell r="AU137">
            <v>15.440237057435686</v>
          </cell>
          <cell r="AV137">
            <v>10.539202660509616</v>
          </cell>
          <cell r="AW137">
            <v>41026</v>
          </cell>
        </row>
        <row r="138">
          <cell r="C138" t="str">
            <v>NB Solar - Ningbo - Sun Earth Solar Power - TPB 156X156-72-P 260-290_M</v>
          </cell>
          <cell r="D138" t="str">
            <v>Short Clamp Multi Claw</v>
          </cell>
          <cell r="E138">
            <v>500000701</v>
          </cell>
          <cell r="F138">
            <v>39.055118110236222</v>
          </cell>
          <cell r="G138">
            <v>77.086614173228355</v>
          </cell>
          <cell r="H138">
            <v>1.8110236220472442</v>
          </cell>
          <cell r="I138">
            <v>200010707</v>
          </cell>
          <cell r="J138">
            <v>200010807</v>
          </cell>
          <cell r="K138">
            <v>200013807</v>
          </cell>
          <cell r="L138">
            <v>200016307</v>
          </cell>
          <cell r="M138">
            <v>500012580</v>
          </cell>
          <cell r="N138">
            <v>500012680</v>
          </cell>
          <cell r="O138">
            <v>500012580</v>
          </cell>
          <cell r="P138">
            <v>500012680</v>
          </cell>
          <cell r="Q138">
            <v>11.318613847978519</v>
          </cell>
          <cell r="R138">
            <v>10.116197591040002</v>
          </cell>
          <cell r="S138">
            <v>4.7745020887129126</v>
          </cell>
          <cell r="T138">
            <v>4.7745020887129126</v>
          </cell>
          <cell r="U138">
            <v>11.318613847978519</v>
          </cell>
          <cell r="V138">
            <v>10.116197591040002</v>
          </cell>
          <cell r="W138">
            <v>40</v>
          </cell>
          <cell r="X138">
            <v>36.468503937007874</v>
          </cell>
          <cell r="Y138">
            <v>77.662007874015757</v>
          </cell>
          <cell r="Z138">
            <v>36.468503937007874</v>
          </cell>
          <cell r="AA138">
            <v>77.662007874015757</v>
          </cell>
          <cell r="AB138">
            <v>36.468503937007874</v>
          </cell>
          <cell r="AC138">
            <v>77.662007874015757</v>
          </cell>
          <cell r="AD138">
            <v>77.662007874015757</v>
          </cell>
          <cell r="AE138">
            <v>77.586614173228355</v>
          </cell>
          <cell r="AF138">
            <v>35.586614173228355</v>
          </cell>
          <cell r="AG138">
            <v>38.744094488188978</v>
          </cell>
          <cell r="AH138" t="str">
            <v>N</v>
          </cell>
          <cell r="AI138">
            <v>59.535000000000004</v>
          </cell>
          <cell r="AJ138">
            <v>27</v>
          </cell>
          <cell r="AK138" t="str">
            <v>TBD</v>
          </cell>
          <cell r="AL138" t="str">
            <v>Y</v>
          </cell>
          <cell r="AM138">
            <v>200018407</v>
          </cell>
          <cell r="AN138">
            <v>200028407</v>
          </cell>
          <cell r="AO138">
            <v>200018307</v>
          </cell>
          <cell r="AP138">
            <v>200028307</v>
          </cell>
          <cell r="AQ138">
            <v>200018207</v>
          </cell>
          <cell r="AR138">
            <v>200028207</v>
          </cell>
          <cell r="AS138">
            <v>17.222222222222221</v>
          </cell>
          <cell r="AT138">
            <v>20.709050271134394</v>
          </cell>
          <cell r="AU138">
            <v>15.440237057435686</v>
          </cell>
          <cell r="AV138">
            <v>10.539202660509616</v>
          </cell>
          <cell r="AW138">
            <v>41026</v>
          </cell>
        </row>
        <row r="139">
          <cell r="C139" t="str">
            <v>NESL - DJ-165-180D_S</v>
          </cell>
          <cell r="D139" t="str">
            <v>Standard Claw</v>
          </cell>
          <cell r="E139">
            <v>5000005</v>
          </cell>
          <cell r="F139">
            <v>31.850393700787404</v>
          </cell>
          <cell r="G139">
            <v>62.244094488188978</v>
          </cell>
          <cell r="H139">
            <v>1.5748031496062993</v>
          </cell>
          <cell r="I139">
            <v>200010704</v>
          </cell>
          <cell r="J139">
            <v>200010804</v>
          </cell>
          <cell r="K139">
            <v>200013804</v>
          </cell>
          <cell r="L139">
            <v>200016304</v>
          </cell>
          <cell r="M139">
            <v>500012566</v>
          </cell>
          <cell r="N139">
            <v>500012666</v>
          </cell>
          <cell r="O139">
            <v>500012566</v>
          </cell>
          <cell r="P139">
            <v>500012666</v>
          </cell>
          <cell r="Q139">
            <v>14.759635506545079</v>
          </cell>
          <cell r="R139">
            <v>13.179285957422199</v>
          </cell>
          <cell r="S139">
            <v>6.2025569617802887</v>
          </cell>
          <cell r="T139">
            <v>6.2025569617802887</v>
          </cell>
          <cell r="U139">
            <v>14.759635506545079</v>
          </cell>
          <cell r="V139">
            <v>13.179285957422199</v>
          </cell>
          <cell r="W139">
            <v>30</v>
          </cell>
          <cell r="X139">
            <v>28.094488188976381</v>
          </cell>
          <cell r="Y139">
            <v>63.715551181102363</v>
          </cell>
          <cell r="Z139">
            <v>28.094488188976381</v>
          </cell>
          <cell r="AA139">
            <v>63.715551181102363</v>
          </cell>
          <cell r="AB139">
            <v>28.094488188976381</v>
          </cell>
          <cell r="AC139">
            <v>63.715551181102363</v>
          </cell>
          <cell r="AD139">
            <v>63.715551181102363</v>
          </cell>
          <cell r="AE139">
            <v>62.744094488188985</v>
          </cell>
          <cell r="AF139">
            <v>20.744094488188981</v>
          </cell>
          <cell r="AG139">
            <v>32.720472440944881</v>
          </cell>
          <cell r="AH139" t="str">
            <v>Y</v>
          </cell>
          <cell r="AI139">
            <v>34.177500000000002</v>
          </cell>
          <cell r="AJ139">
            <v>15.5</v>
          </cell>
          <cell r="AK139" t="str">
            <v>TBD</v>
          </cell>
          <cell r="AL139" t="str">
            <v>Y</v>
          </cell>
          <cell r="AM139">
            <v>200018402</v>
          </cell>
          <cell r="AN139">
            <v>200028402</v>
          </cell>
          <cell r="AO139">
            <v>200018302</v>
          </cell>
          <cell r="AP139">
            <v>200028302</v>
          </cell>
          <cell r="AQ139">
            <v>200018202</v>
          </cell>
          <cell r="AR139">
            <v>200028202</v>
          </cell>
          <cell r="AS139">
            <v>13.888888888888888</v>
          </cell>
          <cell r="AT139">
            <v>24.753939339673675</v>
          </cell>
          <cell r="AU139">
            <v>18.375596168437923</v>
          </cell>
          <cell r="AV139">
            <v>12.508264516085442</v>
          </cell>
          <cell r="AW139">
            <v>40862</v>
          </cell>
        </row>
        <row r="140">
          <cell r="C140" t="str">
            <v>NESL - DJ-210-230P_S</v>
          </cell>
          <cell r="D140" t="str">
            <v>Standard Claw</v>
          </cell>
          <cell r="E140">
            <v>5000005</v>
          </cell>
          <cell r="F140">
            <v>38.976377952755911</v>
          </cell>
          <cell r="G140">
            <v>64.960629921259851</v>
          </cell>
          <cell r="H140">
            <v>1.5748031496062993</v>
          </cell>
          <cell r="I140">
            <v>200010704</v>
          </cell>
          <cell r="J140">
            <v>200010804</v>
          </cell>
          <cell r="K140">
            <v>200013804</v>
          </cell>
          <cell r="L140">
            <v>200016304</v>
          </cell>
          <cell r="M140">
            <v>500012569</v>
          </cell>
          <cell r="N140">
            <v>500012669</v>
          </cell>
          <cell r="O140">
            <v>500012569</v>
          </cell>
          <cell r="P140">
            <v>500012669</v>
          </cell>
          <cell r="Q140">
            <v>11.725279318414811</v>
          </cell>
          <cell r="R140">
            <v>10.478642249707667</v>
          </cell>
          <cell r="S140">
            <v>4.9440996728708777</v>
          </cell>
          <cell r="T140">
            <v>4.9440996728708777</v>
          </cell>
          <cell r="U140">
            <v>11.725279318414811</v>
          </cell>
          <cell r="V140">
            <v>10.478642249707667</v>
          </cell>
          <cell r="W140">
            <v>30</v>
          </cell>
          <cell r="X140">
            <v>35.220472440944881</v>
          </cell>
          <cell r="Y140">
            <v>66.43208661417323</v>
          </cell>
          <cell r="Z140">
            <v>35.220472440944881</v>
          </cell>
          <cell r="AA140">
            <v>66.43208661417323</v>
          </cell>
          <cell r="AB140">
            <v>35.220472440944881</v>
          </cell>
          <cell r="AC140">
            <v>66.43208661417323</v>
          </cell>
          <cell r="AD140">
            <v>66.43208661417323</v>
          </cell>
          <cell r="AE140">
            <v>65.460629921259851</v>
          </cell>
          <cell r="AF140">
            <v>23.460629921259848</v>
          </cell>
          <cell r="AG140">
            <v>39.846456692913392</v>
          </cell>
          <cell r="AH140" t="str">
            <v>Y</v>
          </cell>
          <cell r="AI140">
            <v>42.997500000000002</v>
          </cell>
          <cell r="AJ140">
            <v>19.5</v>
          </cell>
          <cell r="AK140" t="str">
            <v>TBD</v>
          </cell>
          <cell r="AL140" t="str">
            <v>Y</v>
          </cell>
          <cell r="AM140">
            <v>200018403</v>
          </cell>
          <cell r="AN140">
            <v>200028403</v>
          </cell>
          <cell r="AO140">
            <v>200018303</v>
          </cell>
          <cell r="AP140">
            <v>200028303</v>
          </cell>
          <cell r="AQ140">
            <v>200018203</v>
          </cell>
          <cell r="AR140">
            <v>200028203</v>
          </cell>
          <cell r="AS140">
            <v>14.555555555555557</v>
          </cell>
          <cell r="AT140">
            <v>20.110973161651764</v>
          </cell>
          <cell r="AU140">
            <v>15.002886128524771</v>
          </cell>
          <cell r="AV140">
            <v>10.244439167746933</v>
          </cell>
          <cell r="AW140">
            <v>40862</v>
          </cell>
        </row>
        <row r="141">
          <cell r="C141" t="str">
            <v>NESL - DJ-250-280P_S</v>
          </cell>
          <cell r="D141" t="str">
            <v>Standard Claw</v>
          </cell>
          <cell r="E141">
            <v>5000005</v>
          </cell>
          <cell r="F141">
            <v>38.976377952755911</v>
          </cell>
          <cell r="G141">
            <v>77.047244094488192</v>
          </cell>
          <cell r="H141">
            <v>1.9685039370078741</v>
          </cell>
          <cell r="I141">
            <v>200010707</v>
          </cell>
          <cell r="J141">
            <v>200010807</v>
          </cell>
          <cell r="K141">
            <v>200013807</v>
          </cell>
          <cell r="L141">
            <v>200016307</v>
          </cell>
          <cell r="M141">
            <v>500012581</v>
          </cell>
          <cell r="N141">
            <v>500012681</v>
          </cell>
          <cell r="O141">
            <v>500012581</v>
          </cell>
          <cell r="P141">
            <v>500012681</v>
          </cell>
          <cell r="Q141">
            <v>11.646065132777842</v>
          </cell>
          <cell r="R141">
            <v>10.40805030701417</v>
          </cell>
          <cell r="S141">
            <v>4.911079789514722</v>
          </cell>
          <cell r="T141">
            <v>4.911079789514722</v>
          </cell>
          <cell r="U141">
            <v>11.646065132777842</v>
          </cell>
          <cell r="V141">
            <v>10.40805030701417</v>
          </cell>
          <cell r="W141">
            <v>30</v>
          </cell>
          <cell r="X141">
            <v>35.45669291338583</v>
          </cell>
          <cell r="Y141">
            <v>78.754921259842519</v>
          </cell>
          <cell r="Z141">
            <v>35.45669291338583</v>
          </cell>
          <cell r="AA141">
            <v>78.754921259842519</v>
          </cell>
          <cell r="AB141">
            <v>35.45669291338583</v>
          </cell>
          <cell r="AC141">
            <v>78.754921259842519</v>
          </cell>
          <cell r="AD141">
            <v>78.754921259842519</v>
          </cell>
          <cell r="AE141">
            <v>77.547244094488192</v>
          </cell>
          <cell r="AF141">
            <v>35.547244094488192</v>
          </cell>
          <cell r="AG141">
            <v>40.082677165354333</v>
          </cell>
          <cell r="AH141" t="str">
            <v>Y</v>
          </cell>
          <cell r="AI141">
            <v>55.125</v>
          </cell>
          <cell r="AJ141">
            <v>25</v>
          </cell>
          <cell r="AK141" t="str">
            <v>TBD</v>
          </cell>
          <cell r="AL141" t="str">
            <v>Y</v>
          </cell>
          <cell r="AM141">
            <v>200018407</v>
          </cell>
          <cell r="AN141">
            <v>200028407</v>
          </cell>
          <cell r="AO141">
            <v>200018307</v>
          </cell>
          <cell r="AP141">
            <v>200028307</v>
          </cell>
          <cell r="AQ141">
            <v>200018207</v>
          </cell>
          <cell r="AR141">
            <v>200028207</v>
          </cell>
          <cell r="AS141">
            <v>17.222222222222221</v>
          </cell>
          <cell r="AT141">
            <v>19.987381438876472</v>
          </cell>
          <cell r="AU141">
            <v>14.912410483320945</v>
          </cell>
          <cell r="AV141">
            <v>10.183419458492327</v>
          </cell>
          <cell r="AW141">
            <v>40862</v>
          </cell>
        </row>
        <row r="142">
          <cell r="C142" t="str">
            <v>Perfect Energy - PEM 160-180 72M_S</v>
          </cell>
          <cell r="D142" t="str">
            <v>Standard Claw</v>
          </cell>
          <cell r="E142">
            <v>5000005</v>
          </cell>
          <cell r="F142">
            <v>31.811023622047244</v>
          </cell>
          <cell r="G142">
            <v>62.204724409448822</v>
          </cell>
          <cell r="H142">
            <v>1.7716535433070868</v>
          </cell>
          <cell r="I142">
            <v>200010704</v>
          </cell>
          <cell r="J142">
            <v>200010804</v>
          </cell>
          <cell r="K142">
            <v>200013804</v>
          </cell>
          <cell r="L142">
            <v>200016304</v>
          </cell>
          <cell r="M142">
            <v>500012566</v>
          </cell>
          <cell r="N142">
            <v>500012666</v>
          </cell>
          <cell r="O142">
            <v>500012567</v>
          </cell>
          <cell r="P142">
            <v>500012667</v>
          </cell>
          <cell r="Q142">
            <v>14.571707491264988</v>
          </cell>
          <cell r="R142">
            <v>13.012236782891378</v>
          </cell>
          <cell r="S142">
            <v>6.1250064477535702</v>
          </cell>
          <cell r="T142">
            <v>6.1250064477535702</v>
          </cell>
          <cell r="U142">
            <v>14.571707491264988</v>
          </cell>
          <cell r="V142">
            <v>13.012236782891378</v>
          </cell>
          <cell r="W142">
            <v>50</v>
          </cell>
          <cell r="X142">
            <v>28.448818897637796</v>
          </cell>
          <cell r="Y142">
            <v>64.069881889763778</v>
          </cell>
          <cell r="Z142">
            <v>28.448818897637796</v>
          </cell>
          <cell r="AA142">
            <v>64.069881889763778</v>
          </cell>
          <cell r="AB142">
            <v>28.448818897637796</v>
          </cell>
          <cell r="AC142">
            <v>64.069881889763778</v>
          </cell>
          <cell r="AD142">
            <v>64.069881889763778</v>
          </cell>
          <cell r="AE142">
            <v>62.704724409448822</v>
          </cell>
          <cell r="AF142">
            <v>20.704724409448822</v>
          </cell>
          <cell r="AG142">
            <v>33.074803149606304</v>
          </cell>
          <cell r="AH142" t="str">
            <v>N</v>
          </cell>
          <cell r="AI142">
            <v>34.177500000000002</v>
          </cell>
          <cell r="AJ142">
            <v>15.5</v>
          </cell>
          <cell r="AK142" t="str">
            <v>TBD</v>
          </cell>
          <cell r="AL142" t="str">
            <v>Y</v>
          </cell>
          <cell r="AM142">
            <v>200018402</v>
          </cell>
          <cell r="AN142">
            <v>200028402</v>
          </cell>
          <cell r="AO142">
            <v>200018302</v>
          </cell>
          <cell r="AP142">
            <v>200028302</v>
          </cell>
          <cell r="AQ142">
            <v>200018202</v>
          </cell>
          <cell r="AR142">
            <v>200028202</v>
          </cell>
          <cell r="AS142">
            <v>13.888888888888888</v>
          </cell>
          <cell r="AT142">
            <v>24.471238183648364</v>
          </cell>
          <cell r="AU142">
            <v>18.171818938620692</v>
          </cell>
          <cell r="AV142">
            <v>12.372128912037903</v>
          </cell>
          <cell r="AW142">
            <v>41192</v>
          </cell>
        </row>
        <row r="143">
          <cell r="C143" t="str">
            <v>Perlight - PLM-185 Series_S</v>
          </cell>
          <cell r="D143" t="str">
            <v>Standard Claw</v>
          </cell>
          <cell r="E143">
            <v>5000005</v>
          </cell>
          <cell r="F143">
            <v>31.811023622047244</v>
          </cell>
          <cell r="G143">
            <v>62.204724409448822</v>
          </cell>
          <cell r="H143">
            <v>1.5748031496062993</v>
          </cell>
          <cell r="I143">
            <v>200010704</v>
          </cell>
          <cell r="J143">
            <v>200010804</v>
          </cell>
          <cell r="K143">
            <v>200013804</v>
          </cell>
          <cell r="L143">
            <v>200016304</v>
          </cell>
          <cell r="M143">
            <v>500012566</v>
          </cell>
          <cell r="N143">
            <v>500012666</v>
          </cell>
          <cell r="O143">
            <v>500012566</v>
          </cell>
          <cell r="P143">
            <v>500012666</v>
          </cell>
          <cell r="Q143">
            <v>14.780819563929326</v>
          </cell>
          <cell r="R143">
            <v>13.198114568872393</v>
          </cell>
          <cell r="S143">
            <v>6.211295317501194</v>
          </cell>
          <cell r="T143">
            <v>6.211295317501194</v>
          </cell>
          <cell r="U143">
            <v>14.780819563929326</v>
          </cell>
          <cell r="V143">
            <v>13.198114568872393</v>
          </cell>
          <cell r="W143">
            <v>50</v>
          </cell>
          <cell r="X143">
            <v>28.055118110236222</v>
          </cell>
          <cell r="Y143">
            <v>63.676181102362207</v>
          </cell>
          <cell r="Z143">
            <v>28.055118110236222</v>
          </cell>
          <cell r="AA143">
            <v>63.676181102362207</v>
          </cell>
          <cell r="AB143">
            <v>28.055118110236222</v>
          </cell>
          <cell r="AC143">
            <v>63.676181102362207</v>
          </cell>
          <cell r="AD143">
            <v>63.676181102362207</v>
          </cell>
          <cell r="AE143">
            <v>62.704724409448822</v>
          </cell>
          <cell r="AF143">
            <v>20.704724409448822</v>
          </cell>
          <cell r="AG143">
            <v>32.681102362204726</v>
          </cell>
          <cell r="AH143" t="str">
            <v>N</v>
          </cell>
          <cell r="AI143">
            <v>35.28</v>
          </cell>
          <cell r="AJ143">
            <v>16</v>
          </cell>
          <cell r="AK143" t="str">
            <v>TBD</v>
          </cell>
          <cell r="AL143" t="str">
            <v>Y</v>
          </cell>
          <cell r="AM143">
            <v>200018402</v>
          </cell>
          <cell r="AN143">
            <v>200028402</v>
          </cell>
          <cell r="AO143">
            <v>200018302</v>
          </cell>
          <cell r="AP143">
            <v>200028302</v>
          </cell>
          <cell r="AQ143">
            <v>200018202</v>
          </cell>
          <cell r="AR143">
            <v>200028202</v>
          </cell>
          <cell r="AS143">
            <v>13.888888888888888</v>
          </cell>
          <cell r="AT143">
            <v>24.785769092963804</v>
          </cell>
          <cell r="AU143">
            <v>18.39852585667062</v>
          </cell>
          <cell r="AV143">
            <v>12.523577389800897</v>
          </cell>
          <cell r="AW143">
            <v>40665</v>
          </cell>
        </row>
        <row r="144">
          <cell r="C144" t="str">
            <v>Perlight - PLM-210 Series_S</v>
          </cell>
          <cell r="D144" t="str">
            <v>Standard Claw</v>
          </cell>
          <cell r="E144">
            <v>5000005</v>
          </cell>
          <cell r="F144">
            <v>37.007874015748037</v>
          </cell>
          <cell r="G144">
            <v>58.858267716535437</v>
          </cell>
          <cell r="H144">
            <v>1.8110236220472442</v>
          </cell>
          <cell r="I144">
            <v>200010703</v>
          </cell>
          <cell r="J144">
            <v>200010803</v>
          </cell>
          <cell r="K144">
            <v>200013803</v>
          </cell>
          <cell r="L144">
            <v>200016303</v>
          </cell>
          <cell r="M144">
            <v>500012563</v>
          </cell>
          <cell r="N144">
            <v>500012663</v>
          </cell>
          <cell r="O144">
            <v>500012563</v>
          </cell>
          <cell r="P144">
            <v>500012663</v>
          </cell>
          <cell r="Q144">
            <v>12.430184243800053</v>
          </cell>
          <cell r="R144">
            <v>11.106632994896712</v>
          </cell>
          <cell r="S144">
            <v>5.2375834396852632</v>
          </cell>
          <cell r="T144">
            <v>5.2375834396852632</v>
          </cell>
          <cell r="U144">
            <v>12.430184243800053</v>
          </cell>
          <cell r="V144">
            <v>11.106632994896712</v>
          </cell>
          <cell r="W144">
            <v>50</v>
          </cell>
          <cell r="X144">
            <v>33.251968503937007</v>
          </cell>
          <cell r="Y144">
            <v>60.329724409448822</v>
          </cell>
          <cell r="Z144">
            <v>33.251968503937007</v>
          </cell>
          <cell r="AA144">
            <v>60.329724409448822</v>
          </cell>
          <cell r="AB144">
            <v>33.251968503937007</v>
          </cell>
          <cell r="AC144">
            <v>60.329724409448822</v>
          </cell>
          <cell r="AD144">
            <v>60.329724409448822</v>
          </cell>
          <cell r="AE144">
            <v>59.358267716535437</v>
          </cell>
          <cell r="AF144">
            <v>17.358267716535437</v>
          </cell>
          <cell r="AG144">
            <v>37.877952755905518</v>
          </cell>
          <cell r="AH144" t="str">
            <v>N</v>
          </cell>
          <cell r="AI144">
            <v>37.484999999999999</v>
          </cell>
          <cell r="AJ144">
            <v>17</v>
          </cell>
          <cell r="AK144" t="str">
            <v>TBD</v>
          </cell>
          <cell r="AL144" t="str">
            <v>Y</v>
          </cell>
          <cell r="AM144">
            <v>200018401</v>
          </cell>
          <cell r="AN144">
            <v>200028401</v>
          </cell>
          <cell r="AO144">
            <v>200018301</v>
          </cell>
          <cell r="AP144">
            <v>200028301</v>
          </cell>
          <cell r="AQ144">
            <v>200018201</v>
          </cell>
          <cell r="AR144">
            <v>200028201</v>
          </cell>
          <cell r="AS144">
            <v>13.22222222222222</v>
          </cell>
          <cell r="AT144">
            <v>21.205174093809141</v>
          </cell>
          <cell r="AU144">
            <v>15.802424560557412</v>
          </cell>
          <cell r="AV144">
            <v>10.783051510926835</v>
          </cell>
          <cell r="AW144">
            <v>40665</v>
          </cell>
        </row>
        <row r="145">
          <cell r="C145" t="str">
            <v>Perlight - PLM-240 Series_S</v>
          </cell>
          <cell r="D145" t="str">
            <v>Standard Claw</v>
          </cell>
          <cell r="E145">
            <v>5000005</v>
          </cell>
          <cell r="F145">
            <v>39.055118110236222</v>
          </cell>
          <cell r="G145">
            <v>64.960629921259851</v>
          </cell>
          <cell r="H145">
            <v>1.8110236220472442</v>
          </cell>
          <cell r="I145">
            <v>200010704</v>
          </cell>
          <cell r="J145">
            <v>200010804</v>
          </cell>
          <cell r="K145">
            <v>200013804</v>
          </cell>
          <cell r="L145">
            <v>200016304</v>
          </cell>
          <cell r="M145">
            <v>500012569</v>
          </cell>
          <cell r="N145">
            <v>500012669</v>
          </cell>
          <cell r="O145">
            <v>500012569</v>
          </cell>
          <cell r="P145">
            <v>500012669</v>
          </cell>
          <cell r="Q145">
            <v>11.698754267040043</v>
          </cell>
          <cell r="R145">
            <v>10.455004839041191</v>
          </cell>
          <cell r="S145">
            <v>4.9330437584696041</v>
          </cell>
          <cell r="T145">
            <v>4.9330437584696041</v>
          </cell>
          <cell r="U145">
            <v>11.698754267040043</v>
          </cell>
          <cell r="V145">
            <v>10.455004839041191</v>
          </cell>
          <cell r="W145">
            <v>50</v>
          </cell>
          <cell r="X145">
            <v>35.2992125984252</v>
          </cell>
          <cell r="Y145">
            <v>66.43208661417323</v>
          </cell>
          <cell r="Z145">
            <v>35.2992125984252</v>
          </cell>
          <cell r="AA145">
            <v>66.43208661417323</v>
          </cell>
          <cell r="AB145">
            <v>35.2992125984252</v>
          </cell>
          <cell r="AC145">
            <v>66.43208661417323</v>
          </cell>
          <cell r="AD145">
            <v>66.43208661417323</v>
          </cell>
          <cell r="AE145">
            <v>65.460629921259851</v>
          </cell>
          <cell r="AF145">
            <v>23.460629921259848</v>
          </cell>
          <cell r="AG145">
            <v>39.925196850393704</v>
          </cell>
          <cell r="AH145" t="str">
            <v>N</v>
          </cell>
          <cell r="AI145">
            <v>46.305</v>
          </cell>
          <cell r="AJ145">
            <v>21</v>
          </cell>
          <cell r="AK145" t="str">
            <v>TBD</v>
          </cell>
          <cell r="AL145" t="str">
            <v>Y</v>
          </cell>
          <cell r="AM145">
            <v>200018403</v>
          </cell>
          <cell r="AN145">
            <v>200028403</v>
          </cell>
          <cell r="AO145">
            <v>200018303</v>
          </cell>
          <cell r="AP145">
            <v>200028303</v>
          </cell>
          <cell r="AQ145">
            <v>200018203</v>
          </cell>
          <cell r="AR145">
            <v>200028203</v>
          </cell>
          <cell r="AS145">
            <v>14.555555555555557</v>
          </cell>
          <cell r="AT145">
            <v>20.069602586497279</v>
          </cell>
          <cell r="AU145">
            <v>14.97260437224279</v>
          </cell>
          <cell r="AV145">
            <v>10.224017732239455</v>
          </cell>
          <cell r="AW145">
            <v>40665</v>
          </cell>
        </row>
        <row r="146">
          <cell r="C146" t="str">
            <v>Perlight - PLM-300 Series_S</v>
          </cell>
          <cell r="D146" t="str">
            <v>Standard Claw</v>
          </cell>
          <cell r="E146">
            <v>5000005</v>
          </cell>
          <cell r="F146">
            <v>39.055118110236222</v>
          </cell>
          <cell r="G146">
            <v>77.401574803149614</v>
          </cell>
          <cell r="H146">
            <v>1.9685039370078741</v>
          </cell>
          <cell r="I146">
            <v>200010707</v>
          </cell>
          <cell r="J146">
            <v>200010807</v>
          </cell>
          <cell r="K146">
            <v>200013807</v>
          </cell>
          <cell r="L146">
            <v>200016307</v>
          </cell>
          <cell r="M146">
            <v>500012581</v>
          </cell>
          <cell r="N146">
            <v>500012681</v>
          </cell>
          <cell r="O146">
            <v>500012581</v>
          </cell>
          <cell r="P146">
            <v>500012681</v>
          </cell>
          <cell r="Q146">
            <v>11.698754267040043</v>
          </cell>
          <cell r="R146">
            <v>10.455004839041191</v>
          </cell>
          <cell r="S146">
            <v>4.9330437584696041</v>
          </cell>
          <cell r="T146">
            <v>4.9330437584696041</v>
          </cell>
          <cell r="U146">
            <v>11.698754267040043</v>
          </cell>
          <cell r="V146">
            <v>10.455004839041191</v>
          </cell>
          <cell r="W146">
            <v>50</v>
          </cell>
          <cell r="X146">
            <v>35.2992125984252</v>
          </cell>
          <cell r="Y146">
            <v>78.873031496062993</v>
          </cell>
          <cell r="Z146">
            <v>35.2992125984252</v>
          </cell>
          <cell r="AA146">
            <v>78.873031496062993</v>
          </cell>
          <cell r="AB146">
            <v>35.2992125984252</v>
          </cell>
          <cell r="AC146">
            <v>78.873031496062993</v>
          </cell>
          <cell r="AD146">
            <v>78.873031496062993</v>
          </cell>
          <cell r="AE146">
            <v>77.901574803149614</v>
          </cell>
          <cell r="AF146">
            <v>35.901574803149614</v>
          </cell>
          <cell r="AG146">
            <v>39.925196850393704</v>
          </cell>
          <cell r="AH146" t="str">
            <v>N</v>
          </cell>
          <cell r="AI146">
            <v>59.535000000000004</v>
          </cell>
          <cell r="AJ146">
            <v>27</v>
          </cell>
          <cell r="AK146" t="str">
            <v>TBD</v>
          </cell>
          <cell r="AL146" t="str">
            <v>Y</v>
          </cell>
          <cell r="AM146">
            <v>200018407</v>
          </cell>
          <cell r="AN146">
            <v>200028407</v>
          </cell>
          <cell r="AO146">
            <v>200018307</v>
          </cell>
          <cell r="AP146">
            <v>200028307</v>
          </cell>
          <cell r="AQ146">
            <v>200018207</v>
          </cell>
          <cell r="AR146">
            <v>200028207</v>
          </cell>
          <cell r="AS146">
            <v>17.222222222222221</v>
          </cell>
          <cell r="AT146">
            <v>20.069602586497279</v>
          </cell>
          <cell r="AU146">
            <v>14.97260437224279</v>
          </cell>
          <cell r="AV146">
            <v>10.224017732239455</v>
          </cell>
          <cell r="AW146">
            <v>40665</v>
          </cell>
        </row>
        <row r="147">
          <cell r="C147" t="str">
            <v>Perlight - PLM-P200 Series_S</v>
          </cell>
          <cell r="D147" t="str">
            <v>Standard Claw</v>
          </cell>
          <cell r="E147">
            <v>5000005</v>
          </cell>
          <cell r="F147">
            <v>38.976377952755911</v>
          </cell>
          <cell r="G147">
            <v>58.858267716535437</v>
          </cell>
          <cell r="H147">
            <v>1.8110236220472442</v>
          </cell>
          <cell r="I147">
            <v>200010703</v>
          </cell>
          <cell r="J147">
            <v>200010803</v>
          </cell>
          <cell r="K147">
            <v>200013803</v>
          </cell>
          <cell r="L147">
            <v>200016303</v>
          </cell>
          <cell r="M147">
            <v>500012563</v>
          </cell>
          <cell r="N147">
            <v>500012663</v>
          </cell>
          <cell r="O147">
            <v>500012563</v>
          </cell>
          <cell r="P147">
            <v>500012663</v>
          </cell>
          <cell r="Q147">
            <v>11.725279318414811</v>
          </cell>
          <cell r="R147">
            <v>10.478642249707667</v>
          </cell>
          <cell r="S147">
            <v>4.9440996728708777</v>
          </cell>
          <cell r="T147">
            <v>4.9440996728708777</v>
          </cell>
          <cell r="U147">
            <v>11.725279318414811</v>
          </cell>
          <cell r="V147">
            <v>10.478642249707667</v>
          </cell>
          <cell r="W147">
            <v>50</v>
          </cell>
          <cell r="X147">
            <v>35.220472440944881</v>
          </cell>
          <cell r="Y147">
            <v>60.329724409448822</v>
          </cell>
          <cell r="Z147">
            <v>35.220472440944881</v>
          </cell>
          <cell r="AA147">
            <v>60.329724409448822</v>
          </cell>
          <cell r="AB147">
            <v>35.220472440944881</v>
          </cell>
          <cell r="AC147">
            <v>60.329724409448822</v>
          </cell>
          <cell r="AD147">
            <v>60.329724409448822</v>
          </cell>
          <cell r="AE147">
            <v>59.358267716535437</v>
          </cell>
          <cell r="AF147">
            <v>17.358267716535437</v>
          </cell>
          <cell r="AG147">
            <v>39.846456692913392</v>
          </cell>
          <cell r="AH147" t="str">
            <v>N</v>
          </cell>
          <cell r="AI147">
            <v>37.484999999999999</v>
          </cell>
          <cell r="AJ147">
            <v>17</v>
          </cell>
          <cell r="AK147" t="str">
            <v>TBD</v>
          </cell>
          <cell r="AL147" t="str">
            <v>Y</v>
          </cell>
          <cell r="AM147">
            <v>200018401</v>
          </cell>
          <cell r="AN147">
            <v>200028401</v>
          </cell>
          <cell r="AO147">
            <v>200018301</v>
          </cell>
          <cell r="AP147">
            <v>200028301</v>
          </cell>
          <cell r="AQ147">
            <v>200018201</v>
          </cell>
          <cell r="AR147">
            <v>200028201</v>
          </cell>
          <cell r="AS147">
            <v>13.22222222222222</v>
          </cell>
          <cell r="AT147">
            <v>20.110973161651764</v>
          </cell>
          <cell r="AU147">
            <v>15.002886128524771</v>
          </cell>
          <cell r="AV147">
            <v>10.244439167746933</v>
          </cell>
          <cell r="AW147">
            <v>40665</v>
          </cell>
        </row>
        <row r="148">
          <cell r="C148" t="str">
            <v>Perlight - PLM-P230 Series_S</v>
          </cell>
          <cell r="D148" t="str">
            <v>Standard Claw</v>
          </cell>
          <cell r="E148">
            <v>5000005</v>
          </cell>
          <cell r="F148">
            <v>39.055118110236222</v>
          </cell>
          <cell r="G148">
            <v>64.960629921259851</v>
          </cell>
          <cell r="H148">
            <v>1.8110236220472442</v>
          </cell>
          <cell r="I148">
            <v>200010704</v>
          </cell>
          <cell r="J148">
            <v>200010804</v>
          </cell>
          <cell r="K148">
            <v>200013804</v>
          </cell>
          <cell r="L148">
            <v>200016304</v>
          </cell>
          <cell r="M148">
            <v>500012569</v>
          </cell>
          <cell r="N148">
            <v>500012669</v>
          </cell>
          <cell r="O148">
            <v>500012569</v>
          </cell>
          <cell r="P148">
            <v>500012669</v>
          </cell>
          <cell r="Q148">
            <v>11.698754267040043</v>
          </cell>
          <cell r="R148">
            <v>10.455004839041191</v>
          </cell>
          <cell r="S148">
            <v>4.9330437584696041</v>
          </cell>
          <cell r="T148">
            <v>4.9330437584696041</v>
          </cell>
          <cell r="U148">
            <v>11.698754267040043</v>
          </cell>
          <cell r="V148">
            <v>10.455004839041191</v>
          </cell>
          <cell r="W148">
            <v>50</v>
          </cell>
          <cell r="X148">
            <v>35.2992125984252</v>
          </cell>
          <cell r="Y148">
            <v>66.43208661417323</v>
          </cell>
          <cell r="Z148">
            <v>35.2992125984252</v>
          </cell>
          <cell r="AA148">
            <v>66.43208661417323</v>
          </cell>
          <cell r="AB148">
            <v>35.2992125984252</v>
          </cell>
          <cell r="AC148">
            <v>66.43208661417323</v>
          </cell>
          <cell r="AD148">
            <v>66.43208661417323</v>
          </cell>
          <cell r="AE148">
            <v>65.460629921259851</v>
          </cell>
          <cell r="AF148">
            <v>23.460629921259848</v>
          </cell>
          <cell r="AG148">
            <v>39.925196850393704</v>
          </cell>
          <cell r="AH148" t="str">
            <v>N</v>
          </cell>
          <cell r="AI148">
            <v>46.305</v>
          </cell>
          <cell r="AJ148">
            <v>21</v>
          </cell>
          <cell r="AK148" t="str">
            <v>TBD</v>
          </cell>
          <cell r="AL148" t="str">
            <v>Y</v>
          </cell>
          <cell r="AM148">
            <v>200018403</v>
          </cell>
          <cell r="AN148">
            <v>200028403</v>
          </cell>
          <cell r="AO148">
            <v>200018303</v>
          </cell>
          <cell r="AP148">
            <v>200028303</v>
          </cell>
          <cell r="AQ148">
            <v>200018203</v>
          </cell>
          <cell r="AR148">
            <v>200028203</v>
          </cell>
          <cell r="AS148">
            <v>14.555555555555557</v>
          </cell>
          <cell r="AT148">
            <v>20.069602586497279</v>
          </cell>
          <cell r="AU148">
            <v>14.97260437224279</v>
          </cell>
          <cell r="AV148">
            <v>10.224017732239455</v>
          </cell>
          <cell r="AW148">
            <v>40665</v>
          </cell>
        </row>
        <row r="149">
          <cell r="C149" t="str">
            <v>Perlight - PLM-P280 Series_S</v>
          </cell>
          <cell r="D149" t="str">
            <v>Standard Claw</v>
          </cell>
          <cell r="E149">
            <v>5000005</v>
          </cell>
          <cell r="F149">
            <v>39.055118110236222</v>
          </cell>
          <cell r="G149">
            <v>77.401574803149614</v>
          </cell>
          <cell r="H149">
            <v>1.9685039370078741</v>
          </cell>
          <cell r="I149">
            <v>200010707</v>
          </cell>
          <cell r="J149">
            <v>200010807</v>
          </cell>
          <cell r="K149">
            <v>200013807</v>
          </cell>
          <cell r="L149">
            <v>200016307</v>
          </cell>
          <cell r="M149">
            <v>500012581</v>
          </cell>
          <cell r="N149">
            <v>500012681</v>
          </cell>
          <cell r="O149">
            <v>500012581</v>
          </cell>
          <cell r="P149">
            <v>500012681</v>
          </cell>
          <cell r="Q149">
            <v>11.698754267040043</v>
          </cell>
          <cell r="R149">
            <v>10.455004839041191</v>
          </cell>
          <cell r="S149">
            <v>4.9330437584696041</v>
          </cell>
          <cell r="T149">
            <v>4.9330437584696041</v>
          </cell>
          <cell r="U149">
            <v>11.698754267040043</v>
          </cell>
          <cell r="V149">
            <v>10.455004839041191</v>
          </cell>
          <cell r="W149">
            <v>50</v>
          </cell>
          <cell r="X149">
            <v>35.2992125984252</v>
          </cell>
          <cell r="Y149">
            <v>78.873031496062993</v>
          </cell>
          <cell r="Z149">
            <v>35.2992125984252</v>
          </cell>
          <cell r="AA149">
            <v>78.873031496062993</v>
          </cell>
          <cell r="AB149">
            <v>35.2992125984252</v>
          </cell>
          <cell r="AC149">
            <v>78.873031496062993</v>
          </cell>
          <cell r="AD149">
            <v>78.873031496062993</v>
          </cell>
          <cell r="AE149">
            <v>77.901574803149614</v>
          </cell>
          <cell r="AF149">
            <v>35.901574803149614</v>
          </cell>
          <cell r="AG149">
            <v>39.925196850393704</v>
          </cell>
          <cell r="AH149" t="str">
            <v>N</v>
          </cell>
          <cell r="AI149">
            <v>59.535000000000004</v>
          </cell>
          <cell r="AJ149">
            <v>27</v>
          </cell>
          <cell r="AK149" t="str">
            <v>TBD</v>
          </cell>
          <cell r="AL149" t="str">
            <v>Y</v>
          </cell>
          <cell r="AM149">
            <v>200018407</v>
          </cell>
          <cell r="AN149">
            <v>200028407</v>
          </cell>
          <cell r="AO149">
            <v>200018307</v>
          </cell>
          <cell r="AP149">
            <v>200028307</v>
          </cell>
          <cell r="AQ149">
            <v>200018207</v>
          </cell>
          <cell r="AR149">
            <v>200028207</v>
          </cell>
          <cell r="AS149">
            <v>17.222222222222221</v>
          </cell>
          <cell r="AT149">
            <v>20.069602586497279</v>
          </cell>
          <cell r="AU149">
            <v>14.97260437224279</v>
          </cell>
          <cell r="AV149">
            <v>10.224017732239455</v>
          </cell>
          <cell r="AW149">
            <v>40665</v>
          </cell>
        </row>
        <row r="150">
          <cell r="C150" t="str">
            <v>Phono Solar - PS 235-265 P-M 20 U_S</v>
          </cell>
          <cell r="D150" t="str">
            <v>Standard Claw</v>
          </cell>
          <cell r="E150">
            <v>5000005</v>
          </cell>
          <cell r="F150">
            <v>39.055118110236222</v>
          </cell>
          <cell r="G150">
            <v>64.566929133858267</v>
          </cell>
          <cell r="H150">
            <v>1.7716535433070868</v>
          </cell>
          <cell r="I150">
            <v>200010704</v>
          </cell>
          <cell r="J150">
            <v>200010804</v>
          </cell>
          <cell r="K150">
            <v>200013804</v>
          </cell>
          <cell r="L150">
            <v>200016304</v>
          </cell>
          <cell r="M150">
            <v>500012568</v>
          </cell>
          <cell r="N150">
            <v>500012668</v>
          </cell>
          <cell r="O150">
            <v>500012569</v>
          </cell>
          <cell r="P150">
            <v>500012669</v>
          </cell>
          <cell r="Q150">
            <v>11.698754267040043</v>
          </cell>
          <cell r="R150">
            <v>10.455004839041191</v>
          </cell>
          <cell r="S150">
            <v>4.9330437584696041</v>
          </cell>
          <cell r="T150">
            <v>4.9330437584696041</v>
          </cell>
          <cell r="U150">
            <v>11.698754267040043</v>
          </cell>
          <cell r="V150">
            <v>10.455004839041191</v>
          </cell>
          <cell r="W150">
            <v>50</v>
          </cell>
          <cell r="X150">
            <v>35.2992125984252</v>
          </cell>
          <cell r="Y150">
            <v>66.038385826771659</v>
          </cell>
          <cell r="Z150">
            <v>35.2992125984252</v>
          </cell>
          <cell r="AA150">
            <v>66.038385826771659</v>
          </cell>
          <cell r="AB150">
            <v>35.2992125984252</v>
          </cell>
          <cell r="AC150">
            <v>66.038385826771659</v>
          </cell>
          <cell r="AD150">
            <v>66.038385826771659</v>
          </cell>
          <cell r="AE150">
            <v>65.066929133858267</v>
          </cell>
          <cell r="AF150">
            <v>23.066929133858274</v>
          </cell>
          <cell r="AG150">
            <v>39.925196850393704</v>
          </cell>
          <cell r="AH150" t="str">
            <v>N</v>
          </cell>
          <cell r="AI150">
            <v>44.1</v>
          </cell>
          <cell r="AJ150">
            <v>20</v>
          </cell>
          <cell r="AK150" t="str">
            <v>TBD</v>
          </cell>
          <cell r="AL150" t="str">
            <v>Y</v>
          </cell>
          <cell r="AM150">
            <v>200018403</v>
          </cell>
          <cell r="AN150">
            <v>200028403</v>
          </cell>
          <cell r="AO150">
            <v>200018303</v>
          </cell>
          <cell r="AP150">
            <v>200028303</v>
          </cell>
          <cell r="AQ150">
            <v>200018203</v>
          </cell>
          <cell r="AR150">
            <v>200028203</v>
          </cell>
          <cell r="AS150">
            <v>14.555555555555557</v>
          </cell>
          <cell r="AT150">
            <v>20.069602586497279</v>
          </cell>
          <cell r="AU150">
            <v>14.97260437224279</v>
          </cell>
          <cell r="AV150">
            <v>10.224017732239455</v>
          </cell>
          <cell r="AW150">
            <v>41192</v>
          </cell>
        </row>
        <row r="151">
          <cell r="C151" t="str">
            <v>Q.Cells - QPEAK S 195-205_S</v>
          </cell>
          <cell r="D151" t="str">
            <v>Standard Claw</v>
          </cell>
          <cell r="E151">
            <v>5000005</v>
          </cell>
          <cell r="F151">
            <v>39.370078740157481</v>
          </cell>
          <cell r="G151">
            <v>53.070866141732289</v>
          </cell>
          <cell r="H151">
            <v>1.9685039370078741</v>
          </cell>
          <cell r="I151">
            <v>200010701</v>
          </cell>
          <cell r="J151">
            <v>200010801</v>
          </cell>
          <cell r="K151">
            <v>200013801</v>
          </cell>
          <cell r="L151">
            <v>200016301</v>
          </cell>
          <cell r="M151">
            <v>500012557</v>
          </cell>
          <cell r="N151">
            <v>500012657</v>
          </cell>
          <cell r="O151">
            <v>500012558</v>
          </cell>
          <cell r="P151">
            <v>500012658</v>
          </cell>
          <cell r="Q151">
            <v>11.465358118784648</v>
          </cell>
          <cell r="R151">
            <v>10.246997301541942</v>
          </cell>
          <cell r="S151">
            <v>4.835724312021207</v>
          </cell>
          <cell r="T151">
            <v>4.835724312021207</v>
          </cell>
          <cell r="U151">
            <v>11.465358118784648</v>
          </cell>
          <cell r="V151">
            <v>10.246997301541942</v>
          </cell>
          <cell r="W151">
            <v>50</v>
          </cell>
          <cell r="X151">
            <v>36.007874015748037</v>
          </cell>
          <cell r="Y151">
            <v>54.936023622047244</v>
          </cell>
          <cell r="Z151">
            <v>36.007874015748037</v>
          </cell>
          <cell r="AA151">
            <v>54.936023622047244</v>
          </cell>
          <cell r="AB151">
            <v>36.007874015748037</v>
          </cell>
          <cell r="AC151">
            <v>54.936023622047244</v>
          </cell>
          <cell r="AD151">
            <v>54.936023622047244</v>
          </cell>
          <cell r="AE151" t="str">
            <v>NA</v>
          </cell>
          <cell r="AF151" t="str">
            <v>NA</v>
          </cell>
          <cell r="AG151" t="str">
            <v>NA</v>
          </cell>
          <cell r="AH151" t="str">
            <v>N</v>
          </cell>
          <cell r="AI151">
            <v>35.28</v>
          </cell>
          <cell r="AJ151">
            <v>16</v>
          </cell>
          <cell r="AK151" t="str">
            <v>TBD</v>
          </cell>
          <cell r="AL151" t="str">
            <v>Y</v>
          </cell>
          <cell r="AM151" t="str">
            <v>2000184TBD</v>
          </cell>
          <cell r="AN151" t="str">
            <v>2000284TBD</v>
          </cell>
          <cell r="AO151" t="str">
            <v>2000183TBD</v>
          </cell>
          <cell r="AP151" t="str">
            <v>2000283TBD</v>
          </cell>
          <cell r="AQ151" t="str">
            <v>2000182TBD</v>
          </cell>
          <cell r="AR151" t="str">
            <v>2000282TBD</v>
          </cell>
          <cell r="AS151" t="str">
            <v>TBD</v>
          </cell>
          <cell r="AT151" t="str">
            <v>NA</v>
          </cell>
          <cell r="AU151" t="str">
            <v>NA</v>
          </cell>
          <cell r="AV151" t="str">
            <v>NA</v>
          </cell>
          <cell r="AW151">
            <v>41193</v>
          </cell>
        </row>
        <row r="152">
          <cell r="C152" t="str">
            <v>Q.Cells - QPEAK 230-265_S</v>
          </cell>
          <cell r="D152" t="str">
            <v>Standard Claw</v>
          </cell>
          <cell r="E152">
            <v>5000005</v>
          </cell>
          <cell r="F152">
            <v>39.370078740157481</v>
          </cell>
          <cell r="G152">
            <v>65.748031496062993</v>
          </cell>
          <cell r="H152">
            <v>1.9685039370078741</v>
          </cell>
          <cell r="I152">
            <v>200010705</v>
          </cell>
          <cell r="J152">
            <v>200010805</v>
          </cell>
          <cell r="K152">
            <v>200013805</v>
          </cell>
          <cell r="L152">
            <v>200016305</v>
          </cell>
          <cell r="M152">
            <v>500012570</v>
          </cell>
          <cell r="N152">
            <v>500012670</v>
          </cell>
          <cell r="O152">
            <v>500012570</v>
          </cell>
          <cell r="P152">
            <v>500012670</v>
          </cell>
          <cell r="Q152">
            <v>11.465358118784648</v>
          </cell>
          <cell r="R152">
            <v>10.246997301541942</v>
          </cell>
          <cell r="S152">
            <v>4.835724312021207</v>
          </cell>
          <cell r="T152">
            <v>4.835724312021207</v>
          </cell>
          <cell r="U152">
            <v>11.465358118784648</v>
          </cell>
          <cell r="V152">
            <v>10.246997301541942</v>
          </cell>
          <cell r="W152">
            <v>50</v>
          </cell>
          <cell r="X152">
            <v>36.007874015748037</v>
          </cell>
          <cell r="Y152">
            <v>67.613188976377955</v>
          </cell>
          <cell r="Z152">
            <v>36.007874015748037</v>
          </cell>
          <cell r="AA152">
            <v>67.613188976377955</v>
          </cell>
          <cell r="AB152">
            <v>36.007874015748037</v>
          </cell>
          <cell r="AC152">
            <v>67.613188976377955</v>
          </cell>
          <cell r="AD152">
            <v>67.613188976377955</v>
          </cell>
          <cell r="AE152">
            <v>66.248031496062993</v>
          </cell>
          <cell r="AF152">
            <v>24.248031496062996</v>
          </cell>
          <cell r="AG152">
            <v>40.633858267716533</v>
          </cell>
          <cell r="AH152" t="str">
            <v>N</v>
          </cell>
          <cell r="AI152">
            <v>44.1</v>
          </cell>
          <cell r="AJ152">
            <v>20</v>
          </cell>
          <cell r="AK152" t="str">
            <v>TBD</v>
          </cell>
          <cell r="AL152" t="str">
            <v>Y</v>
          </cell>
          <cell r="AM152">
            <v>200018403</v>
          </cell>
          <cell r="AN152">
            <v>200028403</v>
          </cell>
          <cell r="AO152">
            <v>200018303</v>
          </cell>
          <cell r="AP152">
            <v>200028303</v>
          </cell>
          <cell r="AQ152">
            <v>200018203</v>
          </cell>
          <cell r="AR152">
            <v>200028203</v>
          </cell>
          <cell r="AS152">
            <v>14.555555555555557</v>
          </cell>
          <cell r="AT152">
            <v>19.704952178195999</v>
          </cell>
          <cell r="AU152">
            <v>14.705534151836694</v>
          </cell>
          <cell r="AV152">
            <v>10.043842940733546</v>
          </cell>
          <cell r="AW152">
            <v>41193</v>
          </cell>
        </row>
        <row r="153">
          <cell r="C153" t="str">
            <v>Q.Cells - QPRO-G2 230-265_S</v>
          </cell>
          <cell r="D153" t="str">
            <v>Standard Claw</v>
          </cell>
          <cell r="E153">
            <v>5000005</v>
          </cell>
          <cell r="F153">
            <v>39.370078740157481</v>
          </cell>
          <cell r="G153">
            <v>65.748031496062993</v>
          </cell>
          <cell r="H153">
            <v>1.9685039370078741</v>
          </cell>
          <cell r="I153">
            <v>200010705</v>
          </cell>
          <cell r="J153">
            <v>200010805</v>
          </cell>
          <cell r="K153">
            <v>200013805</v>
          </cell>
          <cell r="L153">
            <v>200016305</v>
          </cell>
          <cell r="M153">
            <v>500012570</v>
          </cell>
          <cell r="N153">
            <v>500012670</v>
          </cell>
          <cell r="O153">
            <v>500012570</v>
          </cell>
          <cell r="P153">
            <v>500012670</v>
          </cell>
          <cell r="Q153">
            <v>11.465358118784648</v>
          </cell>
          <cell r="R153">
            <v>10.246997301541942</v>
          </cell>
          <cell r="S153">
            <v>4.835724312021207</v>
          </cell>
          <cell r="T153">
            <v>4.835724312021207</v>
          </cell>
          <cell r="U153">
            <v>11.465358118784648</v>
          </cell>
          <cell r="V153">
            <v>10.246997301541942</v>
          </cell>
          <cell r="W153">
            <v>50</v>
          </cell>
          <cell r="X153">
            <v>36.007874015748037</v>
          </cell>
          <cell r="Y153">
            <v>67.613188976377955</v>
          </cell>
          <cell r="Z153">
            <v>36.007874015748037</v>
          </cell>
          <cell r="AA153">
            <v>67.613188976377955</v>
          </cell>
          <cell r="AB153">
            <v>36.007874015748037</v>
          </cell>
          <cell r="AC153">
            <v>67.613188976377955</v>
          </cell>
          <cell r="AD153">
            <v>67.613188976377955</v>
          </cell>
          <cell r="AE153">
            <v>66.248031496062993</v>
          </cell>
          <cell r="AF153">
            <v>24.248031496062996</v>
          </cell>
          <cell r="AG153">
            <v>40.633858267716533</v>
          </cell>
          <cell r="AH153" t="str">
            <v>N</v>
          </cell>
          <cell r="AI153">
            <v>44.1</v>
          </cell>
          <cell r="AJ153">
            <v>20</v>
          </cell>
          <cell r="AK153" t="str">
            <v>TBD</v>
          </cell>
          <cell r="AL153" t="str">
            <v>Y</v>
          </cell>
          <cell r="AM153">
            <v>200018403</v>
          </cell>
          <cell r="AN153">
            <v>200028403</v>
          </cell>
          <cell r="AO153">
            <v>200018303</v>
          </cell>
          <cell r="AP153">
            <v>200028303</v>
          </cell>
          <cell r="AQ153">
            <v>200018203</v>
          </cell>
          <cell r="AR153">
            <v>200028203</v>
          </cell>
          <cell r="AS153">
            <v>14.555555555555557</v>
          </cell>
          <cell r="AT153">
            <v>19.704952178195999</v>
          </cell>
          <cell r="AU153">
            <v>14.705534151836694</v>
          </cell>
          <cell r="AV153">
            <v>10.043842940733546</v>
          </cell>
          <cell r="AW153">
            <v>41193</v>
          </cell>
        </row>
        <row r="154">
          <cell r="C154" t="str">
            <v>REC Solar - REC205-230AE_S</v>
          </cell>
          <cell r="D154" t="str">
            <v>Standard Claw</v>
          </cell>
          <cell r="E154">
            <v>5000005</v>
          </cell>
          <cell r="F154">
            <v>39.015748031496067</v>
          </cell>
          <cell r="G154">
            <v>65.551181102362207</v>
          </cell>
          <cell r="H154">
            <v>1.6929133858267718</v>
          </cell>
          <cell r="I154">
            <v>200010705</v>
          </cell>
          <cell r="J154">
            <v>200010805</v>
          </cell>
          <cell r="K154">
            <v>200013804</v>
          </cell>
          <cell r="L154">
            <v>200016304</v>
          </cell>
          <cell r="M154">
            <v>500012569</v>
          </cell>
          <cell r="N154">
            <v>500012669</v>
          </cell>
          <cell r="O154">
            <v>500012570</v>
          </cell>
          <cell r="P154">
            <v>500012670</v>
          </cell>
          <cell r="Q154">
            <v>11.712001665978303</v>
          </cell>
          <cell r="R154">
            <v>10.466810122774502</v>
          </cell>
          <cell r="S154">
            <v>4.9385655202770034</v>
          </cell>
          <cell r="T154">
            <v>4.9385655202770034</v>
          </cell>
          <cell r="U154">
            <v>11.712001665978303</v>
          </cell>
          <cell r="V154">
            <v>10.466810122774502</v>
          </cell>
          <cell r="W154">
            <v>50</v>
          </cell>
          <cell r="X154">
            <v>35.259842519685044</v>
          </cell>
          <cell r="Y154">
            <v>67.0226377952756</v>
          </cell>
          <cell r="Z154">
            <v>35.259842519685044</v>
          </cell>
          <cell r="AA154">
            <v>67.0226377952756</v>
          </cell>
          <cell r="AB154">
            <v>35.259842519685044</v>
          </cell>
          <cell r="AC154">
            <v>67.0226377952756</v>
          </cell>
          <cell r="AD154">
            <v>67.0226377952756</v>
          </cell>
          <cell r="AE154">
            <v>66.051181102362207</v>
          </cell>
          <cell r="AF154">
            <v>24.051181102362211</v>
          </cell>
          <cell r="AG154">
            <v>39.885826771653548</v>
          </cell>
          <cell r="AH154" t="str">
            <v>N</v>
          </cell>
          <cell r="AI154">
            <v>48.510000000000005</v>
          </cell>
          <cell r="AJ154">
            <v>22</v>
          </cell>
          <cell r="AK154" t="str">
            <v>TBD</v>
          </cell>
          <cell r="AL154" t="str">
            <v>Y</v>
          </cell>
          <cell r="AM154">
            <v>200018403</v>
          </cell>
          <cell r="AN154">
            <v>200028403</v>
          </cell>
          <cell r="AO154">
            <v>200018303</v>
          </cell>
          <cell r="AP154">
            <v>200028303</v>
          </cell>
          <cell r="AQ154">
            <v>200018203</v>
          </cell>
          <cell r="AR154">
            <v>200028203</v>
          </cell>
          <cell r="AS154">
            <v>14.555555555555557</v>
          </cell>
          <cell r="AT154">
            <v>20.090266090541991</v>
          </cell>
          <cell r="AU154">
            <v>14.987729769699868</v>
          </cell>
          <cell r="AV154">
            <v>10.23421820704114</v>
          </cell>
          <cell r="AW154">
            <v>40665</v>
          </cell>
        </row>
        <row r="155">
          <cell r="C155" t="str">
            <v>REC Solar - REC 220-245 PE _S</v>
          </cell>
          <cell r="D155" t="str">
            <v>Standard Claw</v>
          </cell>
          <cell r="E155">
            <v>5000005</v>
          </cell>
          <cell r="F155">
            <v>39.015748031496067</v>
          </cell>
          <cell r="G155">
            <v>65.551181102362207</v>
          </cell>
          <cell r="H155">
            <v>1.4960629921259843</v>
          </cell>
          <cell r="I155">
            <v>200010705</v>
          </cell>
          <cell r="J155">
            <v>200010805</v>
          </cell>
          <cell r="K155">
            <v>200013805</v>
          </cell>
          <cell r="L155">
            <v>200016305</v>
          </cell>
          <cell r="M155">
            <v>500012570</v>
          </cell>
          <cell r="N155">
            <v>500012670</v>
          </cell>
          <cell r="O155">
            <v>500012570</v>
          </cell>
          <cell r="P155">
            <v>500012670</v>
          </cell>
          <cell r="Q155">
            <v>11.529244460694249</v>
          </cell>
          <cell r="R155">
            <v>10.303937693229198</v>
          </cell>
          <cell r="S155">
            <v>4.8623697312523513</v>
          </cell>
          <cell r="T155">
            <v>4.8623697312523513</v>
          </cell>
          <cell r="U155">
            <v>11.529244460694249</v>
          </cell>
          <cell r="V155">
            <v>10.303937693229198</v>
          </cell>
          <cell r="W155">
            <v>50</v>
          </cell>
          <cell r="X155">
            <v>35.811023622047244</v>
          </cell>
          <cell r="Y155">
            <v>67.573818897637793</v>
          </cell>
          <cell r="Z155">
            <v>35.811023622047244</v>
          </cell>
          <cell r="AA155">
            <v>67.573818897637793</v>
          </cell>
          <cell r="AB155">
            <v>35.811023622047244</v>
          </cell>
          <cell r="AC155">
            <v>67.573818897637793</v>
          </cell>
          <cell r="AD155">
            <v>67.573818897637793</v>
          </cell>
          <cell r="AE155">
            <v>66.051181102362207</v>
          </cell>
          <cell r="AF155">
            <v>24.051181102362211</v>
          </cell>
          <cell r="AG155">
            <v>40.437007874015748</v>
          </cell>
          <cell r="AH155" t="str">
            <v>N</v>
          </cell>
          <cell r="AI155">
            <v>39.69</v>
          </cell>
          <cell r="AJ155">
            <v>18</v>
          </cell>
          <cell r="AK155" t="str">
            <v>TBD</v>
          </cell>
          <cell r="AL155" t="str">
            <v>Y</v>
          </cell>
          <cell r="AM155">
            <v>200018403</v>
          </cell>
          <cell r="AN155">
            <v>200028403</v>
          </cell>
          <cell r="AO155">
            <v>200018303</v>
          </cell>
          <cell r="AP155">
            <v>200028303</v>
          </cell>
          <cell r="AQ155">
            <v>200018203</v>
          </cell>
          <cell r="AR155">
            <v>200028203</v>
          </cell>
          <cell r="AS155">
            <v>14.555555555555557</v>
          </cell>
          <cell r="AT155">
            <v>19.804878512480695</v>
          </cell>
          <cell r="AU155">
            <v>14.778748578610935</v>
          </cell>
          <cell r="AV155">
            <v>10.093247965686727</v>
          </cell>
          <cell r="AW155">
            <v>41261</v>
          </cell>
        </row>
        <row r="156">
          <cell r="C156" t="str">
            <v>Renogy - RNG 230-250 D-P_S</v>
          </cell>
          <cell r="D156" t="str">
            <v>Standard Claw</v>
          </cell>
          <cell r="E156">
            <v>5000005</v>
          </cell>
          <cell r="F156">
            <v>38.976377952755911</v>
          </cell>
          <cell r="G156">
            <v>64.960629921259851</v>
          </cell>
          <cell r="H156">
            <v>1.9685039370078741</v>
          </cell>
          <cell r="I156">
            <v>200010704</v>
          </cell>
          <cell r="J156">
            <v>200010804</v>
          </cell>
          <cell r="K156">
            <v>200013804</v>
          </cell>
          <cell r="L156">
            <v>200016304</v>
          </cell>
          <cell r="M156">
            <v>500012569</v>
          </cell>
          <cell r="N156">
            <v>500012669</v>
          </cell>
          <cell r="O156">
            <v>500012569</v>
          </cell>
          <cell r="P156">
            <v>500012669</v>
          </cell>
          <cell r="Q156">
            <v>11.725279318414811</v>
          </cell>
          <cell r="R156">
            <v>10.478642249707667</v>
          </cell>
          <cell r="S156">
            <v>4.9440996728708777</v>
          </cell>
          <cell r="T156">
            <v>4.9440996728708777</v>
          </cell>
          <cell r="U156">
            <v>11.725279318414811</v>
          </cell>
          <cell r="V156">
            <v>10.478642249707667</v>
          </cell>
          <cell r="W156">
            <v>50</v>
          </cell>
          <cell r="X156">
            <v>35.220472440944881</v>
          </cell>
          <cell r="Y156">
            <v>66.43208661417323</v>
          </cell>
          <cell r="Z156">
            <v>35.220472440944881</v>
          </cell>
          <cell r="AA156">
            <v>66.43208661417323</v>
          </cell>
          <cell r="AB156">
            <v>35.220472440944881</v>
          </cell>
          <cell r="AC156">
            <v>66.43208661417323</v>
          </cell>
          <cell r="AD156">
            <v>66.43208661417323</v>
          </cell>
          <cell r="AE156">
            <v>65.460629921259851</v>
          </cell>
          <cell r="AF156">
            <v>23.460629921259848</v>
          </cell>
          <cell r="AG156">
            <v>39.846456692913392</v>
          </cell>
          <cell r="AH156" t="str">
            <v>Y</v>
          </cell>
          <cell r="AI156">
            <v>41.895000000000003</v>
          </cell>
          <cell r="AJ156">
            <v>19</v>
          </cell>
          <cell r="AK156" t="str">
            <v>TBD</v>
          </cell>
          <cell r="AL156" t="str">
            <v>Y</v>
          </cell>
          <cell r="AM156">
            <v>200018403</v>
          </cell>
          <cell r="AN156">
            <v>200028403</v>
          </cell>
          <cell r="AO156">
            <v>200018303</v>
          </cell>
          <cell r="AP156">
            <v>200028303</v>
          </cell>
          <cell r="AQ156">
            <v>200018203</v>
          </cell>
          <cell r="AR156">
            <v>200028203</v>
          </cell>
          <cell r="AS156">
            <v>14.555555555555557</v>
          </cell>
          <cell r="AT156">
            <v>20.110973161651764</v>
          </cell>
          <cell r="AU156">
            <v>15.002886128524771</v>
          </cell>
          <cell r="AV156">
            <v>10.244439167746933</v>
          </cell>
          <cell r="AW156">
            <v>40980</v>
          </cell>
        </row>
        <row r="157">
          <cell r="C157" t="str">
            <v>Renogy - RNG 270-300 D-P_S</v>
          </cell>
          <cell r="D157" t="str">
            <v>Standard Claw</v>
          </cell>
          <cell r="E157">
            <v>5000005</v>
          </cell>
          <cell r="F157">
            <v>38.976377952755911</v>
          </cell>
          <cell r="G157">
            <v>76.929133858267718</v>
          </cell>
          <cell r="H157">
            <v>1.9685039370078741</v>
          </cell>
          <cell r="I157">
            <v>200010707</v>
          </cell>
          <cell r="J157">
            <v>200010807</v>
          </cell>
          <cell r="K157">
            <v>200013807</v>
          </cell>
          <cell r="L157">
            <v>200016307</v>
          </cell>
          <cell r="M157">
            <v>500012581</v>
          </cell>
          <cell r="N157">
            <v>500012681</v>
          </cell>
          <cell r="O157">
            <v>500012581</v>
          </cell>
          <cell r="P157">
            <v>500012681</v>
          </cell>
          <cell r="Q157">
            <v>11.725279318414811</v>
          </cell>
          <cell r="R157">
            <v>10.478642249707667</v>
          </cell>
          <cell r="S157">
            <v>4.9440996728708777</v>
          </cell>
          <cell r="T157">
            <v>4.9440996728708777</v>
          </cell>
          <cell r="U157">
            <v>11.725279318414811</v>
          </cell>
          <cell r="V157">
            <v>10.478642249707667</v>
          </cell>
          <cell r="W157">
            <v>40</v>
          </cell>
          <cell r="X157">
            <v>35.220472440944881</v>
          </cell>
          <cell r="Y157">
            <v>78.400590551181111</v>
          </cell>
          <cell r="Z157">
            <v>35.220472440944881</v>
          </cell>
          <cell r="AA157">
            <v>78.400590551181111</v>
          </cell>
          <cell r="AB157">
            <v>35.220472440944881</v>
          </cell>
          <cell r="AC157">
            <v>78.400590551181111</v>
          </cell>
          <cell r="AD157">
            <v>78.400590551181111</v>
          </cell>
          <cell r="AE157">
            <v>77.429133858267718</v>
          </cell>
          <cell r="AF157">
            <v>35.429133858267726</v>
          </cell>
          <cell r="AG157">
            <v>39.846456692913392</v>
          </cell>
          <cell r="AH157" t="str">
            <v>Y</v>
          </cell>
          <cell r="AI157">
            <v>50.715000000000003</v>
          </cell>
          <cell r="AJ157">
            <v>23</v>
          </cell>
          <cell r="AK157" t="str">
            <v>TBD</v>
          </cell>
          <cell r="AL157" t="str">
            <v>Y</v>
          </cell>
          <cell r="AM157">
            <v>200018407</v>
          </cell>
          <cell r="AN157">
            <v>200028407</v>
          </cell>
          <cell r="AO157">
            <v>200018307</v>
          </cell>
          <cell r="AP157">
            <v>200028307</v>
          </cell>
          <cell r="AQ157">
            <v>200018207</v>
          </cell>
          <cell r="AR157">
            <v>200028207</v>
          </cell>
          <cell r="AS157">
            <v>17.222222222222221</v>
          </cell>
          <cell r="AT157">
            <v>20.110973161651764</v>
          </cell>
          <cell r="AU157">
            <v>15.002886128524771</v>
          </cell>
          <cell r="AV157">
            <v>10.244439167746933</v>
          </cell>
          <cell r="AW157">
            <v>41026</v>
          </cell>
        </row>
        <row r="158">
          <cell r="C158" t="str">
            <v>S-Energy - SM-PC8 Rail 195-220_M</v>
          </cell>
          <cell r="D158" t="str">
            <v>Short Clamp Multi Claw</v>
          </cell>
          <cell r="E158">
            <v>500000701</v>
          </cell>
          <cell r="F158">
            <v>39.330708661417326</v>
          </cell>
          <cell r="G158">
            <v>59.251968503937015</v>
          </cell>
          <cell r="H158">
            <v>1.9685039370078741</v>
          </cell>
          <cell r="I158">
            <v>200010703</v>
          </cell>
          <cell r="J158">
            <v>200010803</v>
          </cell>
          <cell r="K158">
            <v>200013803</v>
          </cell>
          <cell r="L158">
            <v>200016303</v>
          </cell>
          <cell r="M158">
            <v>500012562</v>
          </cell>
          <cell r="N158">
            <v>500012662</v>
          </cell>
          <cell r="O158">
            <v>500012563</v>
          </cell>
          <cell r="P158">
            <v>500012663</v>
          </cell>
          <cell r="Q158">
            <v>10.974871106573744</v>
          </cell>
          <cell r="R158">
            <v>9.8097507734764164</v>
          </cell>
          <cell r="S158">
            <v>4.6309905154437647</v>
          </cell>
          <cell r="T158">
            <v>4.6309905154437647</v>
          </cell>
          <cell r="U158">
            <v>10.974871106573744</v>
          </cell>
          <cell r="V158">
            <v>9.8097507734764164</v>
          </cell>
          <cell r="W158">
            <v>30</v>
          </cell>
          <cell r="X158">
            <v>37.596062992125987</v>
          </cell>
          <cell r="Y158">
            <v>59.827362204724416</v>
          </cell>
          <cell r="Z158">
            <v>37.596062992125987</v>
          </cell>
          <cell r="AA158">
            <v>59.827362204724416</v>
          </cell>
          <cell r="AB158">
            <v>37.596062992125987</v>
          </cell>
          <cell r="AC158">
            <v>59.827362204724416</v>
          </cell>
          <cell r="AD158">
            <v>59.827362204724416</v>
          </cell>
          <cell r="AE158">
            <v>59.751968503937015</v>
          </cell>
          <cell r="AF158">
            <v>17.751968503937011</v>
          </cell>
          <cell r="AG158">
            <v>40.437007874015748</v>
          </cell>
          <cell r="AH158" t="str">
            <v>N</v>
          </cell>
          <cell r="AI158">
            <v>39.69</v>
          </cell>
          <cell r="AJ158">
            <v>18</v>
          </cell>
          <cell r="AK158" t="str">
            <v>TBD</v>
          </cell>
          <cell r="AL158" t="str">
            <v>Y</v>
          </cell>
          <cell r="AM158">
            <v>200018401</v>
          </cell>
          <cell r="AN158">
            <v>200028401</v>
          </cell>
          <cell r="AO158">
            <v>200018301</v>
          </cell>
          <cell r="AP158">
            <v>200028301</v>
          </cell>
          <cell r="AQ158">
            <v>200018201</v>
          </cell>
          <cell r="AR158">
            <v>200028201</v>
          </cell>
          <cell r="AS158">
            <v>13.22222222222222</v>
          </cell>
          <cell r="AT158">
            <v>19.804878512480695</v>
          </cell>
          <cell r="AU158">
            <v>14.778748578610935</v>
          </cell>
          <cell r="AV158">
            <v>10.093247965686727</v>
          </cell>
          <cell r="AW158">
            <v>41026</v>
          </cell>
        </row>
        <row r="159">
          <cell r="C159" t="str">
            <v>S-Energy - SM-PC8 Rail 225-250_M</v>
          </cell>
          <cell r="D159" t="str">
            <v>Short Clamp Multi Claw</v>
          </cell>
          <cell r="E159">
            <v>500000701</v>
          </cell>
          <cell r="F159">
            <v>39.330708661417326</v>
          </cell>
          <cell r="G159">
            <v>65.551181102362207</v>
          </cell>
          <cell r="H159">
            <v>1.9685039370078741</v>
          </cell>
          <cell r="I159">
            <v>200010704</v>
          </cell>
          <cell r="J159">
            <v>200010804</v>
          </cell>
          <cell r="K159">
            <v>200013804</v>
          </cell>
          <cell r="L159">
            <v>200016304</v>
          </cell>
          <cell r="M159">
            <v>500012568</v>
          </cell>
          <cell r="N159">
            <v>500012668</v>
          </cell>
          <cell r="O159">
            <v>500012569</v>
          </cell>
          <cell r="P159">
            <v>500012669</v>
          </cell>
          <cell r="Q159">
            <v>10.974871106573744</v>
          </cell>
          <cell r="R159">
            <v>9.8097507734764164</v>
          </cell>
          <cell r="S159">
            <v>4.6309905154437647</v>
          </cell>
          <cell r="T159">
            <v>4.6309905154437647</v>
          </cell>
          <cell r="U159">
            <v>10.974871106573744</v>
          </cell>
          <cell r="V159">
            <v>9.8097507734764164</v>
          </cell>
          <cell r="W159">
            <v>30</v>
          </cell>
          <cell r="X159">
            <v>37.596062992125987</v>
          </cell>
          <cell r="Y159">
            <v>66.126574803149609</v>
          </cell>
          <cell r="Z159">
            <v>37.596062992125987</v>
          </cell>
          <cell r="AA159">
            <v>66.126574803149609</v>
          </cell>
          <cell r="AB159">
            <v>37.596062992125987</v>
          </cell>
          <cell r="AC159">
            <v>66.126574803149609</v>
          </cell>
          <cell r="AD159">
            <v>66.126574803149609</v>
          </cell>
          <cell r="AE159">
            <v>66.051181102362207</v>
          </cell>
          <cell r="AF159">
            <v>24.051181102362211</v>
          </cell>
          <cell r="AG159">
            <v>40.437007874015748</v>
          </cell>
          <cell r="AH159" t="str">
            <v>N</v>
          </cell>
          <cell r="AI159">
            <v>44.1</v>
          </cell>
          <cell r="AJ159">
            <v>20</v>
          </cell>
          <cell r="AK159" t="str">
            <v>TBD</v>
          </cell>
          <cell r="AL159" t="str">
            <v>Y</v>
          </cell>
          <cell r="AM159">
            <v>200018403</v>
          </cell>
          <cell r="AN159">
            <v>200028403</v>
          </cell>
          <cell r="AO159">
            <v>200018303</v>
          </cell>
          <cell r="AP159">
            <v>200028303</v>
          </cell>
          <cell r="AQ159">
            <v>200018203</v>
          </cell>
          <cell r="AR159">
            <v>200028203</v>
          </cell>
          <cell r="AS159">
            <v>14.555555555555557</v>
          </cell>
          <cell r="AT159">
            <v>19.804878512480695</v>
          </cell>
          <cell r="AU159">
            <v>14.778748578610935</v>
          </cell>
          <cell r="AV159">
            <v>10.093247965686727</v>
          </cell>
          <cell r="AW159">
            <v>41026</v>
          </cell>
        </row>
        <row r="160">
          <cell r="C160" t="str">
            <v>S-Energy - SM-PC8 Rail 260-295_M</v>
          </cell>
          <cell r="D160" t="str">
            <v>Short Clamp Multi Claw</v>
          </cell>
          <cell r="E160">
            <v>500000701</v>
          </cell>
          <cell r="F160">
            <v>39.330708661417326</v>
          </cell>
          <cell r="G160">
            <v>78.149606299212607</v>
          </cell>
          <cell r="H160">
            <v>1.9685039370078741</v>
          </cell>
          <cell r="I160">
            <v>200010707</v>
          </cell>
          <cell r="J160">
            <v>200010807</v>
          </cell>
          <cell r="K160">
            <v>200013807</v>
          </cell>
          <cell r="L160">
            <v>200016307</v>
          </cell>
          <cell r="M160">
            <v>500012581</v>
          </cell>
          <cell r="N160">
            <v>500012681</v>
          </cell>
          <cell r="O160">
            <v>500012581</v>
          </cell>
          <cell r="P160">
            <v>500012681</v>
          </cell>
          <cell r="Q160">
            <v>10.974871106573744</v>
          </cell>
          <cell r="R160">
            <v>9.8097507734764164</v>
          </cell>
          <cell r="S160">
            <v>4.6309905154437647</v>
          </cell>
          <cell r="T160">
            <v>4.6309905154437647</v>
          </cell>
          <cell r="U160">
            <v>10.974871106573744</v>
          </cell>
          <cell r="V160">
            <v>9.8097507734764164</v>
          </cell>
          <cell r="W160">
            <v>30</v>
          </cell>
          <cell r="X160">
            <v>37.596062992125987</v>
          </cell>
          <cell r="Y160">
            <v>78.725000000000009</v>
          </cell>
          <cell r="Z160">
            <v>37.596062992125987</v>
          </cell>
          <cell r="AA160">
            <v>78.725000000000009</v>
          </cell>
          <cell r="AB160">
            <v>37.596062992125987</v>
          </cell>
          <cell r="AC160">
            <v>78.725000000000009</v>
          </cell>
          <cell r="AD160">
            <v>78.725000000000009</v>
          </cell>
          <cell r="AE160">
            <v>78.649606299212607</v>
          </cell>
          <cell r="AF160">
            <v>36.649606299212607</v>
          </cell>
          <cell r="AG160">
            <v>40.437007874015748</v>
          </cell>
          <cell r="AH160" t="str">
            <v>N</v>
          </cell>
          <cell r="AI160">
            <v>50.715000000000003</v>
          </cell>
          <cell r="AJ160">
            <v>23</v>
          </cell>
          <cell r="AK160" t="str">
            <v>TBD</v>
          </cell>
          <cell r="AL160" t="str">
            <v>Y</v>
          </cell>
          <cell r="AM160">
            <v>200018407</v>
          </cell>
          <cell r="AN160">
            <v>200028407</v>
          </cell>
          <cell r="AO160">
            <v>200018307</v>
          </cell>
          <cell r="AP160">
            <v>200028307</v>
          </cell>
          <cell r="AQ160">
            <v>200018207</v>
          </cell>
          <cell r="AR160">
            <v>200028207</v>
          </cell>
          <cell r="AS160">
            <v>17.222222222222221</v>
          </cell>
          <cell r="AT160">
            <v>19.804878512480695</v>
          </cell>
          <cell r="AU160">
            <v>14.778748578610935</v>
          </cell>
          <cell r="AV160">
            <v>10.093247965686727</v>
          </cell>
          <cell r="AW160">
            <v>41026</v>
          </cell>
        </row>
        <row r="161">
          <cell r="C161" t="str">
            <v>S-Energy - SM-MC8 Rail 220-240_M</v>
          </cell>
          <cell r="D161" t="str">
            <v>Short Clamp Multi Claw</v>
          </cell>
          <cell r="E161">
            <v>500000701</v>
          </cell>
          <cell r="F161">
            <v>39.330708661417326</v>
          </cell>
          <cell r="G161">
            <v>59.251968503937015</v>
          </cell>
          <cell r="H161">
            <v>1.9685039370078741</v>
          </cell>
          <cell r="I161">
            <v>200010703</v>
          </cell>
          <cell r="J161">
            <v>200010803</v>
          </cell>
          <cell r="K161">
            <v>200013803</v>
          </cell>
          <cell r="L161">
            <v>200016303</v>
          </cell>
          <cell r="M161">
            <v>500012562</v>
          </cell>
          <cell r="N161">
            <v>500012662</v>
          </cell>
          <cell r="O161">
            <v>500012563</v>
          </cell>
          <cell r="P161">
            <v>500012663</v>
          </cell>
          <cell r="Q161">
            <v>10.974871106573744</v>
          </cell>
          <cell r="R161">
            <v>9.8097507734764164</v>
          </cell>
          <cell r="S161">
            <v>4.6309905154437647</v>
          </cell>
          <cell r="T161">
            <v>4.6309905154437647</v>
          </cell>
          <cell r="U161">
            <v>10.974871106573744</v>
          </cell>
          <cell r="V161">
            <v>9.8097507734764164</v>
          </cell>
          <cell r="W161">
            <v>30</v>
          </cell>
          <cell r="X161">
            <v>37.596062992125987</v>
          </cell>
          <cell r="Y161">
            <v>59.827362204724416</v>
          </cell>
          <cell r="Z161">
            <v>37.596062992125987</v>
          </cell>
          <cell r="AA161">
            <v>59.827362204724416</v>
          </cell>
          <cell r="AB161">
            <v>37.596062992125987</v>
          </cell>
          <cell r="AC161">
            <v>59.827362204724416</v>
          </cell>
          <cell r="AD161">
            <v>59.827362204724416</v>
          </cell>
          <cell r="AE161">
            <v>59.751968503937015</v>
          </cell>
          <cell r="AF161">
            <v>17.751968503937011</v>
          </cell>
          <cell r="AG161">
            <v>40.437007874015748</v>
          </cell>
          <cell r="AH161" t="str">
            <v>N</v>
          </cell>
          <cell r="AI161">
            <v>39.69</v>
          </cell>
          <cell r="AJ161">
            <v>18</v>
          </cell>
          <cell r="AK161" t="str">
            <v>TBD</v>
          </cell>
          <cell r="AL161" t="str">
            <v>Y</v>
          </cell>
          <cell r="AM161">
            <v>200018401</v>
          </cell>
          <cell r="AN161">
            <v>200028401</v>
          </cell>
          <cell r="AO161">
            <v>200018301</v>
          </cell>
          <cell r="AP161">
            <v>200028301</v>
          </cell>
          <cell r="AQ161">
            <v>200018201</v>
          </cell>
          <cell r="AR161">
            <v>200028201</v>
          </cell>
          <cell r="AS161">
            <v>13.22222222222222</v>
          </cell>
          <cell r="AT161">
            <v>19.804878512480695</v>
          </cell>
          <cell r="AU161">
            <v>14.778748578610935</v>
          </cell>
          <cell r="AV161">
            <v>10.093247965686727</v>
          </cell>
          <cell r="AW161">
            <v>41026</v>
          </cell>
        </row>
        <row r="162">
          <cell r="C162" t="str">
            <v>S-Energy - SM-MC8 Rail 245-260_M</v>
          </cell>
          <cell r="D162" t="str">
            <v>Short Clamp Multi Claw</v>
          </cell>
          <cell r="E162">
            <v>500000701</v>
          </cell>
          <cell r="F162">
            <v>39.330708661417326</v>
          </cell>
          <cell r="G162">
            <v>65.551181102362207</v>
          </cell>
          <cell r="H162">
            <v>1.9685039370078741</v>
          </cell>
          <cell r="I162">
            <v>200010704</v>
          </cell>
          <cell r="J162">
            <v>200010804</v>
          </cell>
          <cell r="K162">
            <v>200013804</v>
          </cell>
          <cell r="L162">
            <v>200016304</v>
          </cell>
          <cell r="M162">
            <v>500012568</v>
          </cell>
          <cell r="N162">
            <v>500012668</v>
          </cell>
          <cell r="O162">
            <v>500012569</v>
          </cell>
          <cell r="P162">
            <v>500012669</v>
          </cell>
          <cell r="Q162">
            <v>10.974871106573744</v>
          </cell>
          <cell r="R162">
            <v>9.8097507734764164</v>
          </cell>
          <cell r="S162">
            <v>4.6309905154437647</v>
          </cell>
          <cell r="T162">
            <v>4.6309905154437647</v>
          </cell>
          <cell r="U162">
            <v>10.974871106573744</v>
          </cell>
          <cell r="V162">
            <v>9.8097507734764164</v>
          </cell>
          <cell r="W162">
            <v>30</v>
          </cell>
          <cell r="X162">
            <v>37.596062992125987</v>
          </cell>
          <cell r="Y162">
            <v>66.126574803149609</v>
          </cell>
          <cell r="Z162">
            <v>37.596062992125987</v>
          </cell>
          <cell r="AA162">
            <v>66.126574803149609</v>
          </cell>
          <cell r="AB162">
            <v>37.596062992125987</v>
          </cell>
          <cell r="AC162">
            <v>66.126574803149609</v>
          </cell>
          <cell r="AD162">
            <v>66.126574803149609</v>
          </cell>
          <cell r="AE162">
            <v>66.051181102362207</v>
          </cell>
          <cell r="AF162">
            <v>24.051181102362211</v>
          </cell>
          <cell r="AG162">
            <v>40.437007874015748</v>
          </cell>
          <cell r="AH162" t="str">
            <v>N</v>
          </cell>
          <cell r="AI162">
            <v>44.1</v>
          </cell>
          <cell r="AJ162">
            <v>20</v>
          </cell>
          <cell r="AK162" t="str">
            <v>TBD</v>
          </cell>
          <cell r="AL162" t="str">
            <v>Y</v>
          </cell>
          <cell r="AM162">
            <v>200018403</v>
          </cell>
          <cell r="AN162">
            <v>200028403</v>
          </cell>
          <cell r="AO162">
            <v>200018303</v>
          </cell>
          <cell r="AP162">
            <v>200028303</v>
          </cell>
          <cell r="AQ162">
            <v>200018203</v>
          </cell>
          <cell r="AR162">
            <v>200028203</v>
          </cell>
          <cell r="AS162">
            <v>14.555555555555557</v>
          </cell>
          <cell r="AT162">
            <v>19.804878512480695</v>
          </cell>
          <cell r="AU162">
            <v>14.778748578610935</v>
          </cell>
          <cell r="AV162">
            <v>10.093247965686727</v>
          </cell>
          <cell r="AW162">
            <v>41026</v>
          </cell>
        </row>
        <row r="163">
          <cell r="C163" t="str">
            <v>S-Energy - SM-PC8 Hole 195-220_S</v>
          </cell>
          <cell r="D163" t="str">
            <v>Standard Claw</v>
          </cell>
          <cell r="E163">
            <v>5000005</v>
          </cell>
          <cell r="F163">
            <v>39.330708661417326</v>
          </cell>
          <cell r="G163">
            <v>59.251968503937015</v>
          </cell>
          <cell r="H163">
            <v>1.9685039370078741</v>
          </cell>
          <cell r="I163">
            <v>200010703</v>
          </cell>
          <cell r="J163">
            <v>200010803</v>
          </cell>
          <cell r="K163">
            <v>200013803</v>
          </cell>
          <cell r="L163">
            <v>200016303</v>
          </cell>
          <cell r="M163">
            <v>500012563</v>
          </cell>
          <cell r="N163">
            <v>500012663</v>
          </cell>
          <cell r="O163">
            <v>500012564</v>
          </cell>
          <cell r="P163">
            <v>500012664</v>
          </cell>
          <cell r="Q163">
            <v>11.529244460694249</v>
          </cell>
          <cell r="R163">
            <v>10.303937693229198</v>
          </cell>
          <cell r="S163">
            <v>4.8623697312523513</v>
          </cell>
          <cell r="T163">
            <v>4.8623697312523513</v>
          </cell>
          <cell r="U163">
            <v>11.529244460694249</v>
          </cell>
          <cell r="V163">
            <v>10.303937693229198</v>
          </cell>
          <cell r="W163">
            <v>30</v>
          </cell>
          <cell r="X163">
            <v>35.811023622047244</v>
          </cell>
          <cell r="Y163">
            <v>60.959645669291341</v>
          </cell>
          <cell r="Z163">
            <v>35.811023622047244</v>
          </cell>
          <cell r="AA163">
            <v>60.959645669291341</v>
          </cell>
          <cell r="AB163">
            <v>35.811023622047244</v>
          </cell>
          <cell r="AC163">
            <v>60.959645669291341</v>
          </cell>
          <cell r="AD163">
            <v>60.959645669291341</v>
          </cell>
          <cell r="AE163">
            <v>59.751968503937015</v>
          </cell>
          <cell r="AF163">
            <v>17.751968503937011</v>
          </cell>
          <cell r="AG163">
            <v>40.437007874015748</v>
          </cell>
          <cell r="AH163" t="str">
            <v>N</v>
          </cell>
          <cell r="AI163">
            <v>39.69</v>
          </cell>
          <cell r="AJ163">
            <v>18</v>
          </cell>
          <cell r="AK163" t="str">
            <v>TBD</v>
          </cell>
          <cell r="AL163" t="str">
            <v>Y</v>
          </cell>
          <cell r="AM163">
            <v>200018401</v>
          </cell>
          <cell r="AN163">
            <v>200028401</v>
          </cell>
          <cell r="AO163">
            <v>200018301</v>
          </cell>
          <cell r="AP163">
            <v>200028301</v>
          </cell>
          <cell r="AQ163">
            <v>200018201</v>
          </cell>
          <cell r="AR163">
            <v>200028201</v>
          </cell>
          <cell r="AS163">
            <v>13.22222222222222</v>
          </cell>
          <cell r="AT163">
            <v>19.804878512480695</v>
          </cell>
          <cell r="AU163">
            <v>14.778748578610935</v>
          </cell>
          <cell r="AV163">
            <v>10.093247965686727</v>
          </cell>
          <cell r="AW163">
            <v>41026</v>
          </cell>
        </row>
        <row r="164">
          <cell r="C164" t="str">
            <v>S-Energy - SM-PC8 Hole 225-250_S</v>
          </cell>
          <cell r="D164" t="str">
            <v>Standard Claw</v>
          </cell>
          <cell r="E164">
            <v>5000005</v>
          </cell>
          <cell r="F164">
            <v>39.330708661417326</v>
          </cell>
          <cell r="G164">
            <v>65.551181102362207</v>
          </cell>
          <cell r="H164">
            <v>1.9685039370078741</v>
          </cell>
          <cell r="I164">
            <v>200010705</v>
          </cell>
          <cell r="J164">
            <v>200010805</v>
          </cell>
          <cell r="K164">
            <v>200013805</v>
          </cell>
          <cell r="L164">
            <v>200016305</v>
          </cell>
          <cell r="M164">
            <v>500012570</v>
          </cell>
          <cell r="N164">
            <v>500012670</v>
          </cell>
          <cell r="O164">
            <v>500012570</v>
          </cell>
          <cell r="P164">
            <v>500012670</v>
          </cell>
          <cell r="Q164">
            <v>11.529244460694249</v>
          </cell>
          <cell r="R164">
            <v>10.303937693229198</v>
          </cell>
          <cell r="S164">
            <v>4.8623697312523513</v>
          </cell>
          <cell r="T164">
            <v>4.8623697312523513</v>
          </cell>
          <cell r="U164">
            <v>11.529244460694249</v>
          </cell>
          <cell r="V164">
            <v>10.303937693229198</v>
          </cell>
          <cell r="W164">
            <v>30</v>
          </cell>
          <cell r="X164">
            <v>35.811023622047244</v>
          </cell>
          <cell r="Y164">
            <v>67.258858267716533</v>
          </cell>
          <cell r="Z164">
            <v>35.811023622047244</v>
          </cell>
          <cell r="AA164">
            <v>67.258858267716533</v>
          </cell>
          <cell r="AB164">
            <v>35.811023622047244</v>
          </cell>
          <cell r="AC164">
            <v>67.258858267716533</v>
          </cell>
          <cell r="AD164">
            <v>67.258858267716533</v>
          </cell>
          <cell r="AE164">
            <v>66.051181102362207</v>
          </cell>
          <cell r="AF164">
            <v>24.051181102362211</v>
          </cell>
          <cell r="AG164">
            <v>40.437007874015748</v>
          </cell>
          <cell r="AH164" t="str">
            <v>N</v>
          </cell>
          <cell r="AI164">
            <v>44.1</v>
          </cell>
          <cell r="AJ164">
            <v>20</v>
          </cell>
          <cell r="AK164" t="str">
            <v>TBD</v>
          </cell>
          <cell r="AL164" t="str">
            <v>Y</v>
          </cell>
          <cell r="AM164">
            <v>200018403</v>
          </cell>
          <cell r="AN164">
            <v>200028403</v>
          </cell>
          <cell r="AO164">
            <v>200018303</v>
          </cell>
          <cell r="AP164">
            <v>200028303</v>
          </cell>
          <cell r="AQ164">
            <v>200018203</v>
          </cell>
          <cell r="AR164">
            <v>200028203</v>
          </cell>
          <cell r="AS164">
            <v>14.555555555555557</v>
          </cell>
          <cell r="AT164">
            <v>19.804878512480695</v>
          </cell>
          <cell r="AU164">
            <v>14.778748578610935</v>
          </cell>
          <cell r="AV164">
            <v>10.093247965686727</v>
          </cell>
          <cell r="AW164">
            <v>41026</v>
          </cell>
        </row>
        <row r="165">
          <cell r="C165" t="str">
            <v>S-Energy - SM-PC8 Hole 260-295_S</v>
          </cell>
          <cell r="D165" t="str">
            <v>Standard Claw</v>
          </cell>
          <cell r="E165">
            <v>5000005</v>
          </cell>
          <cell r="F165">
            <v>39.330708661417326</v>
          </cell>
          <cell r="G165">
            <v>78.149606299212607</v>
          </cell>
          <cell r="H165">
            <v>1.9685039370078741</v>
          </cell>
          <cell r="I165">
            <v>200010708</v>
          </cell>
          <cell r="J165">
            <v>200010808</v>
          </cell>
          <cell r="K165">
            <v>200013808</v>
          </cell>
          <cell r="L165">
            <v>200016308</v>
          </cell>
          <cell r="M165">
            <v>500012582</v>
          </cell>
          <cell r="N165">
            <v>500012682</v>
          </cell>
          <cell r="O165">
            <v>500012582</v>
          </cell>
          <cell r="P165">
            <v>500012682</v>
          </cell>
          <cell r="Q165">
            <v>11.529244460694249</v>
          </cell>
          <cell r="R165">
            <v>10.303937693229198</v>
          </cell>
          <cell r="S165">
            <v>4.8623697312523513</v>
          </cell>
          <cell r="T165">
            <v>4.8623697312523513</v>
          </cell>
          <cell r="U165">
            <v>11.529244460694249</v>
          </cell>
          <cell r="V165">
            <v>10.303937693229198</v>
          </cell>
          <cell r="W165">
            <v>30</v>
          </cell>
          <cell r="X165">
            <v>35.811023622047244</v>
          </cell>
          <cell r="Y165">
            <v>79.857283464566933</v>
          </cell>
          <cell r="Z165">
            <v>35.811023622047244</v>
          </cell>
          <cell r="AA165">
            <v>79.857283464566933</v>
          </cell>
          <cell r="AB165">
            <v>35.811023622047244</v>
          </cell>
          <cell r="AC165">
            <v>79.857283464566933</v>
          </cell>
          <cell r="AD165">
            <v>79.857283464566933</v>
          </cell>
          <cell r="AE165">
            <v>78.649606299212607</v>
          </cell>
          <cell r="AF165">
            <v>36.649606299212607</v>
          </cell>
          <cell r="AG165">
            <v>40.437007874015748</v>
          </cell>
          <cell r="AH165" t="str">
            <v>N</v>
          </cell>
          <cell r="AI165">
            <v>50.715000000000003</v>
          </cell>
          <cell r="AJ165">
            <v>23</v>
          </cell>
          <cell r="AK165" t="str">
            <v>TBD</v>
          </cell>
          <cell r="AL165" t="str">
            <v>Y</v>
          </cell>
          <cell r="AM165">
            <v>200018407</v>
          </cell>
          <cell r="AN165">
            <v>200028407</v>
          </cell>
          <cell r="AO165">
            <v>200018307</v>
          </cell>
          <cell r="AP165">
            <v>200028307</v>
          </cell>
          <cell r="AQ165">
            <v>200018207</v>
          </cell>
          <cell r="AR165">
            <v>200028207</v>
          </cell>
          <cell r="AS165">
            <v>17.222222222222221</v>
          </cell>
          <cell r="AT165">
            <v>19.804878512480695</v>
          </cell>
          <cell r="AU165">
            <v>14.778748578610935</v>
          </cell>
          <cell r="AV165">
            <v>10.093247965686727</v>
          </cell>
          <cell r="AW165">
            <v>41026</v>
          </cell>
        </row>
        <row r="166">
          <cell r="C166" t="str">
            <v>S-Energy - SM-MC8 Hole 220-240_S</v>
          </cell>
          <cell r="D166" t="str">
            <v>Standard Claw</v>
          </cell>
          <cell r="E166">
            <v>5000005</v>
          </cell>
          <cell r="F166">
            <v>39.330708661417326</v>
          </cell>
          <cell r="G166">
            <v>59.251968503937015</v>
          </cell>
          <cell r="H166">
            <v>1.9685039370078741</v>
          </cell>
          <cell r="I166">
            <v>200010703</v>
          </cell>
          <cell r="J166">
            <v>200010803</v>
          </cell>
          <cell r="K166">
            <v>200013803</v>
          </cell>
          <cell r="L166">
            <v>200016303</v>
          </cell>
          <cell r="M166">
            <v>500012563</v>
          </cell>
          <cell r="N166">
            <v>500012663</v>
          </cell>
          <cell r="O166">
            <v>500012564</v>
          </cell>
          <cell r="P166">
            <v>500012664</v>
          </cell>
          <cell r="Q166">
            <v>11.529244460694249</v>
          </cell>
          <cell r="R166">
            <v>10.303937693229198</v>
          </cell>
          <cell r="S166">
            <v>4.8623697312523513</v>
          </cell>
          <cell r="T166">
            <v>4.8623697312523513</v>
          </cell>
          <cell r="U166">
            <v>11.529244460694249</v>
          </cell>
          <cell r="V166">
            <v>10.303937693229198</v>
          </cell>
          <cell r="W166">
            <v>30</v>
          </cell>
          <cell r="X166">
            <v>35.811023622047244</v>
          </cell>
          <cell r="Y166">
            <v>60.959645669291341</v>
          </cell>
          <cell r="Z166">
            <v>35.811023622047244</v>
          </cell>
          <cell r="AA166">
            <v>60.959645669291341</v>
          </cell>
          <cell r="AB166">
            <v>35.811023622047244</v>
          </cell>
          <cell r="AC166">
            <v>60.959645669291341</v>
          </cell>
          <cell r="AD166">
            <v>60.959645669291341</v>
          </cell>
          <cell r="AE166">
            <v>59.751968503937015</v>
          </cell>
          <cell r="AF166">
            <v>17.751968503937011</v>
          </cell>
          <cell r="AG166">
            <v>40.437007874015748</v>
          </cell>
          <cell r="AH166" t="str">
            <v>N</v>
          </cell>
          <cell r="AI166">
            <v>39.69</v>
          </cell>
          <cell r="AJ166">
            <v>18</v>
          </cell>
          <cell r="AK166" t="str">
            <v>TBD</v>
          </cell>
          <cell r="AL166" t="str">
            <v>Y</v>
          </cell>
          <cell r="AM166">
            <v>200018401</v>
          </cell>
          <cell r="AN166">
            <v>200028401</v>
          </cell>
          <cell r="AO166">
            <v>200018301</v>
          </cell>
          <cell r="AP166">
            <v>200028301</v>
          </cell>
          <cell r="AQ166">
            <v>200018201</v>
          </cell>
          <cell r="AR166">
            <v>200028201</v>
          </cell>
          <cell r="AS166">
            <v>13.22222222222222</v>
          </cell>
          <cell r="AT166">
            <v>19.804878512480695</v>
          </cell>
          <cell r="AU166">
            <v>14.778748578610935</v>
          </cell>
          <cell r="AV166">
            <v>10.093247965686727</v>
          </cell>
          <cell r="AW166">
            <v>41026</v>
          </cell>
        </row>
        <row r="167">
          <cell r="C167" t="str">
            <v>S-Energy - SM-MC8 Hole 245-260_S</v>
          </cell>
          <cell r="D167" t="str">
            <v>Standard Claw</v>
          </cell>
          <cell r="E167">
            <v>5000005</v>
          </cell>
          <cell r="F167">
            <v>39.330708661417326</v>
          </cell>
          <cell r="G167">
            <v>65.551181102362207</v>
          </cell>
          <cell r="H167">
            <v>1.9685039370078741</v>
          </cell>
          <cell r="I167">
            <v>200010705</v>
          </cell>
          <cell r="J167">
            <v>200010805</v>
          </cell>
          <cell r="K167">
            <v>200013805</v>
          </cell>
          <cell r="L167">
            <v>200016305</v>
          </cell>
          <cell r="M167">
            <v>500012570</v>
          </cell>
          <cell r="N167">
            <v>500012670</v>
          </cell>
          <cell r="O167">
            <v>500012570</v>
          </cell>
          <cell r="P167">
            <v>500012670</v>
          </cell>
          <cell r="Q167">
            <v>11.529244460694249</v>
          </cell>
          <cell r="R167">
            <v>10.303937693229198</v>
          </cell>
          <cell r="S167">
            <v>4.8623697312523513</v>
          </cell>
          <cell r="T167">
            <v>4.8623697312523513</v>
          </cell>
          <cell r="U167">
            <v>11.529244460694249</v>
          </cell>
          <cell r="V167">
            <v>10.303937693229198</v>
          </cell>
          <cell r="W167">
            <v>30</v>
          </cell>
          <cell r="X167">
            <v>35.811023622047244</v>
          </cell>
          <cell r="Y167">
            <v>67.258858267716533</v>
          </cell>
          <cell r="Z167">
            <v>35.811023622047244</v>
          </cell>
          <cell r="AA167">
            <v>67.258858267716533</v>
          </cell>
          <cell r="AB167">
            <v>35.811023622047244</v>
          </cell>
          <cell r="AC167">
            <v>67.258858267716533</v>
          </cell>
          <cell r="AD167">
            <v>67.258858267716533</v>
          </cell>
          <cell r="AE167">
            <v>66.051181102362207</v>
          </cell>
          <cell r="AF167">
            <v>24.051181102362211</v>
          </cell>
          <cell r="AG167">
            <v>40.437007874015748</v>
          </cell>
          <cell r="AH167" t="str">
            <v>N</v>
          </cell>
          <cell r="AI167">
            <v>44.1</v>
          </cell>
          <cell r="AJ167">
            <v>20</v>
          </cell>
          <cell r="AK167" t="str">
            <v>TBD</v>
          </cell>
          <cell r="AL167" t="str">
            <v>Y</v>
          </cell>
          <cell r="AM167">
            <v>200018403</v>
          </cell>
          <cell r="AN167">
            <v>200028403</v>
          </cell>
          <cell r="AO167">
            <v>200018303</v>
          </cell>
          <cell r="AP167">
            <v>200028303</v>
          </cell>
          <cell r="AQ167">
            <v>200018203</v>
          </cell>
          <cell r="AR167">
            <v>200028203</v>
          </cell>
          <cell r="AS167">
            <v>14.555555555555557</v>
          </cell>
          <cell r="AT167">
            <v>19.804878512480695</v>
          </cell>
          <cell r="AU167">
            <v>14.778748578610935</v>
          </cell>
          <cell r="AV167">
            <v>10.093247965686727</v>
          </cell>
          <cell r="AW167">
            <v>41026</v>
          </cell>
        </row>
        <row r="168">
          <cell r="C168" t="str">
            <v>Samsung - LPC 235-250 SM-05-06-08_S</v>
          </cell>
          <cell r="D168" t="str">
            <v>Standard Claw</v>
          </cell>
          <cell r="E168">
            <v>5000005</v>
          </cell>
          <cell r="F168">
            <v>38.661417322834644</v>
          </cell>
          <cell r="G168">
            <v>64.173228346456696</v>
          </cell>
          <cell r="H168">
            <v>1.8110236220472442</v>
          </cell>
          <cell r="I168">
            <v>200010704</v>
          </cell>
          <cell r="J168">
            <v>200010804</v>
          </cell>
          <cell r="K168">
            <v>200013804</v>
          </cell>
          <cell r="L168">
            <v>200016304</v>
          </cell>
          <cell r="M168">
            <v>500012568</v>
          </cell>
          <cell r="N168">
            <v>500012668</v>
          </cell>
          <cell r="O168">
            <v>500012569</v>
          </cell>
          <cell r="P168">
            <v>500012669</v>
          </cell>
          <cell r="Q168">
            <v>11.646065132777842</v>
          </cell>
          <cell r="R168">
            <v>10.40805030701417</v>
          </cell>
          <cell r="S168">
            <v>4.911079789514722</v>
          </cell>
          <cell r="T168">
            <v>4.911079789514722</v>
          </cell>
          <cell r="U168">
            <v>11.646065132777842</v>
          </cell>
          <cell r="V168">
            <v>10.40805030701417</v>
          </cell>
          <cell r="W168">
            <v>50</v>
          </cell>
          <cell r="X168">
            <v>35.45669291338583</v>
          </cell>
          <cell r="Y168">
            <v>66.195866141732282</v>
          </cell>
          <cell r="Z168">
            <v>35.45669291338583</v>
          </cell>
          <cell r="AA168">
            <v>66.195866141732282</v>
          </cell>
          <cell r="AB168">
            <v>35.45669291338583</v>
          </cell>
          <cell r="AC168">
            <v>66.195866141732282</v>
          </cell>
          <cell r="AD168">
            <v>66.195866141732282</v>
          </cell>
          <cell r="AE168">
            <v>64.673228346456696</v>
          </cell>
          <cell r="AF168">
            <v>22.673228346456696</v>
          </cell>
          <cell r="AG168">
            <v>40.082677165354333</v>
          </cell>
          <cell r="AH168" t="str">
            <v>Y</v>
          </cell>
          <cell r="AI168">
            <v>41.013000000000005</v>
          </cell>
          <cell r="AJ168">
            <v>18.600000000000001</v>
          </cell>
          <cell r="AK168" t="str">
            <v>TBD</v>
          </cell>
          <cell r="AL168" t="str">
            <v>Y</v>
          </cell>
          <cell r="AM168">
            <v>200018403</v>
          </cell>
          <cell r="AN168">
            <v>200028403</v>
          </cell>
          <cell r="AO168">
            <v>200018303</v>
          </cell>
          <cell r="AP168">
            <v>200028303</v>
          </cell>
          <cell r="AQ168">
            <v>200018203</v>
          </cell>
          <cell r="AR168">
            <v>200028203</v>
          </cell>
          <cell r="AS168">
            <v>14.555555555555557</v>
          </cell>
          <cell r="AT168">
            <v>19.987381438876472</v>
          </cell>
          <cell r="AU168">
            <v>14.912410483320945</v>
          </cell>
          <cell r="AV168">
            <v>10.183419458492327</v>
          </cell>
          <cell r="AW168">
            <v>40807</v>
          </cell>
        </row>
        <row r="169">
          <cell r="C169" t="str">
            <v>Samsung - PV-MBA1AG 240-250_M</v>
          </cell>
          <cell r="D169" t="str">
            <v>Short Clamp Multi Claw</v>
          </cell>
          <cell r="E169">
            <v>500000701</v>
          </cell>
          <cell r="F169">
            <v>39.055118110236222</v>
          </cell>
          <cell r="G169">
            <v>64.724409448818903</v>
          </cell>
          <cell r="H169">
            <v>1.8110236220472442</v>
          </cell>
          <cell r="I169">
            <v>200010704</v>
          </cell>
          <cell r="J169">
            <v>200010804</v>
          </cell>
          <cell r="K169">
            <v>200013804</v>
          </cell>
          <cell r="L169">
            <v>200016304</v>
          </cell>
          <cell r="M169">
            <v>500012568</v>
          </cell>
          <cell r="N169">
            <v>500012668</v>
          </cell>
          <cell r="O169">
            <v>500012568</v>
          </cell>
          <cell r="P169">
            <v>500012668</v>
          </cell>
          <cell r="Q169">
            <v>10.963248121106982</v>
          </cell>
          <cell r="R169">
            <v>9.7993875846612788</v>
          </cell>
          <cell r="S169">
            <v>4.6261355187561186</v>
          </cell>
          <cell r="T169">
            <v>4.6261355187561186</v>
          </cell>
          <cell r="U169">
            <v>10.963248121106982</v>
          </cell>
          <cell r="V169">
            <v>9.7993875846612788</v>
          </cell>
          <cell r="W169">
            <v>50</v>
          </cell>
          <cell r="X169">
            <v>37.635433070866149</v>
          </cell>
          <cell r="Y169">
            <v>65.299803149606305</v>
          </cell>
          <cell r="Z169">
            <v>37.635433070866149</v>
          </cell>
          <cell r="AA169">
            <v>65.299803149606305</v>
          </cell>
          <cell r="AB169">
            <v>37.635433070866149</v>
          </cell>
          <cell r="AC169">
            <v>65.299803149606305</v>
          </cell>
          <cell r="AD169">
            <v>65.299803149606305</v>
          </cell>
          <cell r="AE169">
            <v>65.224409448818903</v>
          </cell>
          <cell r="AF169">
            <v>23.224409448818903</v>
          </cell>
          <cell r="AG169">
            <v>40.161417322834652</v>
          </cell>
          <cell r="AH169" t="str">
            <v>Y</v>
          </cell>
          <cell r="AI169">
            <v>44.540999999999997</v>
          </cell>
          <cell r="AJ169">
            <v>20.2</v>
          </cell>
          <cell r="AK169" t="str">
            <v>TBD</v>
          </cell>
          <cell r="AL169" t="str">
            <v>Y</v>
          </cell>
          <cell r="AM169">
            <v>200018403</v>
          </cell>
          <cell r="AN169">
            <v>200028403</v>
          </cell>
          <cell r="AO169">
            <v>200018303</v>
          </cell>
          <cell r="AP169">
            <v>200028303</v>
          </cell>
          <cell r="AQ169">
            <v>200018203</v>
          </cell>
          <cell r="AR169">
            <v>200028203</v>
          </cell>
          <cell r="AS169">
            <v>14.555555555555557</v>
          </cell>
          <cell r="AT169">
            <v>19.946528641915926</v>
          </cell>
          <cell r="AU169">
            <v>14.882496831605591</v>
          </cell>
          <cell r="AV169">
            <v>10.163241640344483</v>
          </cell>
          <cell r="AW169">
            <v>40807</v>
          </cell>
        </row>
        <row r="170">
          <cell r="C170" t="str">
            <v>Samsung - PV-EBA1AG 245-255_M</v>
          </cell>
          <cell r="D170" t="str">
            <v>Short Clamp Multi Claw</v>
          </cell>
          <cell r="E170">
            <v>500000701</v>
          </cell>
          <cell r="F170">
            <v>39.055118110236222</v>
          </cell>
          <cell r="G170">
            <v>64.724409448818903</v>
          </cell>
          <cell r="H170">
            <v>1.8110236220472442</v>
          </cell>
          <cell r="I170">
            <v>200010704</v>
          </cell>
          <cell r="J170">
            <v>200010804</v>
          </cell>
          <cell r="K170">
            <v>200013804</v>
          </cell>
          <cell r="L170">
            <v>200016304</v>
          </cell>
          <cell r="M170">
            <v>500012568</v>
          </cell>
          <cell r="N170">
            <v>500012668</v>
          </cell>
          <cell r="O170">
            <v>500012568</v>
          </cell>
          <cell r="P170">
            <v>500012668</v>
          </cell>
          <cell r="Q170">
            <v>10.963248121106982</v>
          </cell>
          <cell r="R170">
            <v>9.7993875846612788</v>
          </cell>
          <cell r="S170">
            <v>4.6261355187561186</v>
          </cell>
          <cell r="T170">
            <v>4.6261355187561186</v>
          </cell>
          <cell r="U170">
            <v>10.963248121106982</v>
          </cell>
          <cell r="V170">
            <v>9.7993875846612788</v>
          </cell>
          <cell r="W170">
            <v>50</v>
          </cell>
          <cell r="X170">
            <v>37.635433070866149</v>
          </cell>
          <cell r="Y170">
            <v>65.299803149606305</v>
          </cell>
          <cell r="Z170">
            <v>37.635433070866149</v>
          </cell>
          <cell r="AA170">
            <v>65.299803149606305</v>
          </cell>
          <cell r="AB170">
            <v>37.635433070866149</v>
          </cell>
          <cell r="AC170">
            <v>65.299803149606305</v>
          </cell>
          <cell r="AD170">
            <v>65.299803149606305</v>
          </cell>
          <cell r="AE170">
            <v>65.224409448818903</v>
          </cell>
          <cell r="AF170">
            <v>23.224409448818903</v>
          </cell>
          <cell r="AG170">
            <v>40.161417322834652</v>
          </cell>
          <cell r="AH170" t="str">
            <v>Y</v>
          </cell>
          <cell r="AI170">
            <v>44.540999999999997</v>
          </cell>
          <cell r="AJ170">
            <v>20.2</v>
          </cell>
          <cell r="AK170" t="str">
            <v>TBD</v>
          </cell>
          <cell r="AL170" t="str">
            <v>Y</v>
          </cell>
          <cell r="AM170">
            <v>200018403</v>
          </cell>
          <cell r="AN170">
            <v>200028403</v>
          </cell>
          <cell r="AO170">
            <v>200018303</v>
          </cell>
          <cell r="AP170">
            <v>200028303</v>
          </cell>
          <cell r="AQ170">
            <v>200018203</v>
          </cell>
          <cell r="AR170">
            <v>200028203</v>
          </cell>
          <cell r="AS170">
            <v>14.555555555555557</v>
          </cell>
          <cell r="AT170">
            <v>19.946528641915926</v>
          </cell>
          <cell r="AU170">
            <v>14.882496831605591</v>
          </cell>
          <cell r="AV170">
            <v>10.163241640344483</v>
          </cell>
          <cell r="AW170">
            <v>40807</v>
          </cell>
        </row>
        <row r="171">
          <cell r="C171" t="str">
            <v>Scheuten - Multisol P6-54 190-215 _S</v>
          </cell>
          <cell r="D171" t="str">
            <v>Standard Claw</v>
          </cell>
          <cell r="E171">
            <v>5000005</v>
          </cell>
          <cell r="F171">
            <v>39.370078740157481</v>
          </cell>
          <cell r="G171">
            <v>59.055118110236222</v>
          </cell>
          <cell r="H171">
            <v>1.6535433070866143</v>
          </cell>
          <cell r="I171">
            <v>200010703</v>
          </cell>
          <cell r="J171">
            <v>200010803</v>
          </cell>
          <cell r="K171">
            <v>200013803</v>
          </cell>
          <cell r="L171">
            <v>200016303</v>
          </cell>
          <cell r="M171">
            <v>500012563</v>
          </cell>
          <cell r="N171">
            <v>500012663</v>
          </cell>
          <cell r="O171">
            <v>500012564</v>
          </cell>
          <cell r="P171">
            <v>500012664</v>
          </cell>
          <cell r="Q171">
            <v>11.389629250601068</v>
          </cell>
          <cell r="R171">
            <v>10.17949851730765</v>
          </cell>
          <cell r="S171">
            <v>4.8041332214318873</v>
          </cell>
          <cell r="T171">
            <v>4.8041332214318873</v>
          </cell>
          <cell r="U171">
            <v>11.389629250601068</v>
          </cell>
          <cell r="V171">
            <v>10.17949851730765</v>
          </cell>
          <cell r="W171">
            <v>50</v>
          </cell>
          <cell r="X171">
            <v>36.244094488188978</v>
          </cell>
          <cell r="Y171">
            <v>60.915551181102359</v>
          </cell>
          <cell r="Z171">
            <v>36.244094488188978</v>
          </cell>
          <cell r="AA171">
            <v>60.915551181102359</v>
          </cell>
          <cell r="AB171">
            <v>36.244094488188978</v>
          </cell>
          <cell r="AC171">
            <v>60.915551181102359</v>
          </cell>
          <cell r="AD171">
            <v>60.915551181102359</v>
          </cell>
          <cell r="AE171">
            <v>59.555118110236222</v>
          </cell>
          <cell r="AF171">
            <v>17.555118110236226</v>
          </cell>
          <cell r="AG171">
            <v>40.625984251968511</v>
          </cell>
          <cell r="AH171" t="str">
            <v>N</v>
          </cell>
          <cell r="AI171">
            <v>44.1</v>
          </cell>
          <cell r="AJ171">
            <v>20</v>
          </cell>
          <cell r="AK171" t="str">
            <v>TBD</v>
          </cell>
          <cell r="AL171" t="str">
            <v>Y</v>
          </cell>
          <cell r="AM171">
            <v>200018401</v>
          </cell>
          <cell r="AN171">
            <v>200028401</v>
          </cell>
          <cell r="AO171">
            <v>200018301</v>
          </cell>
          <cell r="AP171">
            <v>200028301</v>
          </cell>
          <cell r="AQ171">
            <v>200018201</v>
          </cell>
          <cell r="AR171">
            <v>200028201</v>
          </cell>
          <cell r="AS171">
            <v>13.22222222222222</v>
          </cell>
          <cell r="AT171">
            <v>19.708929443717658</v>
          </cell>
          <cell r="AU171">
            <v>14.708448636174264</v>
          </cell>
          <cell r="AV171">
            <v>10.045809804739942</v>
          </cell>
          <cell r="AW171">
            <v>40617</v>
          </cell>
        </row>
        <row r="172">
          <cell r="C172" t="str">
            <v>Scheuten - Multisol P6-60 215-230_S</v>
          </cell>
          <cell r="D172" t="str">
            <v>Standard Claw</v>
          </cell>
          <cell r="E172">
            <v>5000005</v>
          </cell>
          <cell r="F172">
            <v>39.370078740157481</v>
          </cell>
          <cell r="G172">
            <v>65.354330708661422</v>
          </cell>
          <cell r="H172">
            <v>1.6535433070866143</v>
          </cell>
          <cell r="I172">
            <v>200010705</v>
          </cell>
          <cell r="J172">
            <v>200010805</v>
          </cell>
          <cell r="K172">
            <v>200013805</v>
          </cell>
          <cell r="L172">
            <v>200016305</v>
          </cell>
          <cell r="M172">
            <v>500012569</v>
          </cell>
          <cell r="N172">
            <v>500012669</v>
          </cell>
          <cell r="O172">
            <v>500012570</v>
          </cell>
          <cell r="P172">
            <v>500012670</v>
          </cell>
          <cell r="Q172">
            <v>11.389629250601068</v>
          </cell>
          <cell r="R172">
            <v>10.17949851730765</v>
          </cell>
          <cell r="S172">
            <v>4.8041332214318873</v>
          </cell>
          <cell r="T172">
            <v>4.8041332214318873</v>
          </cell>
          <cell r="U172">
            <v>11.389629250601068</v>
          </cell>
          <cell r="V172">
            <v>10.17949851730765</v>
          </cell>
          <cell r="W172">
            <v>50</v>
          </cell>
          <cell r="X172">
            <v>36.244094488188978</v>
          </cell>
          <cell r="Y172">
            <v>67.214763779527559</v>
          </cell>
          <cell r="Z172">
            <v>36.244094488188978</v>
          </cell>
          <cell r="AA172">
            <v>67.214763779527559</v>
          </cell>
          <cell r="AB172">
            <v>36.244094488188978</v>
          </cell>
          <cell r="AC172">
            <v>67.214763779527559</v>
          </cell>
          <cell r="AD172">
            <v>67.214763779527559</v>
          </cell>
          <cell r="AE172">
            <v>65.854330708661422</v>
          </cell>
          <cell r="AF172">
            <v>23.854330708661422</v>
          </cell>
          <cell r="AG172">
            <v>40.625984251968511</v>
          </cell>
          <cell r="AH172" t="str">
            <v>N</v>
          </cell>
          <cell r="AI172">
            <v>48.510000000000005</v>
          </cell>
          <cell r="AJ172">
            <v>22</v>
          </cell>
          <cell r="AK172" t="str">
            <v>TBD</v>
          </cell>
          <cell r="AL172" t="str">
            <v>Y</v>
          </cell>
          <cell r="AM172">
            <v>200018403</v>
          </cell>
          <cell r="AN172">
            <v>200028403</v>
          </cell>
          <cell r="AO172">
            <v>200018303</v>
          </cell>
          <cell r="AP172">
            <v>200028303</v>
          </cell>
          <cell r="AQ172">
            <v>200018203</v>
          </cell>
          <cell r="AR172">
            <v>200028203</v>
          </cell>
          <cell r="AS172">
            <v>14.555555555555557</v>
          </cell>
          <cell r="AT172">
            <v>19.708929443717658</v>
          </cell>
          <cell r="AU172">
            <v>14.708448636174264</v>
          </cell>
          <cell r="AV172">
            <v>10.045809804739942</v>
          </cell>
          <cell r="AW172">
            <v>40617</v>
          </cell>
        </row>
        <row r="173">
          <cell r="C173" t="str">
            <v>Schott Solar - Perform Poly 220-245_S</v>
          </cell>
          <cell r="D173" t="str">
            <v>Standard Claw</v>
          </cell>
          <cell r="E173">
            <v>5000005</v>
          </cell>
          <cell r="F173">
            <v>39.094488188976378</v>
          </cell>
          <cell r="G173">
            <v>66.338582677165363</v>
          </cell>
          <cell r="H173">
            <v>1.9685039370078741</v>
          </cell>
          <cell r="I173">
            <v>200010705</v>
          </cell>
          <cell r="J173">
            <v>200010805</v>
          </cell>
          <cell r="K173">
            <v>200013805</v>
          </cell>
          <cell r="L173">
            <v>200016305</v>
          </cell>
          <cell r="M173">
            <v>500012571</v>
          </cell>
          <cell r="N173">
            <v>500012671</v>
          </cell>
          <cell r="O173">
            <v>500012571</v>
          </cell>
          <cell r="P173">
            <v>500012671</v>
          </cell>
          <cell r="Q173">
            <v>11.452666303839393</v>
          </cell>
          <cell r="R173">
            <v>10.235685070109877</v>
          </cell>
          <cell r="S173">
            <v>4.8304302751074495</v>
          </cell>
          <cell r="T173">
            <v>4.8304302751074495</v>
          </cell>
          <cell r="U173">
            <v>11.452666303839393</v>
          </cell>
          <cell r="V173">
            <v>10.235685070109877</v>
          </cell>
          <cell r="W173">
            <v>40</v>
          </cell>
          <cell r="X173">
            <v>36.047244094488192</v>
          </cell>
          <cell r="Y173">
            <v>68.435236220472447</v>
          </cell>
          <cell r="Z173">
            <v>36.047244094488192</v>
          </cell>
          <cell r="AA173">
            <v>68.435236220472447</v>
          </cell>
          <cell r="AB173">
            <v>36.047244094488192</v>
          </cell>
          <cell r="AC173">
            <v>68.435236220472447</v>
          </cell>
          <cell r="AD173">
            <v>68.435236220472447</v>
          </cell>
          <cell r="AE173">
            <v>66.838582677165363</v>
          </cell>
          <cell r="AF173">
            <v>24.838582677165359</v>
          </cell>
          <cell r="AG173">
            <v>40.586614173228355</v>
          </cell>
          <cell r="AH173" t="str">
            <v>N</v>
          </cell>
          <cell r="AI173">
            <v>41.454000000000001</v>
          </cell>
          <cell r="AJ173">
            <v>18.8</v>
          </cell>
          <cell r="AK173" t="str">
            <v>TBD</v>
          </cell>
          <cell r="AL173" t="str">
            <v>Y</v>
          </cell>
          <cell r="AM173">
            <v>200018403</v>
          </cell>
          <cell r="AN173">
            <v>200028403</v>
          </cell>
          <cell r="AO173">
            <v>200018303</v>
          </cell>
          <cell r="AP173">
            <v>200028303</v>
          </cell>
          <cell r="AQ173">
            <v>200018203</v>
          </cell>
          <cell r="AR173">
            <v>200028203</v>
          </cell>
          <cell r="AS173">
            <v>14.555555555555557</v>
          </cell>
          <cell r="AT173">
            <v>19.72884040690586</v>
          </cell>
          <cell r="AU173">
            <v>14.723038605804456</v>
          </cell>
          <cell r="AV173">
            <v>10.055655752081003</v>
          </cell>
          <cell r="AW173">
            <v>40962</v>
          </cell>
        </row>
        <row r="174">
          <cell r="C174" t="str">
            <v>Schuco - MPE 220-230 PS 09_X</v>
          </cell>
          <cell r="D174" t="str">
            <v>Long Claw (Schuco MPE PS09)</v>
          </cell>
          <cell r="E174">
            <v>500003904</v>
          </cell>
          <cell r="F174">
            <v>39.133858267716541</v>
          </cell>
          <cell r="G174">
            <v>65.039370078740163</v>
          </cell>
          <cell r="H174">
            <v>1.7716535433070868</v>
          </cell>
          <cell r="I174">
            <v>200010704</v>
          </cell>
          <cell r="J174">
            <v>200010804</v>
          </cell>
          <cell r="K174">
            <v>200013804</v>
          </cell>
          <cell r="L174">
            <v>200016304</v>
          </cell>
          <cell r="M174">
            <v>500012568</v>
          </cell>
          <cell r="N174">
            <v>500012668</v>
          </cell>
          <cell r="O174">
            <v>500012568</v>
          </cell>
          <cell r="P174">
            <v>500012668</v>
          </cell>
          <cell r="Q174">
            <v>10.902516800852544</v>
          </cell>
          <cell r="R174">
            <v>9.7452374785622045</v>
          </cell>
          <cell r="S174">
            <v>4.6007650933375821</v>
          </cell>
          <cell r="T174">
            <v>4.6007650933375821</v>
          </cell>
          <cell r="U174">
            <v>10.902516800852544</v>
          </cell>
          <cell r="V174">
            <v>9.7452374785622045</v>
          </cell>
          <cell r="W174">
            <v>50</v>
          </cell>
          <cell r="X174">
            <v>37.842519685039377</v>
          </cell>
          <cell r="Y174">
            <v>65.794291338582681</v>
          </cell>
          <cell r="Z174">
            <v>37.842519685039377</v>
          </cell>
          <cell r="AA174">
            <v>65.794291338582681</v>
          </cell>
          <cell r="AB174">
            <v>37.842519685039377</v>
          </cell>
          <cell r="AC174">
            <v>65.794291338582681</v>
          </cell>
          <cell r="AD174">
            <v>65.794291338582681</v>
          </cell>
          <cell r="AE174">
            <v>65.539370078740163</v>
          </cell>
          <cell r="AF174">
            <v>23.539370078740163</v>
          </cell>
          <cell r="AG174">
            <v>40.240157480314963</v>
          </cell>
          <cell r="AH174" t="str">
            <v>N</v>
          </cell>
          <cell r="AI174">
            <v>44.1</v>
          </cell>
          <cell r="AJ174">
            <v>20</v>
          </cell>
          <cell r="AK174" t="str">
            <v>TBD</v>
          </cell>
          <cell r="AL174" t="str">
            <v>Y</v>
          </cell>
          <cell r="AM174">
            <v>200018403</v>
          </cell>
          <cell r="AN174">
            <v>200028403</v>
          </cell>
          <cell r="AO174">
            <v>200018303</v>
          </cell>
          <cell r="AP174">
            <v>200028303</v>
          </cell>
          <cell r="AQ174">
            <v>200018203</v>
          </cell>
          <cell r="AR174">
            <v>200028203</v>
          </cell>
          <cell r="AS174">
            <v>14.555555555555557</v>
          </cell>
          <cell r="AT174">
            <v>19.905846229389603</v>
          </cell>
          <cell r="AU174">
            <v>14.852704372847956</v>
          </cell>
          <cell r="AV174">
            <v>10.143144054640397</v>
          </cell>
          <cell r="AW174">
            <v>40617</v>
          </cell>
        </row>
        <row r="175">
          <cell r="C175" t="str">
            <v>Schuco - MPE 220-230 PS 09_L</v>
          </cell>
          <cell r="D175" t="str">
            <v>2nd Gen Long Claw (Schuco MPE PS09)</v>
          </cell>
          <cell r="E175">
            <v>500014404</v>
          </cell>
          <cell r="F175">
            <v>39.133858267716541</v>
          </cell>
          <cell r="G175">
            <v>65.039370078740163</v>
          </cell>
          <cell r="H175">
            <v>1.7716535433070868</v>
          </cell>
          <cell r="I175">
            <v>200010704</v>
          </cell>
          <cell r="J175">
            <v>200010804</v>
          </cell>
          <cell r="K175">
            <v>200013804</v>
          </cell>
          <cell r="L175">
            <v>200016304</v>
          </cell>
          <cell r="M175">
            <v>500012568</v>
          </cell>
          <cell r="N175">
            <v>500012668</v>
          </cell>
          <cell r="O175">
            <v>500012568</v>
          </cell>
          <cell r="P175">
            <v>500012668</v>
          </cell>
          <cell r="Q175">
            <v>10.41563801751966</v>
          </cell>
          <cell r="R175">
            <v>9.3110390770937794</v>
          </cell>
          <cell r="S175">
            <v>4.3972196268899051</v>
          </cell>
          <cell r="T175">
            <v>4.3972196268899051</v>
          </cell>
          <cell r="U175">
            <v>10.41563801751966</v>
          </cell>
          <cell r="V175">
            <v>9.3110390770937794</v>
          </cell>
          <cell r="W175">
            <v>50</v>
          </cell>
          <cell r="X175">
            <v>39.590551181102363</v>
          </cell>
          <cell r="Y175">
            <v>65.794291338582681</v>
          </cell>
          <cell r="Z175">
            <v>39.590551181102363</v>
          </cell>
          <cell r="AA175">
            <v>65.794291338582681</v>
          </cell>
          <cell r="AB175">
            <v>39.590551181102363</v>
          </cell>
          <cell r="AC175">
            <v>65.794291338582681</v>
          </cell>
          <cell r="AD175">
            <v>65.794291338582681</v>
          </cell>
          <cell r="AE175">
            <v>65.539370078740163</v>
          </cell>
          <cell r="AF175">
            <v>23.539370078740163</v>
          </cell>
          <cell r="AG175">
            <v>40.240157480314963</v>
          </cell>
          <cell r="AH175" t="str">
            <v>N</v>
          </cell>
          <cell r="AI175">
            <v>44.1</v>
          </cell>
          <cell r="AJ175">
            <v>20</v>
          </cell>
          <cell r="AK175" t="str">
            <v>TBD</v>
          </cell>
          <cell r="AL175" t="str">
            <v>Y</v>
          </cell>
          <cell r="AM175">
            <v>200018403</v>
          </cell>
          <cell r="AN175">
            <v>200028403</v>
          </cell>
          <cell r="AO175">
            <v>200018303</v>
          </cell>
          <cell r="AP175">
            <v>200028303</v>
          </cell>
          <cell r="AQ175">
            <v>200018203</v>
          </cell>
          <cell r="AR175">
            <v>200028203</v>
          </cell>
          <cell r="AS175">
            <v>14.555555555555557</v>
          </cell>
          <cell r="AT175">
            <v>19.905846229389603</v>
          </cell>
          <cell r="AU175">
            <v>14.852704372847956</v>
          </cell>
          <cell r="AV175">
            <v>10.143144054640397</v>
          </cell>
          <cell r="AW175">
            <v>40617</v>
          </cell>
        </row>
        <row r="176">
          <cell r="C176" t="str">
            <v>Sharp - NU-Q-U 230-240 F1-F2-F3-F4_X</v>
          </cell>
          <cell r="D176" t="str">
            <v>Long Claw (Sharp)</v>
          </cell>
          <cell r="E176">
            <v>500003901</v>
          </cell>
          <cell r="F176">
            <v>39.133858267716541</v>
          </cell>
          <cell r="G176">
            <v>64.566929133858267</v>
          </cell>
          <cell r="H176">
            <v>1.8110236220472442</v>
          </cell>
          <cell r="I176">
            <v>200010704</v>
          </cell>
          <cell r="J176">
            <v>200010804</v>
          </cell>
          <cell r="K176">
            <v>200013804</v>
          </cell>
          <cell r="L176">
            <v>200016304</v>
          </cell>
          <cell r="M176">
            <v>500012568</v>
          </cell>
          <cell r="N176">
            <v>500012668</v>
          </cell>
          <cell r="O176">
            <v>500012568</v>
          </cell>
          <cell r="P176">
            <v>500012668</v>
          </cell>
          <cell r="Q176">
            <v>10.902516800852544</v>
          </cell>
          <cell r="R176">
            <v>9.7452374785622045</v>
          </cell>
          <cell r="S176">
            <v>4.6007650933375821</v>
          </cell>
          <cell r="T176">
            <v>4.6007650933375821</v>
          </cell>
          <cell r="U176">
            <v>10.902516800852544</v>
          </cell>
          <cell r="V176">
            <v>9.7452374785622045</v>
          </cell>
          <cell r="W176">
            <v>50</v>
          </cell>
          <cell r="X176">
            <v>37.842519685039377</v>
          </cell>
          <cell r="Y176">
            <v>65.321850393700785</v>
          </cell>
          <cell r="Z176">
            <v>37.842519685039377</v>
          </cell>
          <cell r="AA176">
            <v>65.321850393700785</v>
          </cell>
          <cell r="AB176">
            <v>37.842519685039377</v>
          </cell>
          <cell r="AC176">
            <v>65.321850393700785</v>
          </cell>
          <cell r="AD176">
            <v>65.321850393700785</v>
          </cell>
          <cell r="AE176" t="str">
            <v>NA</v>
          </cell>
          <cell r="AF176" t="str">
            <v>NA</v>
          </cell>
          <cell r="AG176" t="str">
            <v>NA</v>
          </cell>
          <cell r="AH176" t="str">
            <v>Y</v>
          </cell>
          <cell r="AI176">
            <v>41.895000000000003</v>
          </cell>
          <cell r="AJ176">
            <v>19</v>
          </cell>
          <cell r="AK176" t="str">
            <v>TBD</v>
          </cell>
          <cell r="AL176" t="str">
            <v>N</v>
          </cell>
          <cell r="AM176" t="str">
            <v>2000184TBD</v>
          </cell>
          <cell r="AN176" t="str">
            <v>2000284TBD</v>
          </cell>
          <cell r="AO176" t="str">
            <v>2000183TBD</v>
          </cell>
          <cell r="AP176" t="str">
            <v>2000283TBD</v>
          </cell>
          <cell r="AQ176" t="str">
            <v>2000182TBD</v>
          </cell>
          <cell r="AR176" t="str">
            <v>2000282TBD</v>
          </cell>
          <cell r="AS176" t="str">
            <v>TBD</v>
          </cell>
          <cell r="AT176" t="str">
            <v>NA</v>
          </cell>
          <cell r="AU176" t="str">
            <v>NA</v>
          </cell>
          <cell r="AV176" t="str">
            <v>NA</v>
          </cell>
          <cell r="AW176">
            <v>41317</v>
          </cell>
        </row>
        <row r="177">
          <cell r="C177" t="str">
            <v>Sharp - NU-Q-U 230-240 F1-F2-F3-F4_L</v>
          </cell>
          <cell r="D177" t="str">
            <v>2nd Gen Long Claw (Sharp)</v>
          </cell>
          <cell r="E177">
            <v>500014401</v>
          </cell>
          <cell r="F177">
            <v>39.133858267716541</v>
          </cell>
          <cell r="G177">
            <v>64.566929133858267</v>
          </cell>
          <cell r="H177">
            <v>1.8110236220472442</v>
          </cell>
          <cell r="I177">
            <v>200010704</v>
          </cell>
          <cell r="J177">
            <v>200010804</v>
          </cell>
          <cell r="K177">
            <v>200013804</v>
          </cell>
          <cell r="L177">
            <v>200016304</v>
          </cell>
          <cell r="M177">
            <v>500012568</v>
          </cell>
          <cell r="N177">
            <v>500012668</v>
          </cell>
          <cell r="O177">
            <v>500012568</v>
          </cell>
          <cell r="P177">
            <v>500012668</v>
          </cell>
          <cell r="Q177">
            <v>10.305798776616593</v>
          </cell>
          <cell r="R177">
            <v>9.2130650449241358</v>
          </cell>
          <cell r="S177">
            <v>4.3512632993337474</v>
          </cell>
          <cell r="T177">
            <v>4.3512632993337474</v>
          </cell>
          <cell r="U177">
            <v>10.305798776616593</v>
          </cell>
          <cell r="V177">
            <v>9.2130650449241358</v>
          </cell>
          <cell r="W177">
            <v>50</v>
          </cell>
          <cell r="X177">
            <v>40.007874015748037</v>
          </cell>
          <cell r="Y177">
            <v>65.321850393700785</v>
          </cell>
          <cell r="Z177">
            <v>40.007874015748037</v>
          </cell>
          <cell r="AA177">
            <v>65.321850393700785</v>
          </cell>
          <cell r="AB177">
            <v>40.007874015748037</v>
          </cell>
          <cell r="AC177">
            <v>65.321850393700785</v>
          </cell>
          <cell r="AD177">
            <v>65.321850393700785</v>
          </cell>
          <cell r="AE177" t="str">
            <v>NA</v>
          </cell>
          <cell r="AF177" t="str">
            <v>NA</v>
          </cell>
          <cell r="AG177" t="str">
            <v>NA</v>
          </cell>
          <cell r="AH177" t="str">
            <v>Y</v>
          </cell>
          <cell r="AI177">
            <v>41.895000000000003</v>
          </cell>
          <cell r="AJ177">
            <v>19</v>
          </cell>
          <cell r="AK177" t="str">
            <v>TBD</v>
          </cell>
          <cell r="AL177" t="str">
            <v>N</v>
          </cell>
          <cell r="AM177" t="str">
            <v>2000184TBD</v>
          </cell>
          <cell r="AN177" t="str">
            <v>2000284TBD</v>
          </cell>
          <cell r="AO177" t="str">
            <v>2000183TBD</v>
          </cell>
          <cell r="AP177" t="str">
            <v>2000283TBD</v>
          </cell>
          <cell r="AQ177" t="str">
            <v>2000182TBD</v>
          </cell>
          <cell r="AR177" t="str">
            <v>2000282TBD</v>
          </cell>
          <cell r="AS177" t="str">
            <v>TBD</v>
          </cell>
          <cell r="AT177" t="str">
            <v>NA</v>
          </cell>
          <cell r="AU177" t="str">
            <v>NA</v>
          </cell>
          <cell r="AV177" t="str">
            <v>NA</v>
          </cell>
          <cell r="AW177">
            <v>41317</v>
          </cell>
        </row>
        <row r="178">
          <cell r="C178" t="str">
            <v>Sharp - ND- 200-240 QCJ-UCJ-UC1_X</v>
          </cell>
          <cell r="D178" t="str">
            <v>Long Claw (Sharp)</v>
          </cell>
          <cell r="E178">
            <v>500003901</v>
          </cell>
          <cell r="F178">
            <v>39.133858267716541</v>
          </cell>
          <cell r="G178">
            <v>64.566929133858267</v>
          </cell>
          <cell r="H178">
            <v>1.8110236220472442</v>
          </cell>
          <cell r="I178">
            <v>200010704</v>
          </cell>
          <cell r="J178">
            <v>200010804</v>
          </cell>
          <cell r="K178">
            <v>200013804</v>
          </cell>
          <cell r="L178">
            <v>200016304</v>
          </cell>
          <cell r="M178">
            <v>500012568</v>
          </cell>
          <cell r="N178">
            <v>500012668</v>
          </cell>
          <cell r="O178">
            <v>500012568</v>
          </cell>
          <cell r="P178">
            <v>500012668</v>
          </cell>
          <cell r="Q178">
            <v>10.902516800852544</v>
          </cell>
          <cell r="R178">
            <v>9.7452374785622045</v>
          </cell>
          <cell r="S178">
            <v>4.6007650933375821</v>
          </cell>
          <cell r="T178">
            <v>4.6007650933375821</v>
          </cell>
          <cell r="U178">
            <v>10.902516800852544</v>
          </cell>
          <cell r="V178">
            <v>9.7452374785622045</v>
          </cell>
          <cell r="W178">
            <v>50</v>
          </cell>
          <cell r="X178">
            <v>37.842519685039377</v>
          </cell>
          <cell r="Y178">
            <v>65.321850393700785</v>
          </cell>
          <cell r="Z178">
            <v>37.842519685039377</v>
          </cell>
          <cell r="AA178">
            <v>65.321850393700785</v>
          </cell>
          <cell r="AB178">
            <v>37.842519685039377</v>
          </cell>
          <cell r="AC178">
            <v>65.321850393700785</v>
          </cell>
          <cell r="AD178">
            <v>65.321850393700785</v>
          </cell>
          <cell r="AE178" t="str">
            <v>NA</v>
          </cell>
          <cell r="AF178" t="str">
            <v>NA</v>
          </cell>
          <cell r="AG178" t="str">
            <v>NA</v>
          </cell>
          <cell r="AH178" t="str">
            <v>Y</v>
          </cell>
          <cell r="AI178">
            <v>41.895000000000003</v>
          </cell>
          <cell r="AJ178">
            <v>19</v>
          </cell>
          <cell r="AK178" t="str">
            <v>TBD</v>
          </cell>
          <cell r="AL178" t="str">
            <v>N</v>
          </cell>
          <cell r="AM178" t="str">
            <v>2000184TBD</v>
          </cell>
          <cell r="AN178" t="str">
            <v>2000284TBD</v>
          </cell>
          <cell r="AO178" t="str">
            <v>2000183TBD</v>
          </cell>
          <cell r="AP178" t="str">
            <v>2000283TBD</v>
          </cell>
          <cell r="AQ178" t="str">
            <v>2000182TBD</v>
          </cell>
          <cell r="AR178" t="str">
            <v>2000282TBD</v>
          </cell>
          <cell r="AS178" t="str">
            <v>TBD</v>
          </cell>
          <cell r="AT178" t="str">
            <v>NA</v>
          </cell>
          <cell r="AU178" t="str">
            <v>NA</v>
          </cell>
          <cell r="AV178" t="str">
            <v>NA</v>
          </cell>
          <cell r="AW178">
            <v>41317</v>
          </cell>
        </row>
        <row r="179">
          <cell r="C179" t="str">
            <v>Sharp - ND- 200-240 QCJ-UCJ-UC1_L</v>
          </cell>
          <cell r="D179" t="str">
            <v>2nd Gen Long Claw (Sharp)</v>
          </cell>
          <cell r="E179">
            <v>500014401</v>
          </cell>
          <cell r="F179">
            <v>39.133858267716541</v>
          </cell>
          <cell r="G179">
            <v>64.566929133858267</v>
          </cell>
          <cell r="H179">
            <v>1.8110236220472442</v>
          </cell>
          <cell r="I179">
            <v>200010704</v>
          </cell>
          <cell r="J179">
            <v>200010804</v>
          </cell>
          <cell r="K179">
            <v>200013804</v>
          </cell>
          <cell r="L179">
            <v>200016304</v>
          </cell>
          <cell r="M179">
            <v>500012568</v>
          </cell>
          <cell r="N179">
            <v>500012668</v>
          </cell>
          <cell r="O179">
            <v>500012568</v>
          </cell>
          <cell r="P179">
            <v>500012668</v>
          </cell>
          <cell r="Q179">
            <v>10.305798776616593</v>
          </cell>
          <cell r="R179">
            <v>9.2130650449241358</v>
          </cell>
          <cell r="S179">
            <v>4.3512632993337474</v>
          </cell>
          <cell r="T179">
            <v>4.3512632993337474</v>
          </cell>
          <cell r="U179">
            <v>10.305798776616593</v>
          </cell>
          <cell r="V179">
            <v>9.2130650449241358</v>
          </cell>
          <cell r="W179">
            <v>50</v>
          </cell>
          <cell r="X179">
            <v>40.007874015748037</v>
          </cell>
          <cell r="Y179">
            <v>65.321850393700785</v>
          </cell>
          <cell r="Z179">
            <v>40.007874015748037</v>
          </cell>
          <cell r="AA179">
            <v>65.321850393700785</v>
          </cell>
          <cell r="AB179">
            <v>40.007874015748037</v>
          </cell>
          <cell r="AC179">
            <v>65.321850393700785</v>
          </cell>
          <cell r="AD179">
            <v>65.321850393700785</v>
          </cell>
          <cell r="AE179" t="str">
            <v>NA</v>
          </cell>
          <cell r="AF179" t="str">
            <v>NA</v>
          </cell>
          <cell r="AG179" t="str">
            <v>NA</v>
          </cell>
          <cell r="AH179" t="str">
            <v>Y</v>
          </cell>
          <cell r="AI179">
            <v>41.895000000000003</v>
          </cell>
          <cell r="AJ179">
            <v>19</v>
          </cell>
          <cell r="AK179" t="str">
            <v>TBD</v>
          </cell>
          <cell r="AL179" t="str">
            <v>N</v>
          </cell>
          <cell r="AM179" t="str">
            <v>2000184TBD</v>
          </cell>
          <cell r="AN179" t="str">
            <v>2000284TBD</v>
          </cell>
          <cell r="AO179" t="str">
            <v>2000183TBD</v>
          </cell>
          <cell r="AP179" t="str">
            <v>2000283TBD</v>
          </cell>
          <cell r="AQ179" t="str">
            <v>2000182TBD</v>
          </cell>
          <cell r="AR179" t="str">
            <v>2000282TBD</v>
          </cell>
          <cell r="AS179" t="str">
            <v>TBD</v>
          </cell>
          <cell r="AT179" t="str">
            <v>NA</v>
          </cell>
          <cell r="AU179" t="str">
            <v>NA</v>
          </cell>
          <cell r="AV179" t="str">
            <v>NA</v>
          </cell>
          <cell r="AW179">
            <v>41317</v>
          </cell>
        </row>
        <row r="180">
          <cell r="C180" t="str">
            <v>Sharp - ND-H-L-U 230-245 C1-C5-Q2_X</v>
          </cell>
          <cell r="D180" t="str">
            <v>Long Claw (Sharp)</v>
          </cell>
          <cell r="E180">
            <v>500003901</v>
          </cell>
          <cell r="F180">
            <v>39.133858267716541</v>
          </cell>
          <cell r="G180">
            <v>64.566929133858267</v>
          </cell>
          <cell r="H180">
            <v>1.8110236220472442</v>
          </cell>
          <cell r="I180">
            <v>200010704</v>
          </cell>
          <cell r="J180">
            <v>200010804</v>
          </cell>
          <cell r="K180">
            <v>200013804</v>
          </cell>
          <cell r="L180">
            <v>200016304</v>
          </cell>
          <cell r="M180">
            <v>500012568</v>
          </cell>
          <cell r="N180">
            <v>500012668</v>
          </cell>
          <cell r="O180">
            <v>500012568</v>
          </cell>
          <cell r="P180">
            <v>500012668</v>
          </cell>
          <cell r="Q180">
            <v>10.902516800852544</v>
          </cell>
          <cell r="R180">
            <v>9.7452374785622045</v>
          </cell>
          <cell r="S180">
            <v>4.6007650933375821</v>
          </cell>
          <cell r="T180">
            <v>4.6007650933375821</v>
          </cell>
          <cell r="U180">
            <v>10.902516800852544</v>
          </cell>
          <cell r="V180">
            <v>9.7452374785622045</v>
          </cell>
          <cell r="W180">
            <v>50</v>
          </cell>
          <cell r="X180">
            <v>37.842519685039377</v>
          </cell>
          <cell r="Y180">
            <v>65.321850393700785</v>
          </cell>
          <cell r="Z180">
            <v>37.842519685039377</v>
          </cell>
          <cell r="AA180">
            <v>65.321850393700785</v>
          </cell>
          <cell r="AB180">
            <v>37.842519685039377</v>
          </cell>
          <cell r="AC180">
            <v>65.321850393700785</v>
          </cell>
          <cell r="AD180">
            <v>65.321850393700785</v>
          </cell>
          <cell r="AE180" t="str">
            <v>NA</v>
          </cell>
          <cell r="AF180" t="str">
            <v>NA</v>
          </cell>
          <cell r="AG180" t="str">
            <v>NA</v>
          </cell>
          <cell r="AH180" t="str">
            <v>Y</v>
          </cell>
          <cell r="AI180">
            <v>41.895000000000003</v>
          </cell>
          <cell r="AJ180">
            <v>19</v>
          </cell>
          <cell r="AK180" t="str">
            <v>TBD</v>
          </cell>
          <cell r="AL180" t="str">
            <v>N</v>
          </cell>
          <cell r="AM180" t="str">
            <v>2000184TBD</v>
          </cell>
          <cell r="AN180" t="str">
            <v>2000284TBD</v>
          </cell>
          <cell r="AO180" t="str">
            <v>2000183TBD</v>
          </cell>
          <cell r="AP180" t="str">
            <v>2000283TBD</v>
          </cell>
          <cell r="AQ180" t="str">
            <v>2000182TBD</v>
          </cell>
          <cell r="AR180" t="str">
            <v>2000282TBD</v>
          </cell>
          <cell r="AS180" t="str">
            <v>TBD</v>
          </cell>
          <cell r="AT180" t="str">
            <v>NA</v>
          </cell>
          <cell r="AU180" t="str">
            <v>NA</v>
          </cell>
          <cell r="AV180" t="str">
            <v>NA</v>
          </cell>
          <cell r="AW180">
            <v>41317</v>
          </cell>
        </row>
        <row r="181">
          <cell r="C181" t="str">
            <v>Sharp - ND-H-L-U 230-245 C1-C5-Q2_L</v>
          </cell>
          <cell r="D181" t="str">
            <v>2nd Gen Long Claw (Sharp)</v>
          </cell>
          <cell r="E181">
            <v>500014401</v>
          </cell>
          <cell r="F181">
            <v>39.133858267716541</v>
          </cell>
          <cell r="G181">
            <v>64.566929133858267</v>
          </cell>
          <cell r="H181">
            <v>1.8110236220472442</v>
          </cell>
          <cell r="I181">
            <v>200010704</v>
          </cell>
          <cell r="J181">
            <v>200010804</v>
          </cell>
          <cell r="K181">
            <v>200013804</v>
          </cell>
          <cell r="L181">
            <v>200016304</v>
          </cell>
          <cell r="M181">
            <v>500012568</v>
          </cell>
          <cell r="N181">
            <v>500012668</v>
          </cell>
          <cell r="O181">
            <v>500012568</v>
          </cell>
          <cell r="P181">
            <v>500012668</v>
          </cell>
          <cell r="Q181">
            <v>10.305798776616593</v>
          </cell>
          <cell r="R181">
            <v>9.2130650449241358</v>
          </cell>
          <cell r="S181">
            <v>4.3512632993337474</v>
          </cell>
          <cell r="T181">
            <v>4.3512632993337474</v>
          </cell>
          <cell r="U181">
            <v>10.305798776616593</v>
          </cell>
          <cell r="V181">
            <v>9.2130650449241358</v>
          </cell>
          <cell r="W181">
            <v>50</v>
          </cell>
          <cell r="X181">
            <v>40.007874015748037</v>
          </cell>
          <cell r="Y181">
            <v>65.321850393700785</v>
          </cell>
          <cell r="Z181">
            <v>40.007874015748037</v>
          </cell>
          <cell r="AA181">
            <v>65.321850393700785</v>
          </cell>
          <cell r="AB181">
            <v>40.007874015748037</v>
          </cell>
          <cell r="AC181">
            <v>65.321850393700785</v>
          </cell>
          <cell r="AD181">
            <v>65.321850393700785</v>
          </cell>
          <cell r="AE181" t="str">
            <v>NA</v>
          </cell>
          <cell r="AF181" t="str">
            <v>NA</v>
          </cell>
          <cell r="AG181" t="str">
            <v>NA</v>
          </cell>
          <cell r="AH181" t="str">
            <v>Y</v>
          </cell>
          <cell r="AI181">
            <v>41.895000000000003</v>
          </cell>
          <cell r="AJ181">
            <v>19</v>
          </cell>
          <cell r="AK181" t="str">
            <v>TBD</v>
          </cell>
          <cell r="AL181" t="str">
            <v>N</v>
          </cell>
          <cell r="AM181" t="str">
            <v>2000184TBD</v>
          </cell>
          <cell r="AN181" t="str">
            <v>2000284TBD</v>
          </cell>
          <cell r="AO181" t="str">
            <v>2000183TBD</v>
          </cell>
          <cell r="AP181" t="str">
            <v>2000283TBD</v>
          </cell>
          <cell r="AQ181" t="str">
            <v>2000182TBD</v>
          </cell>
          <cell r="AR181" t="str">
            <v>2000282TBD</v>
          </cell>
          <cell r="AS181" t="str">
            <v>TBD</v>
          </cell>
          <cell r="AT181" t="str">
            <v>NA</v>
          </cell>
          <cell r="AU181" t="str">
            <v>NA</v>
          </cell>
          <cell r="AV181" t="str">
            <v>NA</v>
          </cell>
          <cell r="AW181">
            <v>41317</v>
          </cell>
        </row>
        <row r="182">
          <cell r="C182" t="str">
            <v>Siliken - SLK60P6L 225-255_S</v>
          </cell>
          <cell r="D182" t="str">
            <v>Standard Claw</v>
          </cell>
          <cell r="E182">
            <v>5000005</v>
          </cell>
          <cell r="F182">
            <v>38.976377952755911</v>
          </cell>
          <cell r="G182">
            <v>64.566929133858267</v>
          </cell>
          <cell r="H182">
            <v>1.5748031496062993</v>
          </cell>
          <cell r="I182">
            <v>200010704</v>
          </cell>
          <cell r="J182">
            <v>200010804</v>
          </cell>
          <cell r="K182">
            <v>200013804</v>
          </cell>
          <cell r="L182">
            <v>200016304</v>
          </cell>
          <cell r="M182">
            <v>500012569</v>
          </cell>
          <cell r="N182">
            <v>500012669</v>
          </cell>
          <cell r="O182">
            <v>500012569</v>
          </cell>
          <cell r="P182">
            <v>500012669</v>
          </cell>
          <cell r="Q182">
            <v>11.567921568027101</v>
          </cell>
          <cell r="R182">
            <v>10.338408394627242</v>
          </cell>
          <cell r="S182">
            <v>4.8784985689262594</v>
          </cell>
          <cell r="T182">
            <v>4.8784985689262594</v>
          </cell>
          <cell r="U182">
            <v>11.567921568027101</v>
          </cell>
          <cell r="V182">
            <v>10.338408394627242</v>
          </cell>
          <cell r="W182">
            <v>55</v>
          </cell>
          <cell r="X182">
            <v>35.692913385826778</v>
          </cell>
          <cell r="Y182">
            <v>66.510826771653541</v>
          </cell>
          <cell r="Z182">
            <v>35.692913385826778</v>
          </cell>
          <cell r="AA182">
            <v>66.510826771653541</v>
          </cell>
          <cell r="AB182">
            <v>35.692913385826778</v>
          </cell>
          <cell r="AC182">
            <v>66.510826771653541</v>
          </cell>
          <cell r="AD182">
            <v>66.510826771653541</v>
          </cell>
          <cell r="AE182">
            <v>65.066929133858267</v>
          </cell>
          <cell r="AF182">
            <v>23.066929133858274</v>
          </cell>
          <cell r="AG182">
            <v>40.318897637795274</v>
          </cell>
          <cell r="AH182" t="str">
            <v>Y</v>
          </cell>
          <cell r="AI182">
            <v>41.895000000000003</v>
          </cell>
          <cell r="AJ182">
            <v>19</v>
          </cell>
          <cell r="AK182" t="str">
            <v>TBD</v>
          </cell>
          <cell r="AL182" t="str">
            <v>Y</v>
          </cell>
          <cell r="AM182">
            <v>200018403</v>
          </cell>
          <cell r="AN182">
            <v>200028403</v>
          </cell>
          <cell r="AO182">
            <v>200018303</v>
          </cell>
          <cell r="AP182">
            <v>200028303</v>
          </cell>
          <cell r="AQ182">
            <v>200018203</v>
          </cell>
          <cell r="AR182">
            <v>200028203</v>
          </cell>
          <cell r="AS182">
            <v>14.555555555555557</v>
          </cell>
          <cell r="AT182">
            <v>19.865333113183517</v>
          </cell>
          <cell r="AU182">
            <v>14.823032363177612</v>
          </cell>
          <cell r="AV182">
            <v>10.123126221214482</v>
          </cell>
          <cell r="AW182">
            <v>41317</v>
          </cell>
        </row>
        <row r="183">
          <cell r="C183" t="str">
            <v>Siliken - SLK72P6L 280-305_S</v>
          </cell>
          <cell r="D183" t="str">
            <v>Standard Claw</v>
          </cell>
          <cell r="E183">
            <v>5000005</v>
          </cell>
          <cell r="F183">
            <v>38.976377952755911</v>
          </cell>
          <cell r="G183">
            <v>77.165354330708666</v>
          </cell>
          <cell r="H183">
            <v>1.5748031496062993</v>
          </cell>
          <cell r="I183">
            <v>200010708</v>
          </cell>
          <cell r="J183">
            <v>200010808</v>
          </cell>
          <cell r="K183">
            <v>200013808</v>
          </cell>
          <cell r="L183">
            <v>200016308</v>
          </cell>
          <cell r="M183">
            <v>500012581</v>
          </cell>
          <cell r="N183">
            <v>500012681</v>
          </cell>
          <cell r="O183">
            <v>500012582</v>
          </cell>
          <cell r="P183">
            <v>500012682</v>
          </cell>
          <cell r="Q183">
            <v>11.567921568027101</v>
          </cell>
          <cell r="R183">
            <v>10.338408394627242</v>
          </cell>
          <cell r="S183">
            <v>4.8784985689262594</v>
          </cell>
          <cell r="T183">
            <v>4.8784985689262594</v>
          </cell>
          <cell r="U183">
            <v>11.567921568027101</v>
          </cell>
          <cell r="V183">
            <v>10.338408394627242</v>
          </cell>
          <cell r="W183">
            <v>55</v>
          </cell>
          <cell r="X183">
            <v>35.692913385826778</v>
          </cell>
          <cell r="Y183">
            <v>79.109251968503941</v>
          </cell>
          <cell r="Z183">
            <v>35.692913385826778</v>
          </cell>
          <cell r="AA183">
            <v>79.109251968503941</v>
          </cell>
          <cell r="AB183">
            <v>35.692913385826778</v>
          </cell>
          <cell r="AC183">
            <v>79.109251968503941</v>
          </cell>
          <cell r="AD183">
            <v>79.109251968503941</v>
          </cell>
          <cell r="AE183">
            <v>77.665354330708666</v>
          </cell>
          <cell r="AF183">
            <v>35.665354330708666</v>
          </cell>
          <cell r="AG183">
            <v>40.318897637795274</v>
          </cell>
          <cell r="AH183" t="str">
            <v>N</v>
          </cell>
          <cell r="AI183">
            <v>50.715000000000003</v>
          </cell>
          <cell r="AJ183">
            <v>23</v>
          </cell>
          <cell r="AK183" t="str">
            <v>TBD</v>
          </cell>
          <cell r="AL183" t="str">
            <v>Y</v>
          </cell>
          <cell r="AM183">
            <v>200018407</v>
          </cell>
          <cell r="AN183">
            <v>200028407</v>
          </cell>
          <cell r="AO183">
            <v>200018307</v>
          </cell>
          <cell r="AP183">
            <v>200028307</v>
          </cell>
          <cell r="AQ183">
            <v>200018207</v>
          </cell>
          <cell r="AR183">
            <v>200028207</v>
          </cell>
          <cell r="AS183">
            <v>17.222222222222221</v>
          </cell>
          <cell r="AT183">
            <v>19.865333113183517</v>
          </cell>
          <cell r="AU183">
            <v>14.823032363177612</v>
          </cell>
          <cell r="AV183">
            <v>10.123126221214482</v>
          </cell>
          <cell r="AW183">
            <v>40962</v>
          </cell>
        </row>
        <row r="184">
          <cell r="C184" t="str">
            <v>Solarworld - Sunmodule Plus SW poly 220-245_X</v>
          </cell>
          <cell r="D184" t="str">
            <v>Long Claw (Solarworld)</v>
          </cell>
          <cell r="E184">
            <v>500003906</v>
          </cell>
          <cell r="F184">
            <v>39.409448818897637</v>
          </cell>
          <cell r="G184">
            <v>65.944881889763778</v>
          </cell>
          <cell r="H184">
            <v>1.2204724409448819</v>
          </cell>
          <cell r="I184">
            <v>200010704</v>
          </cell>
          <cell r="J184">
            <v>200010804</v>
          </cell>
          <cell r="K184">
            <v>200013804</v>
          </cell>
          <cell r="L184">
            <v>200016304</v>
          </cell>
          <cell r="M184">
            <v>500012569</v>
          </cell>
          <cell r="N184">
            <v>500012669</v>
          </cell>
          <cell r="O184">
            <v>500012569</v>
          </cell>
          <cell r="P184">
            <v>500012669</v>
          </cell>
          <cell r="Q184">
            <v>10.822737897385357</v>
          </cell>
          <cell r="R184">
            <v>9.6741004596157492</v>
          </cell>
          <cell r="S184">
            <v>4.5674310720656335</v>
          </cell>
          <cell r="T184">
            <v>4.5674310720656335</v>
          </cell>
          <cell r="U184">
            <v>10.822737897385357</v>
          </cell>
          <cell r="V184">
            <v>9.6741004596157492</v>
          </cell>
          <cell r="W184">
            <v>0</v>
          </cell>
          <cell r="X184">
            <v>38.118110236220474</v>
          </cell>
          <cell r="Y184">
            <v>66.699803149606296</v>
          </cell>
          <cell r="Z184">
            <v>38.118110236220474</v>
          </cell>
          <cell r="AA184">
            <v>66.699803149606296</v>
          </cell>
          <cell r="AB184">
            <v>38.118110236220474</v>
          </cell>
          <cell r="AC184">
            <v>66.699803149606296</v>
          </cell>
          <cell r="AD184">
            <v>66.699803149606296</v>
          </cell>
          <cell r="AE184" t="str">
            <v>NA</v>
          </cell>
          <cell r="AF184" t="str">
            <v>NA</v>
          </cell>
          <cell r="AG184" t="str">
            <v>NA</v>
          </cell>
          <cell r="AH184" t="str">
            <v>N</v>
          </cell>
          <cell r="AI184">
            <v>46.746000000000002</v>
          </cell>
          <cell r="AJ184">
            <v>21.2</v>
          </cell>
          <cell r="AK184" t="str">
            <v>TBD</v>
          </cell>
          <cell r="AL184" t="str">
            <v>N</v>
          </cell>
          <cell r="AM184" t="str">
            <v>2000184TBD</v>
          </cell>
          <cell r="AN184" t="str">
            <v>2000284TBD</v>
          </cell>
          <cell r="AO184" t="str">
            <v>2000183TBD</v>
          </cell>
          <cell r="AP184" t="str">
            <v>2000283TBD</v>
          </cell>
          <cell r="AQ184" t="str">
            <v>2000182TBD</v>
          </cell>
          <cell r="AR184" t="str">
            <v>2000282TBD</v>
          </cell>
          <cell r="AS184" t="str">
            <v>TBD</v>
          </cell>
          <cell r="AT184" t="str">
            <v>NA</v>
          </cell>
          <cell r="AU184" t="str">
            <v>NA</v>
          </cell>
          <cell r="AV184" t="str">
            <v>NA</v>
          </cell>
          <cell r="AW184">
            <v>41226</v>
          </cell>
        </row>
        <row r="185">
          <cell r="C185" t="str">
            <v>Solarworld - Sunmodule Plus SW poly 220-245_L</v>
          </cell>
          <cell r="D185" t="str">
            <v>2nd Gen Long Claw (Solarworld)</v>
          </cell>
          <cell r="E185">
            <v>500014406</v>
          </cell>
          <cell r="F185">
            <v>39.409448818897637</v>
          </cell>
          <cell r="G185">
            <v>65.944881889763778</v>
          </cell>
          <cell r="H185">
            <v>1.2204724409448819</v>
          </cell>
          <cell r="I185">
            <v>200010704</v>
          </cell>
          <cell r="J185">
            <v>200010804</v>
          </cell>
          <cell r="K185">
            <v>200013804</v>
          </cell>
          <cell r="L185">
            <v>200016304</v>
          </cell>
          <cell r="M185">
            <v>500012569</v>
          </cell>
          <cell r="N185">
            <v>500012669</v>
          </cell>
          <cell r="O185">
            <v>500012569</v>
          </cell>
          <cell r="P185">
            <v>500012669</v>
          </cell>
          <cell r="Q185">
            <v>10.378071043466617</v>
          </cell>
          <cell r="R185">
            <v>9.2775310056174831</v>
          </cell>
          <cell r="S185">
            <v>4.3815032414171657</v>
          </cell>
          <cell r="T185">
            <v>4.3815032414171657</v>
          </cell>
          <cell r="U185">
            <v>10.378071043466617</v>
          </cell>
          <cell r="V185">
            <v>9.2775310056174831</v>
          </cell>
          <cell r="W185">
            <v>30</v>
          </cell>
          <cell r="X185">
            <v>39.732283464566933</v>
          </cell>
          <cell r="Y185">
            <v>66.699803149606296</v>
          </cell>
          <cell r="Z185">
            <v>39.732283464566933</v>
          </cell>
          <cell r="AA185">
            <v>66.699803149606296</v>
          </cell>
          <cell r="AB185">
            <v>39.732283464566933</v>
          </cell>
          <cell r="AC185">
            <v>66.699803149606296</v>
          </cell>
          <cell r="AD185">
            <v>66.699803149606296</v>
          </cell>
          <cell r="AE185" t="str">
            <v>NA</v>
          </cell>
          <cell r="AF185" t="str">
            <v>NA</v>
          </cell>
          <cell r="AG185" t="str">
            <v>NA</v>
          </cell>
          <cell r="AH185" t="str">
            <v>N</v>
          </cell>
          <cell r="AI185">
            <v>46.746000000000002</v>
          </cell>
          <cell r="AJ185">
            <v>21.2</v>
          </cell>
          <cell r="AK185" t="str">
            <v>TBD</v>
          </cell>
          <cell r="AL185" t="str">
            <v>N</v>
          </cell>
          <cell r="AM185" t="str">
            <v>2000184TBD</v>
          </cell>
          <cell r="AN185" t="str">
            <v>2000284TBD</v>
          </cell>
          <cell r="AO185" t="str">
            <v>2000183TBD</v>
          </cell>
          <cell r="AP185" t="str">
            <v>2000283TBD</v>
          </cell>
          <cell r="AQ185" t="str">
            <v>2000182TBD</v>
          </cell>
          <cell r="AR185" t="str">
            <v>2000282TBD</v>
          </cell>
          <cell r="AS185" t="str">
            <v>TBD</v>
          </cell>
          <cell r="AT185" t="str">
            <v>NA</v>
          </cell>
          <cell r="AU185" t="str">
            <v>NA</v>
          </cell>
          <cell r="AV185" t="str">
            <v>NA</v>
          </cell>
          <cell r="AW185">
            <v>41226</v>
          </cell>
        </row>
        <row r="186">
          <cell r="C186" t="str">
            <v>Solarworld - Sunmodule Plus SW mono 225-255_X</v>
          </cell>
          <cell r="D186" t="str">
            <v>Long Claw (Solarworld)</v>
          </cell>
          <cell r="E186">
            <v>500003906</v>
          </cell>
          <cell r="F186">
            <v>39.409448818897637</v>
          </cell>
          <cell r="G186">
            <v>65.944881889763778</v>
          </cell>
          <cell r="H186">
            <v>1.2204724409448819</v>
          </cell>
          <cell r="I186">
            <v>200010704</v>
          </cell>
          <cell r="J186">
            <v>200010804</v>
          </cell>
          <cell r="K186">
            <v>200013804</v>
          </cell>
          <cell r="L186">
            <v>200016304</v>
          </cell>
          <cell r="M186">
            <v>500012569</v>
          </cell>
          <cell r="N186">
            <v>500012669</v>
          </cell>
          <cell r="O186">
            <v>500012569</v>
          </cell>
          <cell r="P186">
            <v>500012669</v>
          </cell>
          <cell r="Q186">
            <v>10.822737897385357</v>
          </cell>
          <cell r="R186">
            <v>9.6741004596157492</v>
          </cell>
          <cell r="S186">
            <v>4.5674310720656335</v>
          </cell>
          <cell r="T186">
            <v>4.5674310720656335</v>
          </cell>
          <cell r="U186">
            <v>10.822737897385357</v>
          </cell>
          <cell r="V186">
            <v>9.6741004596157492</v>
          </cell>
          <cell r="W186">
            <v>0</v>
          </cell>
          <cell r="X186">
            <v>38.118110236220474</v>
          </cell>
          <cell r="Y186">
            <v>66.699803149606296</v>
          </cell>
          <cell r="Z186">
            <v>38.118110236220474</v>
          </cell>
          <cell r="AA186">
            <v>66.699803149606296</v>
          </cell>
          <cell r="AB186">
            <v>38.118110236220474</v>
          </cell>
          <cell r="AC186">
            <v>66.699803149606296</v>
          </cell>
          <cell r="AD186">
            <v>66.699803149606296</v>
          </cell>
          <cell r="AE186" t="str">
            <v>NA</v>
          </cell>
          <cell r="AF186" t="str">
            <v>NA</v>
          </cell>
          <cell r="AG186" t="str">
            <v>NA</v>
          </cell>
          <cell r="AH186" t="str">
            <v>N</v>
          </cell>
          <cell r="AI186">
            <v>46.746000000000002</v>
          </cell>
          <cell r="AJ186">
            <v>21.2</v>
          </cell>
          <cell r="AK186" t="str">
            <v>TBD</v>
          </cell>
          <cell r="AL186" t="str">
            <v>N</v>
          </cell>
          <cell r="AM186" t="str">
            <v>2000184TBD</v>
          </cell>
          <cell r="AN186" t="str">
            <v>2000284TBD</v>
          </cell>
          <cell r="AO186" t="str">
            <v>2000183TBD</v>
          </cell>
          <cell r="AP186" t="str">
            <v>2000283TBD</v>
          </cell>
          <cell r="AQ186" t="str">
            <v>2000182TBD</v>
          </cell>
          <cell r="AR186" t="str">
            <v>2000282TBD</v>
          </cell>
          <cell r="AS186" t="str">
            <v>TBD</v>
          </cell>
          <cell r="AT186" t="str">
            <v>NA</v>
          </cell>
          <cell r="AU186" t="str">
            <v>NA</v>
          </cell>
          <cell r="AV186" t="str">
            <v>NA</v>
          </cell>
          <cell r="AW186">
            <v>41226</v>
          </cell>
        </row>
        <row r="187">
          <cell r="C187" t="str">
            <v>Solarworld - Sunmodule Plus SW mono 225-255_L</v>
          </cell>
          <cell r="D187" t="str">
            <v>2nd Gen Long Claw (Solarworld)</v>
          </cell>
          <cell r="E187">
            <v>500014406</v>
          </cell>
          <cell r="F187">
            <v>39.409448818897637</v>
          </cell>
          <cell r="G187">
            <v>65.944881889763778</v>
          </cell>
          <cell r="H187">
            <v>1.2204724409448819</v>
          </cell>
          <cell r="I187">
            <v>200010704</v>
          </cell>
          <cell r="J187">
            <v>200010804</v>
          </cell>
          <cell r="K187">
            <v>200013804</v>
          </cell>
          <cell r="L187">
            <v>200016304</v>
          </cell>
          <cell r="M187">
            <v>500012569</v>
          </cell>
          <cell r="N187">
            <v>500012669</v>
          </cell>
          <cell r="O187">
            <v>500012569</v>
          </cell>
          <cell r="P187">
            <v>500012669</v>
          </cell>
          <cell r="Q187">
            <v>10.378071043466617</v>
          </cell>
          <cell r="R187">
            <v>9.2775310056174831</v>
          </cell>
          <cell r="S187">
            <v>4.3815032414171657</v>
          </cell>
          <cell r="T187">
            <v>4.3815032414171657</v>
          </cell>
          <cell r="U187">
            <v>10.378071043466617</v>
          </cell>
          <cell r="V187">
            <v>9.2775310056174831</v>
          </cell>
          <cell r="W187">
            <v>30</v>
          </cell>
          <cell r="X187">
            <v>39.732283464566933</v>
          </cell>
          <cell r="Y187">
            <v>66.699803149606296</v>
          </cell>
          <cell r="Z187">
            <v>39.732283464566933</v>
          </cell>
          <cell r="AA187">
            <v>66.699803149606296</v>
          </cell>
          <cell r="AB187">
            <v>39.732283464566933</v>
          </cell>
          <cell r="AC187">
            <v>66.699803149606296</v>
          </cell>
          <cell r="AD187">
            <v>66.699803149606296</v>
          </cell>
          <cell r="AE187" t="str">
            <v>NA</v>
          </cell>
          <cell r="AF187" t="str">
            <v>NA</v>
          </cell>
          <cell r="AG187" t="str">
            <v>NA</v>
          </cell>
          <cell r="AH187" t="str">
            <v>N</v>
          </cell>
          <cell r="AI187">
            <v>46.746000000000002</v>
          </cell>
          <cell r="AJ187">
            <v>21.2</v>
          </cell>
          <cell r="AK187" t="str">
            <v>TBD</v>
          </cell>
          <cell r="AL187" t="str">
            <v>N</v>
          </cell>
          <cell r="AM187" t="str">
            <v>2000184TBD</v>
          </cell>
          <cell r="AN187" t="str">
            <v>2000284TBD</v>
          </cell>
          <cell r="AO187" t="str">
            <v>2000183TBD</v>
          </cell>
          <cell r="AP187" t="str">
            <v>2000283TBD</v>
          </cell>
          <cell r="AQ187" t="str">
            <v>2000182TBD</v>
          </cell>
          <cell r="AR187" t="str">
            <v>2000282TBD</v>
          </cell>
          <cell r="AS187" t="str">
            <v>TBD</v>
          </cell>
          <cell r="AT187" t="str">
            <v>NA</v>
          </cell>
          <cell r="AU187" t="str">
            <v>NA</v>
          </cell>
          <cell r="AV187" t="str">
            <v>NA</v>
          </cell>
          <cell r="AW187">
            <v>41226</v>
          </cell>
        </row>
        <row r="188">
          <cell r="C188" t="str">
            <v>Solvinti - S-235-245 C_S</v>
          </cell>
          <cell r="D188" t="str">
            <v>Standard Claw</v>
          </cell>
          <cell r="E188">
            <v>5000005</v>
          </cell>
          <cell r="F188">
            <v>39.055118110236222</v>
          </cell>
          <cell r="G188">
            <v>64.960629921259851</v>
          </cell>
          <cell r="H188">
            <v>1.8110236220472442</v>
          </cell>
          <cell r="I188">
            <v>200010704</v>
          </cell>
          <cell r="J188">
            <v>200010804</v>
          </cell>
          <cell r="K188">
            <v>200013804</v>
          </cell>
          <cell r="L188">
            <v>200016304</v>
          </cell>
          <cell r="M188">
            <v>500012568</v>
          </cell>
          <cell r="N188">
            <v>500012668</v>
          </cell>
          <cell r="O188">
            <v>500012569</v>
          </cell>
          <cell r="P188">
            <v>500012669</v>
          </cell>
          <cell r="Q188">
            <v>11.832602308505239</v>
          </cell>
          <cell r="R188">
            <v>10.574276773282593</v>
          </cell>
          <cell r="S188">
            <v>4.9888240185700683</v>
          </cell>
          <cell r="T188">
            <v>4.9888240185700683</v>
          </cell>
          <cell r="U188">
            <v>11.832602308505239</v>
          </cell>
          <cell r="V188">
            <v>10.574276773282593</v>
          </cell>
          <cell r="W188">
            <v>50</v>
          </cell>
          <cell r="X188">
            <v>34.905511811023622</v>
          </cell>
          <cell r="Y188">
            <v>66.038385826771659</v>
          </cell>
          <cell r="Z188">
            <v>34.905511811023622</v>
          </cell>
          <cell r="AA188">
            <v>66.038385826771659</v>
          </cell>
          <cell r="AB188">
            <v>34.905511811023622</v>
          </cell>
          <cell r="AC188">
            <v>66.038385826771659</v>
          </cell>
          <cell r="AD188">
            <v>66.038385826771659</v>
          </cell>
          <cell r="AE188">
            <v>65.460629921259851</v>
          </cell>
          <cell r="AF188">
            <v>23.460629921259848</v>
          </cell>
          <cell r="AG188">
            <v>39.531496062992126</v>
          </cell>
          <cell r="AH188" t="str">
            <v>N</v>
          </cell>
          <cell r="AI188">
            <v>50.715000000000003</v>
          </cell>
          <cell r="AJ188">
            <v>23</v>
          </cell>
          <cell r="AK188" t="str">
            <v>TBD</v>
          </cell>
          <cell r="AL188" t="str">
            <v>Y</v>
          </cell>
          <cell r="AM188">
            <v>200018403</v>
          </cell>
          <cell r="AN188">
            <v>200028403</v>
          </cell>
          <cell r="AO188">
            <v>200018303</v>
          </cell>
          <cell r="AP188">
            <v>200028303</v>
          </cell>
          <cell r="AQ188">
            <v>200018203</v>
          </cell>
          <cell r="AR188">
            <v>200028203</v>
          </cell>
          <cell r="AS188">
            <v>14.555555555555557</v>
          </cell>
          <cell r="AT188">
            <v>20.278215219832653</v>
          </cell>
          <cell r="AU188">
            <v>15.125263254990072</v>
          </cell>
          <cell r="AV188">
            <v>10.326951853502411</v>
          </cell>
          <cell r="AW188">
            <v>40617</v>
          </cell>
        </row>
        <row r="189">
          <cell r="C189" t="str">
            <v>Stion - STN 125-140_S</v>
          </cell>
          <cell r="D189" t="str">
            <v>Standard Claw</v>
          </cell>
          <cell r="E189">
            <v>5000005</v>
          </cell>
          <cell r="F189">
            <v>25.826771653543307</v>
          </cell>
          <cell r="G189">
            <v>65.196850393700785</v>
          </cell>
          <cell r="H189">
            <v>1.3779527559055118</v>
          </cell>
          <cell r="I189">
            <v>200010704</v>
          </cell>
          <cell r="J189">
            <v>200010804</v>
          </cell>
          <cell r="K189">
            <v>200013804</v>
          </cell>
          <cell r="L189">
            <v>200016304</v>
          </cell>
          <cell r="M189">
            <v>500012569</v>
          </cell>
          <cell r="N189">
            <v>500012669</v>
          </cell>
          <cell r="O189">
            <v>500012569</v>
          </cell>
          <cell r="P189">
            <v>500012669</v>
          </cell>
          <cell r="Q189">
            <v>18.646759082927325</v>
          </cell>
          <cell r="R189">
            <v>16.627087624346455</v>
          </cell>
          <cell r="S189">
            <v>7.7930967180026212</v>
          </cell>
          <cell r="T189">
            <v>7.7930967180026212</v>
          </cell>
          <cell r="U189">
            <v>18.646759082927325</v>
          </cell>
          <cell r="V189">
            <v>16.627087624346455</v>
          </cell>
          <cell r="W189">
            <v>30</v>
          </cell>
          <cell r="X189">
            <v>22.385826771653544</v>
          </cell>
          <cell r="Y189">
            <v>66.663582677165351</v>
          </cell>
          <cell r="Z189">
            <v>22.385826771653544</v>
          </cell>
          <cell r="AA189">
            <v>66.663582677165351</v>
          </cell>
          <cell r="AB189">
            <v>22.385826771653544</v>
          </cell>
          <cell r="AC189">
            <v>66.663582677165351</v>
          </cell>
          <cell r="AD189">
            <v>66.663582677165351</v>
          </cell>
          <cell r="AE189">
            <v>65.696850393700799</v>
          </cell>
          <cell r="AF189">
            <v>23.696850393700792</v>
          </cell>
          <cell r="AG189">
            <v>26.688976377952756</v>
          </cell>
          <cell r="AH189" t="str">
            <v>Y</v>
          </cell>
          <cell r="AI189">
            <v>36.603000000000002</v>
          </cell>
          <cell r="AJ189">
            <v>16.600000000000001</v>
          </cell>
          <cell r="AK189" t="str">
            <v>TBD</v>
          </cell>
          <cell r="AL189" t="str">
            <v>Y</v>
          </cell>
          <cell r="AM189">
            <v>200018403</v>
          </cell>
          <cell r="AN189">
            <v>200028403</v>
          </cell>
          <cell r="AO189">
            <v>200018303</v>
          </cell>
          <cell r="AP189">
            <v>200028303</v>
          </cell>
          <cell r="AQ189">
            <v>200018203</v>
          </cell>
          <cell r="AR189">
            <v>200028203</v>
          </cell>
          <cell r="AS189">
            <v>14.555555555555557</v>
          </cell>
          <cell r="AT189">
            <v>30.887233777756016</v>
          </cell>
          <cell r="AU189">
            <v>22.736128511518519</v>
          </cell>
          <cell r="AV189">
            <v>15.39820352823091</v>
          </cell>
          <cell r="AW189">
            <v>41193</v>
          </cell>
        </row>
        <row r="190">
          <cell r="C190" t="str">
            <v>Suniva - ART245-60_S</v>
          </cell>
          <cell r="D190" t="str">
            <v>Standard Claw</v>
          </cell>
          <cell r="E190">
            <v>5000005</v>
          </cell>
          <cell r="F190">
            <v>38.661417322834644</v>
          </cell>
          <cell r="G190">
            <v>65.078740157480325</v>
          </cell>
          <cell r="H190">
            <v>1.8110236220472442</v>
          </cell>
          <cell r="I190">
            <v>200010705</v>
          </cell>
          <cell r="J190">
            <v>200010805</v>
          </cell>
          <cell r="K190">
            <v>200013805</v>
          </cell>
          <cell r="L190">
            <v>200016305</v>
          </cell>
          <cell r="M190">
            <v>500012569</v>
          </cell>
          <cell r="N190">
            <v>500012669</v>
          </cell>
          <cell r="O190">
            <v>500012570</v>
          </cell>
          <cell r="P190">
            <v>500012670</v>
          </cell>
          <cell r="Q190">
            <v>11.63296745038237</v>
          </cell>
          <cell r="R190">
            <v>10.396377871112776</v>
          </cell>
          <cell r="S190">
            <v>4.9056193610673633</v>
          </cell>
          <cell r="T190">
            <v>4.9056193610673633</v>
          </cell>
          <cell r="U190">
            <v>11.63296745038237</v>
          </cell>
          <cell r="V190">
            <v>10.396377871112776</v>
          </cell>
          <cell r="W190">
            <v>50</v>
          </cell>
          <cell r="X190">
            <v>35.496062992125985</v>
          </cell>
          <cell r="Y190">
            <v>67.140748031496074</v>
          </cell>
          <cell r="Z190">
            <v>35.496062992125985</v>
          </cell>
          <cell r="AA190">
            <v>67.140748031496074</v>
          </cell>
          <cell r="AB190">
            <v>35.496062992125985</v>
          </cell>
          <cell r="AC190">
            <v>67.140748031496074</v>
          </cell>
          <cell r="AD190">
            <v>67.140748031496074</v>
          </cell>
          <cell r="AE190">
            <v>65.578740157480325</v>
          </cell>
          <cell r="AF190">
            <v>23.578740157480318</v>
          </cell>
          <cell r="AG190">
            <v>40.122047244094489</v>
          </cell>
          <cell r="AH190" t="str">
            <v>Y</v>
          </cell>
          <cell r="AI190">
            <v>41.211450000000006</v>
          </cell>
          <cell r="AJ190">
            <v>18.690000000000001</v>
          </cell>
          <cell r="AK190" t="str">
            <v>TBD</v>
          </cell>
          <cell r="AL190" t="str">
            <v>Y</v>
          </cell>
          <cell r="AM190">
            <v>200018403</v>
          </cell>
          <cell r="AN190">
            <v>200028403</v>
          </cell>
          <cell r="AO190">
            <v>200018303</v>
          </cell>
          <cell r="AP190">
            <v>200028303</v>
          </cell>
          <cell r="AQ190">
            <v>200018203</v>
          </cell>
          <cell r="AR190">
            <v>200028203</v>
          </cell>
          <cell r="AS190">
            <v>14.555555555555557</v>
          </cell>
          <cell r="AT190">
            <v>19.966933673962352</v>
          </cell>
          <cell r="AU190">
            <v>14.897438461609681</v>
          </cell>
          <cell r="AV190">
            <v>10.173320490201343</v>
          </cell>
          <cell r="AW190">
            <v>40843</v>
          </cell>
        </row>
        <row r="191">
          <cell r="C191" t="str">
            <v>Suniva - OPT 60 250-265_S</v>
          </cell>
          <cell r="D191" t="str">
            <v>Standard Claw</v>
          </cell>
          <cell r="E191">
            <v>5000005</v>
          </cell>
          <cell r="F191">
            <v>38.661417322834644</v>
          </cell>
          <cell r="G191">
            <v>65.078740157480325</v>
          </cell>
          <cell r="H191">
            <v>1.8110236220472442</v>
          </cell>
          <cell r="I191">
            <v>200010705</v>
          </cell>
          <cell r="J191">
            <v>200010805</v>
          </cell>
          <cell r="K191">
            <v>200013805</v>
          </cell>
          <cell r="L191">
            <v>200016305</v>
          </cell>
          <cell r="M191">
            <v>500012569</v>
          </cell>
          <cell r="N191">
            <v>500012669</v>
          </cell>
          <cell r="O191">
            <v>500012570</v>
          </cell>
          <cell r="P191">
            <v>500012670</v>
          </cell>
          <cell r="Q191">
            <v>11.63296745038237</v>
          </cell>
          <cell r="R191">
            <v>10.396377871112776</v>
          </cell>
          <cell r="S191">
            <v>4.9056193610673633</v>
          </cell>
          <cell r="T191">
            <v>4.9056193610673633</v>
          </cell>
          <cell r="U191">
            <v>11.63296745038237</v>
          </cell>
          <cell r="V191">
            <v>10.396377871112776</v>
          </cell>
          <cell r="W191">
            <v>50</v>
          </cell>
          <cell r="X191">
            <v>35.496062992125985</v>
          </cell>
          <cell r="Y191">
            <v>67.140748031496074</v>
          </cell>
          <cell r="Z191">
            <v>35.496062992125985</v>
          </cell>
          <cell r="AA191">
            <v>67.140748031496074</v>
          </cell>
          <cell r="AB191">
            <v>35.496062992125985</v>
          </cell>
          <cell r="AC191">
            <v>67.140748031496074</v>
          </cell>
          <cell r="AD191">
            <v>67.140748031496074</v>
          </cell>
          <cell r="AE191">
            <v>65.578740157480325</v>
          </cell>
          <cell r="AF191">
            <v>23.578740157480318</v>
          </cell>
          <cell r="AG191">
            <v>40.122047244094489</v>
          </cell>
          <cell r="AH191" t="str">
            <v>Y</v>
          </cell>
          <cell r="AI191">
            <v>39.5</v>
          </cell>
          <cell r="AJ191">
            <v>17.899999999999999</v>
          </cell>
          <cell r="AK191" t="str">
            <v>TBD</v>
          </cell>
          <cell r="AL191" t="str">
            <v>Y</v>
          </cell>
          <cell r="AM191">
            <v>200018403</v>
          </cell>
          <cell r="AN191">
            <v>200028403</v>
          </cell>
          <cell r="AO191">
            <v>200018303</v>
          </cell>
          <cell r="AP191">
            <v>200028303</v>
          </cell>
          <cell r="AQ191">
            <v>200018203</v>
          </cell>
          <cell r="AR191">
            <v>200028203</v>
          </cell>
          <cell r="AS191">
            <v>14.555555555555557</v>
          </cell>
          <cell r="AT191">
            <v>19.966933673962352</v>
          </cell>
          <cell r="AU191">
            <v>14.897438461609681</v>
          </cell>
          <cell r="AV191">
            <v>10.173320490201343</v>
          </cell>
          <cell r="AW191">
            <v>41226</v>
          </cell>
        </row>
        <row r="192">
          <cell r="C192" t="str">
            <v>Suniva - OPT 72  300-315_S</v>
          </cell>
          <cell r="D192" t="str">
            <v>Standard Claw</v>
          </cell>
          <cell r="E192">
            <v>5000005</v>
          </cell>
          <cell r="F192">
            <v>38.661417322834644</v>
          </cell>
          <cell r="G192">
            <v>77.5984251968504</v>
          </cell>
          <cell r="H192">
            <v>1.8110236220472442</v>
          </cell>
          <cell r="I192">
            <v>200010708</v>
          </cell>
          <cell r="J192">
            <v>200010808</v>
          </cell>
          <cell r="K192">
            <v>200013808</v>
          </cell>
          <cell r="L192">
            <v>200016308</v>
          </cell>
          <cell r="M192">
            <v>500012582</v>
          </cell>
          <cell r="N192">
            <v>500012682</v>
          </cell>
          <cell r="O192">
            <v>500012582</v>
          </cell>
          <cell r="P192">
            <v>500012682</v>
          </cell>
          <cell r="Q192">
            <v>11.63296745038237</v>
          </cell>
          <cell r="R192">
            <v>10.396377871112776</v>
          </cell>
          <cell r="S192">
            <v>4.9056193610673633</v>
          </cell>
          <cell r="T192">
            <v>4.9056193610673633</v>
          </cell>
          <cell r="U192">
            <v>11.63296745038237</v>
          </cell>
          <cell r="V192">
            <v>10.396377871112776</v>
          </cell>
          <cell r="W192">
            <v>30</v>
          </cell>
          <cell r="X192">
            <v>35.496062992125985</v>
          </cell>
          <cell r="Y192">
            <v>79.660433070866148</v>
          </cell>
          <cell r="Z192">
            <v>35.496062992125985</v>
          </cell>
          <cell r="AA192">
            <v>79.660433070866148</v>
          </cell>
          <cell r="AB192">
            <v>35.496062992125985</v>
          </cell>
          <cell r="AC192">
            <v>79.660433070866148</v>
          </cell>
          <cell r="AD192">
            <v>79.660433070866148</v>
          </cell>
          <cell r="AE192">
            <v>78.0984251968504</v>
          </cell>
          <cell r="AF192">
            <v>36.0984251968504</v>
          </cell>
          <cell r="AG192">
            <v>40.122047244094489</v>
          </cell>
          <cell r="AH192" t="str">
            <v>Y</v>
          </cell>
          <cell r="AI192">
            <v>50.715000000000003</v>
          </cell>
          <cell r="AJ192">
            <v>23</v>
          </cell>
          <cell r="AK192" t="str">
            <v>TBD</v>
          </cell>
          <cell r="AL192" t="str">
            <v>Y</v>
          </cell>
          <cell r="AM192">
            <v>200018407</v>
          </cell>
          <cell r="AN192">
            <v>200028407</v>
          </cell>
          <cell r="AO192">
            <v>200018307</v>
          </cell>
          <cell r="AP192">
            <v>200028307</v>
          </cell>
          <cell r="AQ192">
            <v>200018207</v>
          </cell>
          <cell r="AR192">
            <v>200028207</v>
          </cell>
          <cell r="AS192">
            <v>17.222222222222221</v>
          </cell>
          <cell r="AT192">
            <v>19.966933673962352</v>
          </cell>
          <cell r="AU192">
            <v>14.897438461609681</v>
          </cell>
          <cell r="AV192">
            <v>10.173320490201343</v>
          </cell>
          <cell r="AW192">
            <v>41254</v>
          </cell>
        </row>
        <row r="193">
          <cell r="C193" t="str">
            <v>Suniva - MVS 60 230-240_S</v>
          </cell>
          <cell r="D193" t="str">
            <v>Standard Claw</v>
          </cell>
          <cell r="E193">
            <v>5000005</v>
          </cell>
          <cell r="F193">
            <v>38.937007874015748</v>
          </cell>
          <cell r="G193">
            <v>65.157480314960637</v>
          </cell>
          <cell r="H193">
            <v>1.5354330708661419</v>
          </cell>
          <cell r="I193">
            <v>200010704</v>
          </cell>
          <cell r="J193">
            <v>200010804</v>
          </cell>
          <cell r="K193">
            <v>200013804</v>
          </cell>
          <cell r="L193">
            <v>200016304</v>
          </cell>
          <cell r="M193">
            <v>500012568</v>
          </cell>
          <cell r="N193">
            <v>500012668</v>
          </cell>
          <cell r="O193">
            <v>500012569</v>
          </cell>
          <cell r="P193">
            <v>500012669</v>
          </cell>
          <cell r="Q193">
            <v>11.873360468673903</v>
          </cell>
          <cell r="R193">
            <v>10.610593971182906</v>
          </cell>
          <cell r="S193">
            <v>5.0058052361358509</v>
          </cell>
          <cell r="T193">
            <v>5.0058052361358509</v>
          </cell>
          <cell r="U193">
            <v>11.873360468673903</v>
          </cell>
          <cell r="V193">
            <v>10.610593971182906</v>
          </cell>
          <cell r="W193">
            <v>50</v>
          </cell>
          <cell r="X193">
            <v>34.787401574803155</v>
          </cell>
          <cell r="Y193">
            <v>66.235236220472444</v>
          </cell>
          <cell r="Z193">
            <v>34.787401574803155</v>
          </cell>
          <cell r="AA193">
            <v>66.235236220472444</v>
          </cell>
          <cell r="AB193">
            <v>34.787401574803155</v>
          </cell>
          <cell r="AC193">
            <v>66.235236220472444</v>
          </cell>
          <cell r="AD193">
            <v>66.235236220472444</v>
          </cell>
          <cell r="AE193">
            <v>65.657480314960637</v>
          </cell>
          <cell r="AF193">
            <v>23.657480314960633</v>
          </cell>
          <cell r="AG193">
            <v>39.413385826771659</v>
          </cell>
          <cell r="AH193" t="str">
            <v>Y</v>
          </cell>
          <cell r="AI193">
            <v>43.218000000000004</v>
          </cell>
          <cell r="AJ193">
            <v>19.600000000000001</v>
          </cell>
          <cell r="AK193" t="str">
            <v>TBD</v>
          </cell>
          <cell r="AL193" t="str">
            <v>Y</v>
          </cell>
          <cell r="AM193">
            <v>200018403</v>
          </cell>
          <cell r="AN193">
            <v>200028403</v>
          </cell>
          <cell r="AO193">
            <v>200018303</v>
          </cell>
          <cell r="AP193">
            <v>200028303</v>
          </cell>
          <cell r="AQ193">
            <v>200018203</v>
          </cell>
          <cell r="AR193">
            <v>200028203</v>
          </cell>
          <cell r="AS193">
            <v>14.555555555555557</v>
          </cell>
          <cell r="AT193">
            <v>20.341667202100606</v>
          </cell>
          <cell r="AU193">
            <v>15.171677372068142</v>
          </cell>
          <cell r="AV193">
            <v>10.358239753326892</v>
          </cell>
          <cell r="AW193">
            <v>41227</v>
          </cell>
        </row>
        <row r="194">
          <cell r="C194" t="str">
            <v>Suniva - MVP 60 235-245_S</v>
          </cell>
          <cell r="D194" t="str">
            <v>Standard Claw</v>
          </cell>
          <cell r="E194">
            <v>5000005</v>
          </cell>
          <cell r="F194">
            <v>39.055118110236222</v>
          </cell>
          <cell r="G194">
            <v>64.566929133858267</v>
          </cell>
          <cell r="H194">
            <v>1.9685039370078741</v>
          </cell>
          <cell r="I194">
            <v>200010704</v>
          </cell>
          <cell r="J194">
            <v>200010804</v>
          </cell>
          <cell r="K194">
            <v>200013804</v>
          </cell>
          <cell r="L194">
            <v>200016304</v>
          </cell>
          <cell r="M194">
            <v>500012568</v>
          </cell>
          <cell r="N194">
            <v>500012668</v>
          </cell>
          <cell r="O194">
            <v>500012569</v>
          </cell>
          <cell r="P194">
            <v>500012669</v>
          </cell>
          <cell r="Q194">
            <v>11.698754267040043</v>
          </cell>
          <cell r="R194">
            <v>10.455004839041191</v>
          </cell>
          <cell r="S194">
            <v>4.9330437584696041</v>
          </cell>
          <cell r="T194">
            <v>4.9330437584696041</v>
          </cell>
          <cell r="U194">
            <v>11.698754267040043</v>
          </cell>
          <cell r="V194">
            <v>10.455004839041191</v>
          </cell>
          <cell r="W194">
            <v>50</v>
          </cell>
          <cell r="X194">
            <v>35.2992125984252</v>
          </cell>
          <cell r="Y194">
            <v>66.038385826771659</v>
          </cell>
          <cell r="Z194">
            <v>35.2992125984252</v>
          </cell>
          <cell r="AA194">
            <v>66.038385826771659</v>
          </cell>
          <cell r="AB194">
            <v>35.2992125984252</v>
          </cell>
          <cell r="AC194">
            <v>66.038385826771659</v>
          </cell>
          <cell r="AD194">
            <v>66.038385826771659</v>
          </cell>
          <cell r="AE194">
            <v>65.066929133858267</v>
          </cell>
          <cell r="AF194">
            <v>23.066929133858274</v>
          </cell>
          <cell r="AG194">
            <v>39.925196850393704</v>
          </cell>
          <cell r="AH194" t="str">
            <v>Y</v>
          </cell>
          <cell r="AI194">
            <v>43.218000000000004</v>
          </cell>
          <cell r="AJ194">
            <v>19.600000000000001</v>
          </cell>
          <cell r="AK194" t="str">
            <v>TBD</v>
          </cell>
          <cell r="AL194" t="str">
            <v>Y</v>
          </cell>
          <cell r="AM194">
            <v>200018403</v>
          </cell>
          <cell r="AN194">
            <v>200028403</v>
          </cell>
          <cell r="AO194">
            <v>200018303</v>
          </cell>
          <cell r="AP194">
            <v>200028303</v>
          </cell>
          <cell r="AQ194">
            <v>200018203</v>
          </cell>
          <cell r="AR194">
            <v>200028203</v>
          </cell>
          <cell r="AS194">
            <v>14.555555555555557</v>
          </cell>
          <cell r="AT194">
            <v>20.069602586497279</v>
          </cell>
          <cell r="AU194">
            <v>14.97260437224279</v>
          </cell>
          <cell r="AV194">
            <v>10.224017732239455</v>
          </cell>
          <cell r="AW194">
            <v>40886</v>
          </cell>
        </row>
        <row r="195">
          <cell r="C195" t="str">
            <v>Suniva - MVP 72 280-290_S</v>
          </cell>
          <cell r="D195" t="str">
            <v>Standard Claw</v>
          </cell>
          <cell r="E195">
            <v>5000005</v>
          </cell>
          <cell r="F195">
            <v>39.055118110236222</v>
          </cell>
          <cell r="G195">
            <v>77.00787401574803</v>
          </cell>
          <cell r="H195">
            <v>1.9685039370078741</v>
          </cell>
          <cell r="I195">
            <v>200010707</v>
          </cell>
          <cell r="J195">
            <v>200010807</v>
          </cell>
          <cell r="K195">
            <v>200013807</v>
          </cell>
          <cell r="L195">
            <v>200016307</v>
          </cell>
          <cell r="M195">
            <v>500012581</v>
          </cell>
          <cell r="N195">
            <v>500012681</v>
          </cell>
          <cell r="O195">
            <v>500012581</v>
          </cell>
          <cell r="P195">
            <v>500012681</v>
          </cell>
          <cell r="Q195">
            <v>11.698754267040043</v>
          </cell>
          <cell r="R195">
            <v>10.455004839041191</v>
          </cell>
          <cell r="S195">
            <v>4.9330437584696041</v>
          </cell>
          <cell r="T195">
            <v>4.9330437584696041</v>
          </cell>
          <cell r="U195">
            <v>11.698754267040043</v>
          </cell>
          <cell r="V195">
            <v>10.455004839041191</v>
          </cell>
          <cell r="W195">
            <v>30</v>
          </cell>
          <cell r="X195">
            <v>35.2992125984252</v>
          </cell>
          <cell r="Y195">
            <v>78.479330708661422</v>
          </cell>
          <cell r="Z195">
            <v>35.2992125984252</v>
          </cell>
          <cell r="AA195">
            <v>78.479330708661422</v>
          </cell>
          <cell r="AB195">
            <v>35.2992125984252</v>
          </cell>
          <cell r="AC195">
            <v>78.479330708661422</v>
          </cell>
          <cell r="AD195">
            <v>78.479330708661422</v>
          </cell>
          <cell r="AE195">
            <v>77.507874015748044</v>
          </cell>
          <cell r="AF195">
            <v>35.507874015748037</v>
          </cell>
          <cell r="AG195">
            <v>39.925196850393704</v>
          </cell>
          <cell r="AH195" t="str">
            <v>Y</v>
          </cell>
          <cell r="AI195">
            <v>50.935500000000005</v>
          </cell>
          <cell r="AJ195">
            <v>23.1</v>
          </cell>
          <cell r="AK195" t="str">
            <v>TBD</v>
          </cell>
          <cell r="AL195" t="str">
            <v>Y</v>
          </cell>
          <cell r="AM195">
            <v>200018407</v>
          </cell>
          <cell r="AN195">
            <v>200028407</v>
          </cell>
          <cell r="AO195">
            <v>200018307</v>
          </cell>
          <cell r="AP195">
            <v>200028307</v>
          </cell>
          <cell r="AQ195">
            <v>200018207</v>
          </cell>
          <cell r="AR195">
            <v>200028207</v>
          </cell>
          <cell r="AS195">
            <v>17.222222222222221</v>
          </cell>
          <cell r="AT195">
            <v>20.069602586497279</v>
          </cell>
          <cell r="AU195">
            <v>14.97260437224279</v>
          </cell>
          <cell r="AV195">
            <v>10.224017732239455</v>
          </cell>
          <cell r="AW195">
            <v>41123</v>
          </cell>
        </row>
        <row r="196">
          <cell r="C196" t="str">
            <v>Suniva - MVX 60 235-245_S</v>
          </cell>
          <cell r="D196" t="str">
            <v>Standard Claw</v>
          </cell>
          <cell r="E196">
            <v>5000005</v>
          </cell>
          <cell r="F196">
            <v>38.976377952755911</v>
          </cell>
          <cell r="G196">
            <v>64.960629921259851</v>
          </cell>
          <cell r="H196">
            <v>1.6535433070866143</v>
          </cell>
          <cell r="I196">
            <v>200010704</v>
          </cell>
          <cell r="J196">
            <v>200010804</v>
          </cell>
          <cell r="K196">
            <v>200013804</v>
          </cell>
          <cell r="L196">
            <v>200016304</v>
          </cell>
          <cell r="M196">
            <v>500012569</v>
          </cell>
          <cell r="N196">
            <v>500012669</v>
          </cell>
          <cell r="O196">
            <v>500012569</v>
          </cell>
          <cell r="P196">
            <v>500012669</v>
          </cell>
          <cell r="Q196">
            <v>11.646065132777842</v>
          </cell>
          <cell r="R196">
            <v>10.40805030701417</v>
          </cell>
          <cell r="S196">
            <v>4.911079789514722</v>
          </cell>
          <cell r="T196">
            <v>4.911079789514722</v>
          </cell>
          <cell r="U196">
            <v>11.646065132777842</v>
          </cell>
          <cell r="V196">
            <v>10.40805030701417</v>
          </cell>
          <cell r="W196">
            <v>50</v>
          </cell>
          <cell r="X196">
            <v>35.45669291338583</v>
          </cell>
          <cell r="Y196">
            <v>66.668307086614178</v>
          </cell>
          <cell r="Z196">
            <v>35.45669291338583</v>
          </cell>
          <cell r="AA196">
            <v>66.668307086614178</v>
          </cell>
          <cell r="AB196">
            <v>35.45669291338583</v>
          </cell>
          <cell r="AC196">
            <v>66.668307086614178</v>
          </cell>
          <cell r="AD196">
            <v>66.668307086614178</v>
          </cell>
          <cell r="AE196">
            <v>65.460629921259851</v>
          </cell>
          <cell r="AF196">
            <v>23.460629921259848</v>
          </cell>
          <cell r="AG196">
            <v>40.082677165354333</v>
          </cell>
          <cell r="AH196" t="str">
            <v>Y</v>
          </cell>
          <cell r="AI196">
            <v>42.997500000000002</v>
          </cell>
          <cell r="AJ196">
            <v>19.5</v>
          </cell>
          <cell r="AK196" t="str">
            <v>TBD</v>
          </cell>
          <cell r="AL196" t="str">
            <v>Y</v>
          </cell>
          <cell r="AM196">
            <v>200018403</v>
          </cell>
          <cell r="AN196">
            <v>200028403</v>
          </cell>
          <cell r="AO196">
            <v>200018303</v>
          </cell>
          <cell r="AP196">
            <v>200028303</v>
          </cell>
          <cell r="AQ196">
            <v>200018203</v>
          </cell>
          <cell r="AR196">
            <v>200028203</v>
          </cell>
          <cell r="AS196">
            <v>14.555555555555557</v>
          </cell>
          <cell r="AT196">
            <v>19.987381438876472</v>
          </cell>
          <cell r="AU196">
            <v>14.912410483320945</v>
          </cell>
          <cell r="AV196">
            <v>10.183419458492327</v>
          </cell>
          <cell r="AW196">
            <v>41123</v>
          </cell>
        </row>
        <row r="197">
          <cell r="C197" t="str">
            <v>Suniva - MVX 72 285-295_S</v>
          </cell>
          <cell r="D197" t="str">
            <v>Standard Claw</v>
          </cell>
          <cell r="E197">
            <v>5000005</v>
          </cell>
          <cell r="F197">
            <v>38.976377952755911</v>
          </cell>
          <cell r="G197">
            <v>77.559055118110237</v>
          </cell>
          <cell r="H197">
            <v>1.6535433070866143</v>
          </cell>
          <cell r="I197">
            <v>200010708</v>
          </cell>
          <cell r="J197">
            <v>200010808</v>
          </cell>
          <cell r="K197">
            <v>200013808</v>
          </cell>
          <cell r="L197">
            <v>200016308</v>
          </cell>
          <cell r="M197">
            <v>500012581</v>
          </cell>
          <cell r="N197">
            <v>500012681</v>
          </cell>
          <cell r="O197">
            <v>500012582</v>
          </cell>
          <cell r="P197">
            <v>500012682</v>
          </cell>
          <cell r="Q197">
            <v>11.646065132777842</v>
          </cell>
          <cell r="R197">
            <v>10.40805030701417</v>
          </cell>
          <cell r="S197">
            <v>4.911079789514722</v>
          </cell>
          <cell r="T197">
            <v>4.911079789514722</v>
          </cell>
          <cell r="U197">
            <v>11.646065132777842</v>
          </cell>
          <cell r="V197">
            <v>10.40805030701417</v>
          </cell>
          <cell r="W197">
            <v>30</v>
          </cell>
          <cell r="X197">
            <v>35.45669291338583</v>
          </cell>
          <cell r="Y197">
            <v>79.266732283464577</v>
          </cell>
          <cell r="Z197">
            <v>35.45669291338583</v>
          </cell>
          <cell r="AA197">
            <v>79.266732283464577</v>
          </cell>
          <cell r="AB197">
            <v>35.45669291338583</v>
          </cell>
          <cell r="AC197">
            <v>79.266732283464577</v>
          </cell>
          <cell r="AD197">
            <v>79.266732283464577</v>
          </cell>
          <cell r="AE197">
            <v>78.059055118110237</v>
          </cell>
          <cell r="AF197">
            <v>36.059055118110244</v>
          </cell>
          <cell r="AG197">
            <v>40.082677165354333</v>
          </cell>
          <cell r="AH197" t="str">
            <v>Y</v>
          </cell>
          <cell r="AI197">
            <v>58.432500000000005</v>
          </cell>
          <cell r="AJ197">
            <v>26.5</v>
          </cell>
          <cell r="AK197" t="str">
            <v>TBD</v>
          </cell>
          <cell r="AL197" t="str">
            <v>Y</v>
          </cell>
          <cell r="AM197">
            <v>200018407</v>
          </cell>
          <cell r="AN197">
            <v>200028407</v>
          </cell>
          <cell r="AO197">
            <v>200018307</v>
          </cell>
          <cell r="AP197">
            <v>200028307</v>
          </cell>
          <cell r="AQ197">
            <v>200018207</v>
          </cell>
          <cell r="AR197">
            <v>200028207</v>
          </cell>
          <cell r="AS197">
            <v>17.222222222222221</v>
          </cell>
          <cell r="AT197">
            <v>19.987381438876472</v>
          </cell>
          <cell r="AU197">
            <v>14.912410483320945</v>
          </cell>
          <cell r="AV197">
            <v>10.183419458492327</v>
          </cell>
          <cell r="AW197">
            <v>41123</v>
          </cell>
        </row>
        <row r="198">
          <cell r="C198" t="str">
            <v>Suntech - STP 180-185S-24-Adb+_M</v>
          </cell>
          <cell r="D198" t="str">
            <v>Short Clamp Multi Claw</v>
          </cell>
          <cell r="E198">
            <v>500000701</v>
          </cell>
          <cell r="F198">
            <v>31.811023622047244</v>
          </cell>
          <cell r="G198">
            <v>62.204724409448822</v>
          </cell>
          <cell r="H198">
            <v>1.3779527559055118</v>
          </cell>
          <cell r="I198">
            <v>200010703</v>
          </cell>
          <cell r="J198">
            <v>200010803</v>
          </cell>
          <cell r="K198">
            <v>200013803</v>
          </cell>
          <cell r="L198">
            <v>200016303</v>
          </cell>
          <cell r="M198">
            <v>500012565</v>
          </cell>
          <cell r="N198">
            <v>500012665</v>
          </cell>
          <cell r="O198">
            <v>500012565</v>
          </cell>
          <cell r="P198">
            <v>500012665</v>
          </cell>
          <cell r="Q198">
            <v>13.62171878398231</v>
          </cell>
          <cell r="R198">
            <v>12.167343817471885</v>
          </cell>
          <cell r="S198">
            <v>5.7321584003175321</v>
          </cell>
          <cell r="T198">
            <v>5.7321584003175321</v>
          </cell>
          <cell r="U198">
            <v>13.62171878398231</v>
          </cell>
          <cell r="V198">
            <v>12.167343817471885</v>
          </cell>
          <cell r="W198">
            <v>50</v>
          </cell>
          <cell r="X198">
            <v>30.391338582677168</v>
          </cell>
          <cell r="Y198">
            <v>62.780118110236224</v>
          </cell>
          <cell r="Z198">
            <v>30.391338582677168</v>
          </cell>
          <cell r="AA198">
            <v>62.780118110236224</v>
          </cell>
          <cell r="AB198">
            <v>30.391338582677168</v>
          </cell>
          <cell r="AC198">
            <v>62.780118110236224</v>
          </cell>
          <cell r="AD198">
            <v>62.780118110236224</v>
          </cell>
          <cell r="AE198">
            <v>62.704724409448822</v>
          </cell>
          <cell r="AF198">
            <v>20.704724409448822</v>
          </cell>
          <cell r="AG198">
            <v>32.681102362204726</v>
          </cell>
          <cell r="AH198" t="str">
            <v>N</v>
          </cell>
          <cell r="AI198">
            <v>37.926000000000002</v>
          </cell>
          <cell r="AJ198">
            <v>17.2</v>
          </cell>
          <cell r="AK198" t="str">
            <v>TBD</v>
          </cell>
          <cell r="AL198" t="str">
            <v>Y</v>
          </cell>
          <cell r="AM198">
            <v>200018402</v>
          </cell>
          <cell r="AN198">
            <v>200028402</v>
          </cell>
          <cell r="AO198">
            <v>200018302</v>
          </cell>
          <cell r="AP198">
            <v>200028302</v>
          </cell>
          <cell r="AQ198">
            <v>200018202</v>
          </cell>
          <cell r="AR198">
            <v>200028202</v>
          </cell>
          <cell r="AS198">
            <v>13.888888888888888</v>
          </cell>
          <cell r="AT198">
            <v>24.785769092963804</v>
          </cell>
          <cell r="AU198">
            <v>18.39852585667062</v>
          </cell>
          <cell r="AV198">
            <v>12.523577389800897</v>
          </cell>
          <cell r="AW198">
            <v>40617</v>
          </cell>
        </row>
        <row r="199">
          <cell r="C199" t="str">
            <v>Suntech - STP 180-190S-24-Ad+_M</v>
          </cell>
          <cell r="D199" t="str">
            <v>Short Clamp Multi Claw</v>
          </cell>
          <cell r="E199">
            <v>500000701</v>
          </cell>
          <cell r="F199">
            <v>31.811023622047244</v>
          </cell>
          <cell r="G199">
            <v>62.204724409448822</v>
          </cell>
          <cell r="H199">
            <v>1.3779527559055118</v>
          </cell>
          <cell r="I199">
            <v>200010703</v>
          </cell>
          <cell r="J199">
            <v>200010803</v>
          </cell>
          <cell r="K199">
            <v>200013803</v>
          </cell>
          <cell r="L199">
            <v>200016303</v>
          </cell>
          <cell r="M199">
            <v>500012565</v>
          </cell>
          <cell r="N199">
            <v>500012665</v>
          </cell>
          <cell r="O199">
            <v>500012565</v>
          </cell>
          <cell r="P199">
            <v>500012665</v>
          </cell>
          <cell r="Q199">
            <v>13.62171878398231</v>
          </cell>
          <cell r="R199">
            <v>12.167343817471885</v>
          </cell>
          <cell r="S199">
            <v>5.7321584003175321</v>
          </cell>
          <cell r="T199">
            <v>5.7321584003175321</v>
          </cell>
          <cell r="U199">
            <v>13.62171878398231</v>
          </cell>
          <cell r="V199">
            <v>12.167343817471885</v>
          </cell>
          <cell r="W199">
            <v>50</v>
          </cell>
          <cell r="X199">
            <v>30.391338582677168</v>
          </cell>
          <cell r="Y199">
            <v>62.780118110236224</v>
          </cell>
          <cell r="Z199">
            <v>30.391338582677168</v>
          </cell>
          <cell r="AA199">
            <v>62.780118110236224</v>
          </cell>
          <cell r="AB199">
            <v>30.391338582677168</v>
          </cell>
          <cell r="AC199">
            <v>62.780118110236224</v>
          </cell>
          <cell r="AD199">
            <v>62.780118110236224</v>
          </cell>
          <cell r="AE199">
            <v>62.704724409448822</v>
          </cell>
          <cell r="AF199">
            <v>20.704724409448822</v>
          </cell>
          <cell r="AG199">
            <v>32.681102362204726</v>
          </cell>
          <cell r="AH199" t="str">
            <v>N</v>
          </cell>
          <cell r="AI199">
            <v>37.926000000000002</v>
          </cell>
          <cell r="AJ199">
            <v>17.2</v>
          </cell>
          <cell r="AK199" t="str">
            <v>TBD</v>
          </cell>
          <cell r="AL199" t="str">
            <v>Y</v>
          </cell>
          <cell r="AM199">
            <v>200018402</v>
          </cell>
          <cell r="AN199">
            <v>200028402</v>
          </cell>
          <cell r="AO199">
            <v>200018302</v>
          </cell>
          <cell r="AP199">
            <v>200028302</v>
          </cell>
          <cell r="AQ199">
            <v>200018202</v>
          </cell>
          <cell r="AR199">
            <v>200028202</v>
          </cell>
          <cell r="AS199">
            <v>13.888888888888888</v>
          </cell>
          <cell r="AT199">
            <v>24.785769092963804</v>
          </cell>
          <cell r="AU199">
            <v>18.39852585667062</v>
          </cell>
          <cell r="AV199">
            <v>12.523577389800897</v>
          </cell>
          <cell r="AW199">
            <v>40617</v>
          </cell>
        </row>
        <row r="200">
          <cell r="C200" t="str">
            <v>Suntech - STP 240-245-20-Wd-Wde_S</v>
          </cell>
          <cell r="D200" t="str">
            <v>Standard Claw</v>
          </cell>
          <cell r="E200">
            <v>5000005</v>
          </cell>
          <cell r="F200">
            <v>39.055118110236222</v>
          </cell>
          <cell r="G200">
            <v>64.566929133858267</v>
          </cell>
          <cell r="H200">
            <v>1.3779527559055118</v>
          </cell>
          <cell r="I200">
            <v>200010704</v>
          </cell>
          <cell r="J200">
            <v>200010804</v>
          </cell>
          <cell r="K200">
            <v>200013804</v>
          </cell>
          <cell r="L200">
            <v>200016304</v>
          </cell>
          <cell r="M200">
            <v>500012568</v>
          </cell>
          <cell r="N200">
            <v>500012668</v>
          </cell>
          <cell r="O200">
            <v>500012569</v>
          </cell>
          <cell r="P200">
            <v>500012669</v>
          </cell>
          <cell r="Q200">
            <v>11.698754267040043</v>
          </cell>
          <cell r="R200">
            <v>10.455004839041191</v>
          </cell>
          <cell r="S200">
            <v>4.9330437584696041</v>
          </cell>
          <cell r="T200">
            <v>4.9330437584696041</v>
          </cell>
          <cell r="U200">
            <v>11.698754267040043</v>
          </cell>
          <cell r="V200">
            <v>10.455004839041191</v>
          </cell>
          <cell r="W200">
            <v>50</v>
          </cell>
          <cell r="X200">
            <v>35.2992125984252</v>
          </cell>
          <cell r="Y200">
            <v>66.038385826771659</v>
          </cell>
          <cell r="Z200">
            <v>35.2992125984252</v>
          </cell>
          <cell r="AA200">
            <v>66.038385826771659</v>
          </cell>
          <cell r="AB200">
            <v>35.2992125984252</v>
          </cell>
          <cell r="AC200">
            <v>66.038385826771659</v>
          </cell>
          <cell r="AD200">
            <v>66.038385826771659</v>
          </cell>
          <cell r="AE200">
            <v>65.066929133858267</v>
          </cell>
          <cell r="AF200">
            <v>23.066929133858274</v>
          </cell>
          <cell r="AG200">
            <v>39.925196850393704</v>
          </cell>
          <cell r="AH200" t="str">
            <v>N</v>
          </cell>
          <cell r="AI200">
            <v>40.131</v>
          </cell>
          <cell r="AJ200">
            <v>18.2</v>
          </cell>
          <cell r="AK200" t="str">
            <v>TBD</v>
          </cell>
          <cell r="AL200" t="str">
            <v>Y</v>
          </cell>
          <cell r="AM200">
            <v>200018403</v>
          </cell>
          <cell r="AN200">
            <v>200028403</v>
          </cell>
          <cell r="AO200">
            <v>200018303</v>
          </cell>
          <cell r="AP200">
            <v>200028303</v>
          </cell>
          <cell r="AQ200">
            <v>200018203</v>
          </cell>
          <cell r="AR200">
            <v>200028203</v>
          </cell>
          <cell r="AS200">
            <v>14.555555555555557</v>
          </cell>
          <cell r="AT200">
            <v>20.069602586497279</v>
          </cell>
          <cell r="AU200">
            <v>14.97260437224279</v>
          </cell>
          <cell r="AV200">
            <v>10.224017732239455</v>
          </cell>
          <cell r="AW200">
            <v>41254</v>
          </cell>
        </row>
        <row r="201">
          <cell r="C201" t="str">
            <v>Suntech - STP 275-295-24-Vd_S</v>
          </cell>
          <cell r="D201" t="str">
            <v>Standard Claw</v>
          </cell>
          <cell r="E201">
            <v>5000005</v>
          </cell>
          <cell r="F201">
            <v>39.055118110236222</v>
          </cell>
          <cell r="G201">
            <v>77.00787401574803</v>
          </cell>
          <cell r="H201">
            <v>1.9685039370078741</v>
          </cell>
          <cell r="I201">
            <v>200010707</v>
          </cell>
          <cell r="J201">
            <v>200010807</v>
          </cell>
          <cell r="K201">
            <v>200013807</v>
          </cell>
          <cell r="L201">
            <v>200016307</v>
          </cell>
          <cell r="M201">
            <v>500012581</v>
          </cell>
          <cell r="N201">
            <v>500012681</v>
          </cell>
          <cell r="O201">
            <v>500012581</v>
          </cell>
          <cell r="P201">
            <v>500012681</v>
          </cell>
          <cell r="Q201">
            <v>11.698754267040043</v>
          </cell>
          <cell r="R201">
            <v>10.455004839041191</v>
          </cell>
          <cell r="S201">
            <v>4.9330437584696041</v>
          </cell>
          <cell r="T201">
            <v>4.9330437584696041</v>
          </cell>
          <cell r="U201">
            <v>11.698754267040043</v>
          </cell>
          <cell r="V201">
            <v>10.455004839041191</v>
          </cell>
          <cell r="W201">
            <v>30</v>
          </cell>
          <cell r="X201">
            <v>35.2992125984252</v>
          </cell>
          <cell r="Y201">
            <v>78.479330708661422</v>
          </cell>
          <cell r="Z201">
            <v>35.2992125984252</v>
          </cell>
          <cell r="AA201">
            <v>78.479330708661422</v>
          </cell>
          <cell r="AB201">
            <v>35.2992125984252</v>
          </cell>
          <cell r="AC201">
            <v>78.479330708661422</v>
          </cell>
          <cell r="AD201">
            <v>78.479330708661422</v>
          </cell>
          <cell r="AE201">
            <v>77.507874015748044</v>
          </cell>
          <cell r="AF201">
            <v>35.507874015748037</v>
          </cell>
          <cell r="AG201">
            <v>39.925196850393704</v>
          </cell>
          <cell r="AH201" t="str">
            <v>Y</v>
          </cell>
          <cell r="AI201">
            <v>59.535000000000004</v>
          </cell>
          <cell r="AJ201">
            <v>27</v>
          </cell>
          <cell r="AK201" t="str">
            <v>TBD</v>
          </cell>
          <cell r="AL201" t="str">
            <v>Y</v>
          </cell>
          <cell r="AM201">
            <v>200018407</v>
          </cell>
          <cell r="AN201">
            <v>200028407</v>
          </cell>
          <cell r="AO201">
            <v>200018307</v>
          </cell>
          <cell r="AP201">
            <v>200028307</v>
          </cell>
          <cell r="AQ201">
            <v>200018207</v>
          </cell>
          <cell r="AR201">
            <v>200028207</v>
          </cell>
          <cell r="AS201">
            <v>17.222222222222221</v>
          </cell>
          <cell r="AT201">
            <v>20.069602586497279</v>
          </cell>
          <cell r="AU201">
            <v>14.97260437224279</v>
          </cell>
          <cell r="AV201">
            <v>10.224017732239455</v>
          </cell>
          <cell r="AW201">
            <v>41226</v>
          </cell>
        </row>
        <row r="202">
          <cell r="C202" t="str">
            <v>Suntech - STP 275-295-24-Vd_X</v>
          </cell>
          <cell r="D202" t="str">
            <v>Long Claw (Suntech STP-280)</v>
          </cell>
          <cell r="E202">
            <v>500003909</v>
          </cell>
          <cell r="F202">
            <v>39.055118110236222</v>
          </cell>
          <cell r="G202">
            <v>77.00787401574803</v>
          </cell>
          <cell r="H202">
            <v>1.9685039370078741</v>
          </cell>
          <cell r="I202">
            <v>200010707</v>
          </cell>
          <cell r="J202">
            <v>200010807</v>
          </cell>
          <cell r="K202">
            <v>200013807</v>
          </cell>
          <cell r="L202">
            <v>200016307</v>
          </cell>
          <cell r="M202">
            <v>500012580</v>
          </cell>
          <cell r="N202">
            <v>500012680</v>
          </cell>
          <cell r="O202">
            <v>500012580</v>
          </cell>
          <cell r="P202">
            <v>500012680</v>
          </cell>
          <cell r="Q202">
            <v>10.925528613606973</v>
          </cell>
          <cell r="R202">
            <v>9.7657558591012528</v>
          </cell>
          <cell r="S202">
            <v>4.610378750883191</v>
          </cell>
          <cell r="T202">
            <v>4.610378750883191</v>
          </cell>
          <cell r="U202">
            <v>10.925528613606973</v>
          </cell>
          <cell r="V202">
            <v>9.7657558591012528</v>
          </cell>
          <cell r="W202">
            <v>50</v>
          </cell>
          <cell r="X202">
            <v>37.763779527559059</v>
          </cell>
          <cell r="Y202">
            <v>77.762795275590548</v>
          </cell>
          <cell r="Z202">
            <v>37.763779527559059</v>
          </cell>
          <cell r="AA202">
            <v>77.762795275590548</v>
          </cell>
          <cell r="AB202">
            <v>37.763779527559059</v>
          </cell>
          <cell r="AC202">
            <v>77.762795275590548</v>
          </cell>
          <cell r="AD202">
            <v>77.762795275590548</v>
          </cell>
          <cell r="AE202">
            <v>77.507874015748044</v>
          </cell>
          <cell r="AF202">
            <v>35.507874015748037</v>
          </cell>
          <cell r="AG202">
            <v>39.925196850393704</v>
          </cell>
          <cell r="AH202" t="str">
            <v>Y</v>
          </cell>
          <cell r="AI202">
            <v>59.535000000000004</v>
          </cell>
          <cell r="AJ202">
            <v>27</v>
          </cell>
          <cell r="AK202" t="str">
            <v>TBD</v>
          </cell>
          <cell r="AL202" t="str">
            <v>Y</v>
          </cell>
          <cell r="AM202">
            <v>200018407</v>
          </cell>
          <cell r="AN202">
            <v>200028407</v>
          </cell>
          <cell r="AO202">
            <v>200018307</v>
          </cell>
          <cell r="AP202">
            <v>200028307</v>
          </cell>
          <cell r="AQ202">
            <v>200018207</v>
          </cell>
          <cell r="AR202">
            <v>200028207</v>
          </cell>
          <cell r="AS202">
            <v>17.222222222222221</v>
          </cell>
          <cell r="AT202">
            <v>20.069602586497279</v>
          </cell>
          <cell r="AU202">
            <v>14.97260437224279</v>
          </cell>
          <cell r="AV202">
            <v>10.224017732239455</v>
          </cell>
          <cell r="AW202">
            <v>41226</v>
          </cell>
        </row>
        <row r="203">
          <cell r="C203" t="str">
            <v>Suntech - STP 275-295-24-Vd_L</v>
          </cell>
          <cell r="D203" t="str">
            <v>2nd Gen Long Claw (Suntech STP-280)</v>
          </cell>
          <cell r="E203">
            <v>500014409</v>
          </cell>
          <cell r="F203">
            <v>39.055118110236222</v>
          </cell>
          <cell r="G203">
            <v>77.00787401574803</v>
          </cell>
          <cell r="H203">
            <v>1.9685039370078741</v>
          </cell>
          <cell r="I203">
            <v>200010707</v>
          </cell>
          <cell r="J203">
            <v>200010807</v>
          </cell>
          <cell r="K203">
            <v>200013807</v>
          </cell>
          <cell r="L203">
            <v>200016307</v>
          </cell>
          <cell r="M203">
            <v>500012580</v>
          </cell>
          <cell r="N203">
            <v>500012680</v>
          </cell>
          <cell r="O203">
            <v>500012580</v>
          </cell>
          <cell r="P203">
            <v>500012680</v>
          </cell>
          <cell r="Q203">
            <v>10.491598561783562</v>
          </cell>
          <cell r="R203">
            <v>9.3787899813738882</v>
          </cell>
          <cell r="S203">
            <v>4.4289934295908475</v>
          </cell>
          <cell r="T203">
            <v>4.4289934295908475</v>
          </cell>
          <cell r="U203">
            <v>10.491598561783562</v>
          </cell>
          <cell r="V203">
            <v>9.3787899813738882</v>
          </cell>
          <cell r="W203">
            <v>50</v>
          </cell>
          <cell r="X203">
            <v>39.30708661417323</v>
          </cell>
          <cell r="Y203">
            <v>77.762795275590548</v>
          </cell>
          <cell r="Z203">
            <v>39.30708661417323</v>
          </cell>
          <cell r="AA203">
            <v>77.762795275590548</v>
          </cell>
          <cell r="AB203">
            <v>39.30708661417323</v>
          </cell>
          <cell r="AC203">
            <v>77.762795275590548</v>
          </cell>
          <cell r="AD203">
            <v>77.762795275590548</v>
          </cell>
          <cell r="AE203">
            <v>77.507874015748044</v>
          </cell>
          <cell r="AF203">
            <v>35.507874015748037</v>
          </cell>
          <cell r="AG203">
            <v>39.925196850393704</v>
          </cell>
          <cell r="AH203" t="str">
            <v>Y</v>
          </cell>
          <cell r="AI203">
            <v>59.535000000000004</v>
          </cell>
          <cell r="AJ203">
            <v>27</v>
          </cell>
          <cell r="AK203" t="str">
            <v>TBD</v>
          </cell>
          <cell r="AL203" t="str">
            <v>Y</v>
          </cell>
          <cell r="AM203">
            <v>200018407</v>
          </cell>
          <cell r="AN203">
            <v>200028407</v>
          </cell>
          <cell r="AO203">
            <v>200018307</v>
          </cell>
          <cell r="AP203">
            <v>200028307</v>
          </cell>
          <cell r="AQ203">
            <v>200018207</v>
          </cell>
          <cell r="AR203">
            <v>200028207</v>
          </cell>
          <cell r="AS203">
            <v>17.222222222222221</v>
          </cell>
          <cell r="AT203">
            <v>20.069602586497279</v>
          </cell>
          <cell r="AU203">
            <v>14.97260437224279</v>
          </cell>
          <cell r="AV203">
            <v>10.224017732239455</v>
          </cell>
          <cell r="AW203">
            <v>41226</v>
          </cell>
        </row>
        <row r="204">
          <cell r="C204" t="str">
            <v>Suntech - PLUTO 240-245-Wde_S</v>
          </cell>
          <cell r="D204" t="str">
            <v>Standard Claw</v>
          </cell>
          <cell r="E204">
            <v>5000005</v>
          </cell>
          <cell r="F204">
            <v>39.015748031496067</v>
          </cell>
          <cell r="G204">
            <v>65.551181102362207</v>
          </cell>
          <cell r="H204">
            <v>1.9685039370078741</v>
          </cell>
          <cell r="I204">
            <v>200010705</v>
          </cell>
          <cell r="J204">
            <v>200010805</v>
          </cell>
          <cell r="K204">
            <v>200013804</v>
          </cell>
          <cell r="L204">
            <v>200016304</v>
          </cell>
          <cell r="M204">
            <v>500012569</v>
          </cell>
          <cell r="N204">
            <v>500012669</v>
          </cell>
          <cell r="O204">
            <v>500012570</v>
          </cell>
          <cell r="P204">
            <v>500012670</v>
          </cell>
          <cell r="Q204">
            <v>11.712001665978303</v>
          </cell>
          <cell r="R204">
            <v>10.466810122774502</v>
          </cell>
          <cell r="S204">
            <v>4.9385655202770034</v>
          </cell>
          <cell r="T204">
            <v>4.9385655202770034</v>
          </cell>
          <cell r="U204">
            <v>11.712001665978303</v>
          </cell>
          <cell r="V204">
            <v>10.466810122774502</v>
          </cell>
          <cell r="W204">
            <v>50</v>
          </cell>
          <cell r="X204">
            <v>35.259842519685044</v>
          </cell>
          <cell r="Y204">
            <v>67.0226377952756</v>
          </cell>
          <cell r="Z204">
            <v>35.259842519685044</v>
          </cell>
          <cell r="AA204">
            <v>67.0226377952756</v>
          </cell>
          <cell r="AB204">
            <v>35.259842519685044</v>
          </cell>
          <cell r="AC204">
            <v>67.0226377952756</v>
          </cell>
          <cell r="AD204">
            <v>67.0226377952756</v>
          </cell>
          <cell r="AE204">
            <v>66.051181102362207</v>
          </cell>
          <cell r="AF204">
            <v>24.051181102362211</v>
          </cell>
          <cell r="AG204">
            <v>39.885826771653548</v>
          </cell>
          <cell r="AH204" t="str">
            <v>N</v>
          </cell>
          <cell r="AI204">
            <v>44.1</v>
          </cell>
          <cell r="AJ204">
            <v>20</v>
          </cell>
          <cell r="AK204" t="str">
            <v>TBD</v>
          </cell>
          <cell r="AL204" t="str">
            <v>Y</v>
          </cell>
          <cell r="AM204">
            <v>200018403</v>
          </cell>
          <cell r="AN204">
            <v>200028403</v>
          </cell>
          <cell r="AO204">
            <v>200018303</v>
          </cell>
          <cell r="AP204">
            <v>200028303</v>
          </cell>
          <cell r="AQ204">
            <v>200018203</v>
          </cell>
          <cell r="AR204">
            <v>200028203</v>
          </cell>
          <cell r="AS204">
            <v>14.555555555555557</v>
          </cell>
          <cell r="AT204">
            <v>20.090266090541991</v>
          </cell>
          <cell r="AU204">
            <v>14.987729769699868</v>
          </cell>
          <cell r="AV204">
            <v>10.23421820704114</v>
          </cell>
          <cell r="AW204">
            <v>41229</v>
          </cell>
        </row>
        <row r="205">
          <cell r="C205" t="str">
            <v>Trina Solar - TSM-PC-PA05-DC-DA05 220-255_S</v>
          </cell>
          <cell r="D205" t="str">
            <v>Standard Claw</v>
          </cell>
          <cell r="E205">
            <v>5000005</v>
          </cell>
          <cell r="F205">
            <v>39.055118110236222</v>
          </cell>
          <cell r="G205">
            <v>64.960629921259851</v>
          </cell>
          <cell r="H205">
            <v>1.8110236220472442</v>
          </cell>
          <cell r="I205">
            <v>200010704</v>
          </cell>
          <cell r="J205">
            <v>200010804</v>
          </cell>
          <cell r="K205">
            <v>200013804</v>
          </cell>
          <cell r="L205">
            <v>200016304</v>
          </cell>
          <cell r="M205">
            <v>500012568</v>
          </cell>
          <cell r="N205">
            <v>500012668</v>
          </cell>
          <cell r="O205">
            <v>500012569</v>
          </cell>
          <cell r="P205">
            <v>500012669</v>
          </cell>
          <cell r="Q205">
            <v>11.778694560772582</v>
          </cell>
          <cell r="R205">
            <v>10.526241039665905</v>
          </cell>
          <cell r="S205">
            <v>4.9663610300746015</v>
          </cell>
          <cell r="T205">
            <v>4.9663610300746015</v>
          </cell>
          <cell r="U205">
            <v>11.778694560772582</v>
          </cell>
          <cell r="V205">
            <v>10.526241039665905</v>
          </cell>
          <cell r="W205">
            <v>50</v>
          </cell>
          <cell r="X205">
            <v>35.062992125984252</v>
          </cell>
          <cell r="Y205">
            <v>66.195866141732282</v>
          </cell>
          <cell r="Z205">
            <v>35.062992125984252</v>
          </cell>
          <cell r="AA205">
            <v>66.195866141732282</v>
          </cell>
          <cell r="AB205">
            <v>35.062992125984252</v>
          </cell>
          <cell r="AC205">
            <v>66.195866141732282</v>
          </cell>
          <cell r="AD205">
            <v>66.195866141732282</v>
          </cell>
          <cell r="AE205">
            <v>65.460629921259851</v>
          </cell>
          <cell r="AF205">
            <v>23.460629921259848</v>
          </cell>
          <cell r="AG205">
            <v>39.688976377952756</v>
          </cell>
          <cell r="AH205" t="str">
            <v>Y</v>
          </cell>
          <cell r="AI205">
            <v>42.997500000000002</v>
          </cell>
          <cell r="AJ205">
            <v>19.5</v>
          </cell>
          <cell r="AK205" t="str">
            <v>TBD</v>
          </cell>
          <cell r="AL205" t="str">
            <v>Y</v>
          </cell>
          <cell r="AM205">
            <v>200018403</v>
          </cell>
          <cell r="AN205">
            <v>200028403</v>
          </cell>
          <cell r="AO205">
            <v>200018303</v>
          </cell>
          <cell r="AP205">
            <v>200028303</v>
          </cell>
          <cell r="AQ205">
            <v>200018203</v>
          </cell>
          <cell r="AR205">
            <v>200028203</v>
          </cell>
          <cell r="AS205">
            <v>14.555555555555557</v>
          </cell>
          <cell r="AT205">
            <v>20.19423994993074</v>
          </cell>
          <cell r="AU205">
            <v>15.063823110425394</v>
          </cell>
          <cell r="AV205">
            <v>10.285529115768481</v>
          </cell>
          <cell r="AW205">
            <v>41317</v>
          </cell>
        </row>
        <row r="206">
          <cell r="C206" t="str">
            <v>Trina Solar - TSM-PC-PA14-PA14A 270-315_S</v>
          </cell>
          <cell r="D206" t="str">
            <v>Standard Claw</v>
          </cell>
          <cell r="E206">
            <v>5000005</v>
          </cell>
          <cell r="F206">
            <v>39.055118110236222</v>
          </cell>
          <cell r="G206">
            <v>77.00787401574803</v>
          </cell>
          <cell r="H206">
            <v>1.8110236220472442</v>
          </cell>
          <cell r="I206">
            <v>200010707</v>
          </cell>
          <cell r="J206">
            <v>200010807</v>
          </cell>
          <cell r="K206">
            <v>200013807</v>
          </cell>
          <cell r="L206">
            <v>200016307</v>
          </cell>
          <cell r="M206">
            <v>500012580</v>
          </cell>
          <cell r="N206">
            <v>500012680</v>
          </cell>
          <cell r="O206">
            <v>500012581</v>
          </cell>
          <cell r="P206">
            <v>500012681</v>
          </cell>
          <cell r="Q206">
            <v>11.778694560772582</v>
          </cell>
          <cell r="R206">
            <v>10.526241039665905</v>
          </cell>
          <cell r="S206">
            <v>4.9663610300746015</v>
          </cell>
          <cell r="T206">
            <v>4.9663610300746015</v>
          </cell>
          <cell r="U206">
            <v>11.778694560772582</v>
          </cell>
          <cell r="V206">
            <v>10.526241039665905</v>
          </cell>
          <cell r="W206">
            <v>50</v>
          </cell>
          <cell r="X206">
            <v>35.062992125984252</v>
          </cell>
          <cell r="Y206">
            <v>78.243110236220474</v>
          </cell>
          <cell r="Z206">
            <v>35.062992125984252</v>
          </cell>
          <cell r="AA206">
            <v>78.243110236220474</v>
          </cell>
          <cell r="AB206">
            <v>35.062992125984252</v>
          </cell>
          <cell r="AC206">
            <v>78.243110236220474</v>
          </cell>
          <cell r="AD206">
            <v>78.243110236220474</v>
          </cell>
          <cell r="AE206">
            <v>77.507874015748044</v>
          </cell>
          <cell r="AF206">
            <v>35.507874015748037</v>
          </cell>
          <cell r="AG206">
            <v>39.688976377952756</v>
          </cell>
          <cell r="AH206" t="str">
            <v>Y</v>
          </cell>
          <cell r="AI206">
            <v>60.858000000000004</v>
          </cell>
          <cell r="AJ206">
            <v>27.6</v>
          </cell>
          <cell r="AK206" t="str">
            <v>TBD</v>
          </cell>
          <cell r="AL206" t="str">
            <v>Y</v>
          </cell>
          <cell r="AM206">
            <v>200018407</v>
          </cell>
          <cell r="AN206">
            <v>200028407</v>
          </cell>
          <cell r="AO206">
            <v>200018307</v>
          </cell>
          <cell r="AP206">
            <v>200028307</v>
          </cell>
          <cell r="AQ206">
            <v>200018207</v>
          </cell>
          <cell r="AR206">
            <v>200028207</v>
          </cell>
          <cell r="AS206">
            <v>17.222222222222221</v>
          </cell>
          <cell r="AT206">
            <v>20.19423994993074</v>
          </cell>
          <cell r="AU206">
            <v>15.063823110425394</v>
          </cell>
          <cell r="AV206">
            <v>10.285529115768481</v>
          </cell>
          <cell r="AW206">
            <v>41317</v>
          </cell>
        </row>
        <row r="207">
          <cell r="C207" t="str">
            <v>Trina Solar - TSM-PC-PA05 220-255_S</v>
          </cell>
          <cell r="D207" t="str">
            <v>Standard Claw</v>
          </cell>
          <cell r="E207">
            <v>5000005</v>
          </cell>
          <cell r="F207">
            <v>39.055118110236222</v>
          </cell>
          <cell r="G207">
            <v>64.960629921259851</v>
          </cell>
          <cell r="H207">
            <v>1.5748031496062993</v>
          </cell>
          <cell r="I207">
            <v>200010704</v>
          </cell>
          <cell r="J207">
            <v>200010804</v>
          </cell>
          <cell r="K207">
            <v>200013804</v>
          </cell>
          <cell r="L207">
            <v>200016304</v>
          </cell>
          <cell r="M207">
            <v>500012569</v>
          </cell>
          <cell r="N207">
            <v>500012669</v>
          </cell>
          <cell r="O207">
            <v>500012569</v>
          </cell>
          <cell r="P207">
            <v>500012669</v>
          </cell>
          <cell r="Q207">
            <v>11.698754267040043</v>
          </cell>
          <cell r="R207">
            <v>10.455004839041191</v>
          </cell>
          <cell r="S207">
            <v>4.9330437584696041</v>
          </cell>
          <cell r="T207">
            <v>4.9330437584696041</v>
          </cell>
          <cell r="U207">
            <v>11.698754267040043</v>
          </cell>
          <cell r="V207">
            <v>10.455004839041191</v>
          </cell>
          <cell r="W207">
            <v>50</v>
          </cell>
          <cell r="X207">
            <v>35.2992125984252</v>
          </cell>
          <cell r="Y207">
            <v>66.43208661417323</v>
          </cell>
          <cell r="Z207">
            <v>35.2992125984252</v>
          </cell>
          <cell r="AA207">
            <v>66.43208661417323</v>
          </cell>
          <cell r="AB207">
            <v>35.2992125984252</v>
          </cell>
          <cell r="AC207">
            <v>66.43208661417323</v>
          </cell>
          <cell r="AD207">
            <v>66.43208661417323</v>
          </cell>
          <cell r="AE207">
            <v>65.460629921259851</v>
          </cell>
          <cell r="AF207">
            <v>23.460629921259848</v>
          </cell>
          <cell r="AG207">
            <v>39.925196850393704</v>
          </cell>
          <cell r="AH207" t="str">
            <v>Y</v>
          </cell>
          <cell r="AI207">
            <v>42.997500000000002</v>
          </cell>
          <cell r="AJ207">
            <v>19.5</v>
          </cell>
          <cell r="AK207" t="str">
            <v>TBD</v>
          </cell>
          <cell r="AL207" t="str">
            <v>Y</v>
          </cell>
          <cell r="AM207">
            <v>200018403</v>
          </cell>
          <cell r="AN207">
            <v>200028403</v>
          </cell>
          <cell r="AO207">
            <v>200018303</v>
          </cell>
          <cell r="AP207">
            <v>200028303</v>
          </cell>
          <cell r="AQ207">
            <v>200018203</v>
          </cell>
          <cell r="AR207">
            <v>200028203</v>
          </cell>
          <cell r="AS207">
            <v>14.555555555555557</v>
          </cell>
          <cell r="AT207">
            <v>20.069602586497279</v>
          </cell>
          <cell r="AU207">
            <v>14.97260437224279</v>
          </cell>
          <cell r="AV207">
            <v>10.224017732239455</v>
          </cell>
          <cell r="AW207">
            <v>41317</v>
          </cell>
        </row>
        <row r="208">
          <cell r="C208" t="str">
            <v>Trina Solar - TSM-DC-DA05 220-240_S</v>
          </cell>
          <cell r="D208" t="str">
            <v>Standard Claw</v>
          </cell>
          <cell r="E208">
            <v>5000005</v>
          </cell>
          <cell r="F208">
            <v>39.055118110236222</v>
          </cell>
          <cell r="G208">
            <v>64.960629921259851</v>
          </cell>
          <cell r="H208">
            <v>1.5748031496062993</v>
          </cell>
          <cell r="I208">
            <v>200010704</v>
          </cell>
          <cell r="J208">
            <v>200010804</v>
          </cell>
          <cell r="K208">
            <v>200013804</v>
          </cell>
          <cell r="L208">
            <v>200016304</v>
          </cell>
          <cell r="M208">
            <v>500012569</v>
          </cell>
          <cell r="N208">
            <v>500012669</v>
          </cell>
          <cell r="O208">
            <v>500012569</v>
          </cell>
          <cell r="P208">
            <v>500012669</v>
          </cell>
          <cell r="Q208">
            <v>11.698754267040043</v>
          </cell>
          <cell r="R208">
            <v>10.455004839041191</v>
          </cell>
          <cell r="S208">
            <v>4.9330437584696041</v>
          </cell>
          <cell r="T208">
            <v>4.9330437584696041</v>
          </cell>
          <cell r="U208">
            <v>11.698754267040043</v>
          </cell>
          <cell r="V208">
            <v>10.455004839041191</v>
          </cell>
          <cell r="W208">
            <v>50</v>
          </cell>
          <cell r="X208">
            <v>35.2992125984252</v>
          </cell>
          <cell r="Y208">
            <v>66.43208661417323</v>
          </cell>
          <cell r="Z208">
            <v>35.2992125984252</v>
          </cell>
          <cell r="AA208">
            <v>66.43208661417323</v>
          </cell>
          <cell r="AB208">
            <v>35.2992125984252</v>
          </cell>
          <cell r="AC208">
            <v>66.43208661417323</v>
          </cell>
          <cell r="AD208">
            <v>66.43208661417323</v>
          </cell>
          <cell r="AE208">
            <v>65.460629921259851</v>
          </cell>
          <cell r="AF208">
            <v>23.460629921259848</v>
          </cell>
          <cell r="AG208">
            <v>39.925196850393704</v>
          </cell>
          <cell r="AH208" t="str">
            <v>Y</v>
          </cell>
          <cell r="AI208">
            <v>42.997500000000002</v>
          </cell>
          <cell r="AJ208">
            <v>19.5</v>
          </cell>
          <cell r="AK208" t="str">
            <v>TBD</v>
          </cell>
          <cell r="AL208" t="str">
            <v>Y</v>
          </cell>
          <cell r="AM208">
            <v>200018403</v>
          </cell>
          <cell r="AN208">
            <v>200028403</v>
          </cell>
          <cell r="AO208">
            <v>200018303</v>
          </cell>
          <cell r="AP208">
            <v>200028303</v>
          </cell>
          <cell r="AQ208">
            <v>200018203</v>
          </cell>
          <cell r="AR208">
            <v>200028203</v>
          </cell>
          <cell r="AS208">
            <v>14.555555555555557</v>
          </cell>
          <cell r="AT208">
            <v>20.069602586497279</v>
          </cell>
          <cell r="AU208">
            <v>14.97260437224279</v>
          </cell>
          <cell r="AV208">
            <v>10.224017732239455</v>
          </cell>
          <cell r="AW208">
            <v>41123</v>
          </cell>
        </row>
        <row r="209">
          <cell r="C209" t="str">
            <v>Trina Solar - TSM-PC-PA14 270-305_S</v>
          </cell>
          <cell r="D209" t="str">
            <v>Standard Claw</v>
          </cell>
          <cell r="E209">
            <v>5000005</v>
          </cell>
          <cell r="F209">
            <v>39.055118110236222</v>
          </cell>
          <cell r="G209">
            <v>77.00787401574803</v>
          </cell>
          <cell r="H209">
            <v>1.5748031496062993</v>
          </cell>
          <cell r="I209">
            <v>200010707</v>
          </cell>
          <cell r="J209">
            <v>200010807</v>
          </cell>
          <cell r="K209">
            <v>200013807</v>
          </cell>
          <cell r="L209">
            <v>200016307</v>
          </cell>
          <cell r="M209">
            <v>500012581</v>
          </cell>
          <cell r="N209">
            <v>500012681</v>
          </cell>
          <cell r="O209">
            <v>500012581</v>
          </cell>
          <cell r="P209">
            <v>500012681</v>
          </cell>
          <cell r="Q209">
            <v>11.698754267040043</v>
          </cell>
          <cell r="R209">
            <v>10.455004839041191</v>
          </cell>
          <cell r="S209">
            <v>4.9330437584696041</v>
          </cell>
          <cell r="T209">
            <v>4.9330437584696041</v>
          </cell>
          <cell r="U209">
            <v>11.698754267040043</v>
          </cell>
          <cell r="V209">
            <v>10.455004839041191</v>
          </cell>
          <cell r="W209">
            <v>50</v>
          </cell>
          <cell r="X209">
            <v>35.2992125984252</v>
          </cell>
          <cell r="Y209">
            <v>78.479330708661422</v>
          </cell>
          <cell r="Z209">
            <v>35.2992125984252</v>
          </cell>
          <cell r="AA209">
            <v>78.479330708661422</v>
          </cell>
          <cell r="AB209">
            <v>35.2992125984252</v>
          </cell>
          <cell r="AC209">
            <v>78.479330708661422</v>
          </cell>
          <cell r="AD209">
            <v>78.479330708661422</v>
          </cell>
          <cell r="AE209">
            <v>77.507874015748044</v>
          </cell>
          <cell r="AF209">
            <v>35.507874015748037</v>
          </cell>
          <cell r="AG209">
            <v>39.925196850393704</v>
          </cell>
          <cell r="AH209" t="str">
            <v>N</v>
          </cell>
          <cell r="AI209">
            <v>60.8</v>
          </cell>
          <cell r="AJ209">
            <v>27.6</v>
          </cell>
          <cell r="AK209" t="str">
            <v>TBD</v>
          </cell>
          <cell r="AL209" t="str">
            <v>Y</v>
          </cell>
          <cell r="AM209">
            <v>200018407</v>
          </cell>
          <cell r="AN209">
            <v>200028407</v>
          </cell>
          <cell r="AO209">
            <v>200018307</v>
          </cell>
          <cell r="AP209">
            <v>200028307</v>
          </cell>
          <cell r="AQ209">
            <v>200018207</v>
          </cell>
          <cell r="AR209">
            <v>200028207</v>
          </cell>
          <cell r="AS209">
            <v>17.222222222222221</v>
          </cell>
          <cell r="AT209">
            <v>20.069602586497279</v>
          </cell>
          <cell r="AU209">
            <v>14.97260437224279</v>
          </cell>
          <cell r="AV209">
            <v>10.224017732239455</v>
          </cell>
          <cell r="AW209">
            <v>41317</v>
          </cell>
        </row>
        <row r="210">
          <cell r="C210" t="str">
            <v>Trina Solar - TSM-PC-PA14A 290-315_S</v>
          </cell>
          <cell r="D210" t="str">
            <v>Standard Claw</v>
          </cell>
          <cell r="E210">
            <v>5000005</v>
          </cell>
          <cell r="F210">
            <v>39.055118110236222</v>
          </cell>
          <cell r="G210">
            <v>77.00787401574803</v>
          </cell>
          <cell r="H210">
            <v>1.5748031496062993</v>
          </cell>
          <cell r="I210">
            <v>200010707</v>
          </cell>
          <cell r="J210">
            <v>200010807</v>
          </cell>
          <cell r="K210">
            <v>200013807</v>
          </cell>
          <cell r="L210">
            <v>200016307</v>
          </cell>
          <cell r="M210">
            <v>500012581</v>
          </cell>
          <cell r="N210">
            <v>500012681</v>
          </cell>
          <cell r="O210">
            <v>500012581</v>
          </cell>
          <cell r="P210">
            <v>500012681</v>
          </cell>
          <cell r="Q210">
            <v>11.698754267040043</v>
          </cell>
          <cell r="R210">
            <v>10.455004839041191</v>
          </cell>
          <cell r="S210">
            <v>4.9330437584696041</v>
          </cell>
          <cell r="T210">
            <v>4.9330437584696041</v>
          </cell>
          <cell r="U210">
            <v>11.698754267040043</v>
          </cell>
          <cell r="V210">
            <v>10.455004839041191</v>
          </cell>
          <cell r="W210">
            <v>50</v>
          </cell>
          <cell r="X210">
            <v>35.2992125984252</v>
          </cell>
          <cell r="Y210">
            <v>78.479330708661422</v>
          </cell>
          <cell r="Z210">
            <v>35.2992125984252</v>
          </cell>
          <cell r="AA210">
            <v>78.479330708661422</v>
          </cell>
          <cell r="AB210">
            <v>35.2992125984252</v>
          </cell>
          <cell r="AC210">
            <v>78.479330708661422</v>
          </cell>
          <cell r="AD210">
            <v>78.479330708661422</v>
          </cell>
          <cell r="AE210">
            <v>77.507874015748044</v>
          </cell>
          <cell r="AF210">
            <v>35.507874015748037</v>
          </cell>
          <cell r="AG210">
            <v>39.925196850393704</v>
          </cell>
          <cell r="AH210" t="str">
            <v>N</v>
          </cell>
          <cell r="AI210">
            <v>60.8</v>
          </cell>
          <cell r="AJ210">
            <v>27.6</v>
          </cell>
          <cell r="AK210" t="str">
            <v>TBD</v>
          </cell>
          <cell r="AL210" t="str">
            <v>Y</v>
          </cell>
          <cell r="AM210">
            <v>200018407</v>
          </cell>
          <cell r="AN210">
            <v>200028407</v>
          </cell>
          <cell r="AO210">
            <v>200018307</v>
          </cell>
          <cell r="AP210">
            <v>200028307</v>
          </cell>
          <cell r="AQ210">
            <v>200018207</v>
          </cell>
          <cell r="AR210">
            <v>200028207</v>
          </cell>
          <cell r="AS210">
            <v>17.222222222222221</v>
          </cell>
          <cell r="AT210">
            <v>20.069602586497279</v>
          </cell>
          <cell r="AU210">
            <v>14.97260437224279</v>
          </cell>
          <cell r="AV210">
            <v>10.224017732239455</v>
          </cell>
          <cell r="AW210">
            <v>41317</v>
          </cell>
        </row>
        <row r="211">
          <cell r="C211" t="str">
            <v>TSMC - TSMC 125-140_S</v>
          </cell>
          <cell r="D211" t="str">
            <v>Standard Claw</v>
          </cell>
          <cell r="E211">
            <v>5000005</v>
          </cell>
          <cell r="F211">
            <v>25.826771653543307</v>
          </cell>
          <cell r="G211">
            <v>65.196850393700785</v>
          </cell>
          <cell r="H211">
            <v>1.3779527559055118</v>
          </cell>
          <cell r="I211">
            <v>200010704</v>
          </cell>
          <cell r="J211">
            <v>200010804</v>
          </cell>
          <cell r="K211">
            <v>200013804</v>
          </cell>
          <cell r="L211">
            <v>200016304</v>
          </cell>
          <cell r="M211">
            <v>500012569</v>
          </cell>
          <cell r="N211">
            <v>500012669</v>
          </cell>
          <cell r="O211">
            <v>500012569</v>
          </cell>
          <cell r="P211">
            <v>500012669</v>
          </cell>
          <cell r="Q211">
            <v>18.646759082927325</v>
          </cell>
          <cell r="R211">
            <v>16.627087624346455</v>
          </cell>
          <cell r="S211">
            <v>7.7930967180026212</v>
          </cell>
          <cell r="T211">
            <v>7.7930967180026212</v>
          </cell>
          <cell r="U211">
            <v>18.646759082927325</v>
          </cell>
          <cell r="V211">
            <v>16.627087624346455</v>
          </cell>
          <cell r="W211">
            <v>30</v>
          </cell>
          <cell r="X211">
            <v>22.385826771653544</v>
          </cell>
          <cell r="Y211">
            <v>66.663582677165351</v>
          </cell>
          <cell r="Z211">
            <v>22.385826771653544</v>
          </cell>
          <cell r="AA211">
            <v>66.663582677165351</v>
          </cell>
          <cell r="AB211">
            <v>22.385826771653544</v>
          </cell>
          <cell r="AC211">
            <v>66.663582677165351</v>
          </cell>
          <cell r="AD211">
            <v>66.663582677165351</v>
          </cell>
          <cell r="AE211">
            <v>65.696850393700799</v>
          </cell>
          <cell r="AF211">
            <v>23.696850393700792</v>
          </cell>
          <cell r="AG211">
            <v>26.688976377952756</v>
          </cell>
          <cell r="AH211" t="str">
            <v>Y</v>
          </cell>
          <cell r="AI211">
            <v>36.603000000000002</v>
          </cell>
          <cell r="AJ211">
            <v>16.600000000000001</v>
          </cell>
          <cell r="AK211" t="str">
            <v>TBD</v>
          </cell>
          <cell r="AL211" t="str">
            <v>Y</v>
          </cell>
          <cell r="AM211">
            <v>200018403</v>
          </cell>
          <cell r="AN211">
            <v>200028403</v>
          </cell>
          <cell r="AO211">
            <v>200018303</v>
          </cell>
          <cell r="AP211">
            <v>200028303</v>
          </cell>
          <cell r="AQ211">
            <v>200018203</v>
          </cell>
          <cell r="AR211">
            <v>200028203</v>
          </cell>
          <cell r="AS211">
            <v>14.555555555555557</v>
          </cell>
          <cell r="AT211">
            <v>30.887233777756016</v>
          </cell>
          <cell r="AU211">
            <v>22.736128511518519</v>
          </cell>
          <cell r="AV211">
            <v>15.39820352823091</v>
          </cell>
          <cell r="AW211">
            <v>41193</v>
          </cell>
        </row>
        <row r="212">
          <cell r="C212" t="str">
            <v>Unicor - PVM 200-240 PS_L</v>
          </cell>
          <cell r="D212" t="str">
            <v>2nd Gen Long Claw (Unicor PVMPS)</v>
          </cell>
          <cell r="E212">
            <v>500014412</v>
          </cell>
          <cell r="F212">
            <v>38.65</v>
          </cell>
          <cell r="G212">
            <v>64.510000000000005</v>
          </cell>
          <cell r="H212">
            <v>1.3779527559055118</v>
          </cell>
          <cell r="I212">
            <v>200010704</v>
          </cell>
          <cell r="J212">
            <v>200010804</v>
          </cell>
          <cell r="K212">
            <v>200013804</v>
          </cell>
          <cell r="L212">
            <v>200016304</v>
          </cell>
          <cell r="M212">
            <v>500012568</v>
          </cell>
          <cell r="N212">
            <v>500012668</v>
          </cell>
          <cell r="O212">
            <v>500012568</v>
          </cell>
          <cell r="P212">
            <v>500012668</v>
          </cell>
          <cell r="Q212">
            <v>10.407789026340346</v>
          </cell>
          <cell r="R212">
            <v>9.3040381938719481</v>
          </cell>
          <cell r="S212">
            <v>4.3939360798390625</v>
          </cell>
          <cell r="T212">
            <v>4.3939360798390625</v>
          </cell>
          <cell r="U212">
            <v>10.407789026340346</v>
          </cell>
          <cell r="V212">
            <v>9.3040381938719481</v>
          </cell>
          <cell r="W212">
            <v>30</v>
          </cell>
          <cell r="X212">
            <v>39.620078740157481</v>
          </cell>
          <cell r="Y212">
            <v>65.264921259842524</v>
          </cell>
          <cell r="Z212">
            <v>39.620078740157481</v>
          </cell>
          <cell r="AA212">
            <v>65.264921259842524</v>
          </cell>
          <cell r="AB212">
            <v>39.620078740157481</v>
          </cell>
          <cell r="AC212">
            <v>65.264921259842524</v>
          </cell>
          <cell r="AD212">
            <v>65.264921259842524</v>
          </cell>
          <cell r="AE212">
            <v>65.010000000000005</v>
          </cell>
          <cell r="AF212">
            <v>23.010000000000009</v>
          </cell>
          <cell r="AG212">
            <v>40.307480314960628</v>
          </cell>
          <cell r="AH212" t="str">
            <v>N</v>
          </cell>
          <cell r="AI212">
            <v>50.0535</v>
          </cell>
          <cell r="AJ212">
            <v>22.7</v>
          </cell>
          <cell r="AK212" t="str">
            <v>TBD</v>
          </cell>
          <cell r="AL212" t="str">
            <v>Y</v>
          </cell>
          <cell r="AM212">
            <v>200018403</v>
          </cell>
          <cell r="AN212">
            <v>200028403</v>
          </cell>
          <cell r="AO212">
            <v>200018303</v>
          </cell>
          <cell r="AP212">
            <v>200028303</v>
          </cell>
          <cell r="AQ212">
            <v>200018203</v>
          </cell>
          <cell r="AR212">
            <v>200028203</v>
          </cell>
          <cell r="AS212">
            <v>14.555555555555557</v>
          </cell>
          <cell r="AT212">
            <v>19.871197062224532</v>
          </cell>
          <cell r="AU212">
            <v>14.82732736658515</v>
          </cell>
          <cell r="AV212">
            <v>10.126023881715716</v>
          </cell>
          <cell r="AW212">
            <v>41193</v>
          </cell>
        </row>
        <row r="213">
          <cell r="C213" t="str">
            <v>Upsolar - UP-M 200-215 P_S</v>
          </cell>
          <cell r="D213" t="str">
            <v>Standard Claw</v>
          </cell>
          <cell r="E213">
            <v>5000005</v>
          </cell>
          <cell r="F213">
            <v>39.055118110236222</v>
          </cell>
          <cell r="G213">
            <v>58.346456692913392</v>
          </cell>
          <cell r="H213">
            <v>1.9685039370078741</v>
          </cell>
          <cell r="I213">
            <v>200010703</v>
          </cell>
          <cell r="J213">
            <v>200010803</v>
          </cell>
          <cell r="K213">
            <v>200013803</v>
          </cell>
          <cell r="L213">
            <v>200016303</v>
          </cell>
          <cell r="M213">
            <v>500012562</v>
          </cell>
          <cell r="N213">
            <v>500012662</v>
          </cell>
          <cell r="O213">
            <v>500012563</v>
          </cell>
          <cell r="P213">
            <v>500012663</v>
          </cell>
          <cell r="Q213">
            <v>11.698754267040043</v>
          </cell>
          <cell r="R213">
            <v>10.455004839041191</v>
          </cell>
          <cell r="S213">
            <v>4.9330437584696041</v>
          </cell>
          <cell r="T213">
            <v>4.9330437584696041</v>
          </cell>
          <cell r="U213">
            <v>11.698754267040043</v>
          </cell>
          <cell r="V213">
            <v>10.455004839041191</v>
          </cell>
          <cell r="W213">
            <v>45</v>
          </cell>
          <cell r="X213">
            <v>35.2992125984252</v>
          </cell>
          <cell r="Y213">
            <v>59.817913385826778</v>
          </cell>
          <cell r="Z213">
            <v>35.2992125984252</v>
          </cell>
          <cell r="AA213">
            <v>59.817913385826778</v>
          </cell>
          <cell r="AB213">
            <v>35.2992125984252</v>
          </cell>
          <cell r="AC213">
            <v>59.817913385826778</v>
          </cell>
          <cell r="AD213">
            <v>59.817913385826778</v>
          </cell>
          <cell r="AE213">
            <v>58.846456692913392</v>
          </cell>
          <cell r="AF213">
            <v>16.846456692913389</v>
          </cell>
          <cell r="AG213">
            <v>39.925196850393704</v>
          </cell>
          <cell r="AH213" t="str">
            <v>Y</v>
          </cell>
          <cell r="AI213">
            <v>38.587499999999999</v>
          </cell>
          <cell r="AJ213">
            <v>17.5</v>
          </cell>
          <cell r="AK213" t="str">
            <v>TBD</v>
          </cell>
          <cell r="AL213" t="str">
            <v>Y</v>
          </cell>
          <cell r="AM213">
            <v>200018401</v>
          </cell>
          <cell r="AN213">
            <v>200028401</v>
          </cell>
          <cell r="AO213">
            <v>200018301</v>
          </cell>
          <cell r="AP213">
            <v>200028301</v>
          </cell>
          <cell r="AQ213">
            <v>200018201</v>
          </cell>
          <cell r="AR213">
            <v>200028201</v>
          </cell>
          <cell r="AS213">
            <v>13.22222222222222</v>
          </cell>
          <cell r="AT213">
            <v>20.069602586497279</v>
          </cell>
          <cell r="AU213">
            <v>14.97260437224279</v>
          </cell>
          <cell r="AV213">
            <v>10.224017732239455</v>
          </cell>
          <cell r="AW213">
            <v>40966</v>
          </cell>
        </row>
        <row r="214">
          <cell r="C214" t="str">
            <v>Upsolar - UP-M 215-235 P_S</v>
          </cell>
          <cell r="D214" t="str">
            <v>Standard Claw</v>
          </cell>
          <cell r="E214">
            <v>5000005</v>
          </cell>
          <cell r="F214">
            <v>39.055118110236222</v>
          </cell>
          <cell r="G214">
            <v>64.566929133858267</v>
          </cell>
          <cell r="H214">
            <v>1.9685039370078741</v>
          </cell>
          <cell r="I214">
            <v>200010704</v>
          </cell>
          <cell r="J214">
            <v>200010804</v>
          </cell>
          <cell r="K214">
            <v>200013804</v>
          </cell>
          <cell r="L214">
            <v>200016304</v>
          </cell>
          <cell r="M214">
            <v>500012568</v>
          </cell>
          <cell r="N214">
            <v>500012668</v>
          </cell>
          <cell r="O214">
            <v>500012569</v>
          </cell>
          <cell r="P214">
            <v>500012669</v>
          </cell>
          <cell r="Q214">
            <v>11.698754267040043</v>
          </cell>
          <cell r="R214">
            <v>10.455004839041191</v>
          </cell>
          <cell r="S214">
            <v>4.9330437584696041</v>
          </cell>
          <cell r="T214">
            <v>4.9330437584696041</v>
          </cell>
          <cell r="U214">
            <v>11.698754267040043</v>
          </cell>
          <cell r="V214">
            <v>10.455004839041191</v>
          </cell>
          <cell r="W214">
            <v>45</v>
          </cell>
          <cell r="X214">
            <v>35.2992125984252</v>
          </cell>
          <cell r="Y214">
            <v>66.038385826771659</v>
          </cell>
          <cell r="Z214">
            <v>35.2992125984252</v>
          </cell>
          <cell r="AA214">
            <v>66.038385826771659</v>
          </cell>
          <cell r="AB214">
            <v>35.2992125984252</v>
          </cell>
          <cell r="AC214">
            <v>66.038385826771659</v>
          </cell>
          <cell r="AD214">
            <v>66.038385826771659</v>
          </cell>
          <cell r="AE214">
            <v>65.066929133858267</v>
          </cell>
          <cell r="AF214">
            <v>23.066929133858274</v>
          </cell>
          <cell r="AG214">
            <v>39.925196850393704</v>
          </cell>
          <cell r="AH214" t="str">
            <v>Y</v>
          </cell>
          <cell r="AI214">
            <v>41.895000000000003</v>
          </cell>
          <cell r="AJ214">
            <v>19</v>
          </cell>
          <cell r="AK214" t="str">
            <v>TBD</v>
          </cell>
          <cell r="AL214" t="str">
            <v>Y</v>
          </cell>
          <cell r="AM214">
            <v>200018403</v>
          </cell>
          <cell r="AN214">
            <v>200028403</v>
          </cell>
          <cell r="AO214">
            <v>200018303</v>
          </cell>
          <cell r="AP214">
            <v>200028303</v>
          </cell>
          <cell r="AQ214">
            <v>200018203</v>
          </cell>
          <cell r="AR214">
            <v>200028203</v>
          </cell>
          <cell r="AS214">
            <v>14.555555555555557</v>
          </cell>
          <cell r="AT214">
            <v>20.069602586497279</v>
          </cell>
          <cell r="AU214">
            <v>14.97260437224279</v>
          </cell>
          <cell r="AV214">
            <v>10.224017732239455</v>
          </cell>
          <cell r="AW214">
            <v>40966</v>
          </cell>
        </row>
        <row r="215">
          <cell r="C215" t="str">
            <v>Upsolar - UP-M 250-290 P_S</v>
          </cell>
          <cell r="D215" t="str">
            <v>Standard Claw</v>
          </cell>
          <cell r="E215">
            <v>5000005</v>
          </cell>
          <cell r="F215">
            <v>39.055118110236222</v>
          </cell>
          <cell r="G215">
            <v>77.00787401574803</v>
          </cell>
          <cell r="H215">
            <v>1.9685039370078741</v>
          </cell>
          <cell r="I215">
            <v>200010707</v>
          </cell>
          <cell r="J215">
            <v>200010807</v>
          </cell>
          <cell r="K215">
            <v>200013807</v>
          </cell>
          <cell r="L215">
            <v>200016307</v>
          </cell>
          <cell r="M215">
            <v>500012581</v>
          </cell>
          <cell r="N215">
            <v>500012681</v>
          </cell>
          <cell r="O215">
            <v>500012581</v>
          </cell>
          <cell r="P215">
            <v>500012681</v>
          </cell>
          <cell r="Q215">
            <v>11.698754267040043</v>
          </cell>
          <cell r="R215">
            <v>10.455004839041191</v>
          </cell>
          <cell r="S215">
            <v>4.9330437584696041</v>
          </cell>
          <cell r="T215">
            <v>4.9330437584696041</v>
          </cell>
          <cell r="U215">
            <v>11.698754267040043</v>
          </cell>
          <cell r="V215">
            <v>10.455004839041191</v>
          </cell>
          <cell r="W215">
            <v>45</v>
          </cell>
          <cell r="X215">
            <v>35.2992125984252</v>
          </cell>
          <cell r="Y215">
            <v>78.479330708661422</v>
          </cell>
          <cell r="Z215">
            <v>35.2992125984252</v>
          </cell>
          <cell r="AA215">
            <v>78.479330708661422</v>
          </cell>
          <cell r="AB215">
            <v>35.2992125984252</v>
          </cell>
          <cell r="AC215">
            <v>78.479330708661422</v>
          </cell>
          <cell r="AD215">
            <v>78.479330708661422</v>
          </cell>
          <cell r="AE215">
            <v>77.507874015748044</v>
          </cell>
          <cell r="AF215">
            <v>35.507874015748037</v>
          </cell>
          <cell r="AG215">
            <v>39.925196850393704</v>
          </cell>
          <cell r="AH215" t="str">
            <v>N</v>
          </cell>
          <cell r="AI215">
            <v>59.535000000000004</v>
          </cell>
          <cell r="AJ215">
            <v>27</v>
          </cell>
          <cell r="AK215" t="str">
            <v>TBD</v>
          </cell>
          <cell r="AL215" t="str">
            <v>Y</v>
          </cell>
          <cell r="AM215">
            <v>200018407</v>
          </cell>
          <cell r="AN215">
            <v>200028407</v>
          </cell>
          <cell r="AO215">
            <v>200018307</v>
          </cell>
          <cell r="AP215">
            <v>200028307</v>
          </cell>
          <cell r="AQ215">
            <v>200018207</v>
          </cell>
          <cell r="AR215">
            <v>200028207</v>
          </cell>
          <cell r="AS215">
            <v>17.222222222222221</v>
          </cell>
          <cell r="AT215">
            <v>20.069602586497279</v>
          </cell>
          <cell r="AU215">
            <v>14.97260437224279</v>
          </cell>
          <cell r="AV215">
            <v>10.224017732239455</v>
          </cell>
          <cell r="AW215">
            <v>40617</v>
          </cell>
        </row>
        <row r="216">
          <cell r="C216" t="str">
            <v>Wanxiang - WXS 210-230 S_S</v>
          </cell>
          <cell r="D216" t="str">
            <v>Standard Claw</v>
          </cell>
          <cell r="E216">
            <v>5000005</v>
          </cell>
          <cell r="F216">
            <v>37.086614173228348</v>
          </cell>
          <cell r="G216">
            <v>67.086614173228355</v>
          </cell>
          <cell r="H216">
            <v>1.5748031496062993</v>
          </cell>
          <cell r="I216">
            <v>200010705</v>
          </cell>
          <cell r="J216">
            <v>200010805</v>
          </cell>
          <cell r="K216">
            <v>200013805</v>
          </cell>
          <cell r="L216">
            <v>200016305</v>
          </cell>
          <cell r="M216">
            <v>500012571</v>
          </cell>
          <cell r="N216">
            <v>500012671</v>
          </cell>
          <cell r="O216">
            <v>500012571</v>
          </cell>
          <cell r="P216">
            <v>500012671</v>
          </cell>
          <cell r="Q216">
            <v>12.400351460715436</v>
          </cell>
          <cell r="R216">
            <v>11.080062331247364</v>
          </cell>
          <cell r="S216">
            <v>5.2251757635522598</v>
          </cell>
          <cell r="T216">
            <v>5.2251757635522598</v>
          </cell>
          <cell r="U216">
            <v>12.400351460715436</v>
          </cell>
          <cell r="V216">
            <v>11.080062331247364</v>
          </cell>
          <cell r="W216">
            <v>30</v>
          </cell>
          <cell r="X216">
            <v>33.330708661417326</v>
          </cell>
          <cell r="Y216">
            <v>68.558070866141733</v>
          </cell>
          <cell r="Z216">
            <v>33.330708661417326</v>
          </cell>
          <cell r="AA216">
            <v>68.558070866141733</v>
          </cell>
          <cell r="AB216">
            <v>33.330708661417326</v>
          </cell>
          <cell r="AC216">
            <v>68.558070866141733</v>
          </cell>
          <cell r="AD216">
            <v>68.558070866141733</v>
          </cell>
          <cell r="AE216">
            <v>67.586614173228355</v>
          </cell>
          <cell r="AF216">
            <v>25.586614173228352</v>
          </cell>
          <cell r="AG216">
            <v>37.95669291338583</v>
          </cell>
          <cell r="AH216" t="str">
            <v>N</v>
          </cell>
          <cell r="AI216">
            <v>41.895000000000003</v>
          </cell>
          <cell r="AJ216">
            <v>19</v>
          </cell>
          <cell r="AK216" t="str">
            <v>TBD</v>
          </cell>
          <cell r="AL216" t="str">
            <v>Y</v>
          </cell>
          <cell r="AM216">
            <v>200018404</v>
          </cell>
          <cell r="AN216">
            <v>200028404</v>
          </cell>
          <cell r="AO216">
            <v>200018304</v>
          </cell>
          <cell r="AP216">
            <v>200028304</v>
          </cell>
          <cell r="AQ216">
            <v>200018204</v>
          </cell>
          <cell r="AR216">
            <v>200028204</v>
          </cell>
          <cell r="AS216">
            <v>15.222222222222221</v>
          </cell>
          <cell r="AT216">
            <v>21.159066732085972</v>
          </cell>
          <cell r="AU216">
            <v>15.768788331878591</v>
          </cell>
          <cell r="AV216">
            <v>10.760415311354333</v>
          </cell>
          <cell r="AW216">
            <v>40995</v>
          </cell>
        </row>
        <row r="217">
          <cell r="C217" t="str">
            <v>Wanxiang - WXS 240 S_S</v>
          </cell>
          <cell r="D217" t="str">
            <v>Standard Claw</v>
          </cell>
          <cell r="E217">
            <v>5000005</v>
          </cell>
          <cell r="F217">
            <v>37.086614173228348</v>
          </cell>
          <cell r="G217">
            <v>72.440944881889763</v>
          </cell>
          <cell r="H217">
            <v>1.5748031496062993</v>
          </cell>
          <cell r="I217">
            <v>200010706</v>
          </cell>
          <cell r="J217">
            <v>200010806</v>
          </cell>
          <cell r="K217">
            <v>200013806</v>
          </cell>
          <cell r="L217">
            <v>200016306</v>
          </cell>
          <cell r="M217">
            <v>500012576</v>
          </cell>
          <cell r="N217">
            <v>500012676</v>
          </cell>
          <cell r="O217">
            <v>500012576</v>
          </cell>
          <cell r="P217">
            <v>500012676</v>
          </cell>
          <cell r="Q217">
            <v>12.400351460715436</v>
          </cell>
          <cell r="R217">
            <v>11.080062331247364</v>
          </cell>
          <cell r="S217">
            <v>5.2251757635522598</v>
          </cell>
          <cell r="T217">
            <v>5.2251757635522598</v>
          </cell>
          <cell r="U217">
            <v>12.400351460715436</v>
          </cell>
          <cell r="V217">
            <v>11.080062331247364</v>
          </cell>
          <cell r="W217">
            <v>30</v>
          </cell>
          <cell r="X217">
            <v>33.330708661417326</v>
          </cell>
          <cell r="Y217">
            <v>73.912401574803155</v>
          </cell>
          <cell r="Z217">
            <v>33.330708661417326</v>
          </cell>
          <cell r="AA217">
            <v>73.912401574803155</v>
          </cell>
          <cell r="AB217">
            <v>33.330708661417326</v>
          </cell>
          <cell r="AC217">
            <v>73.912401574803155</v>
          </cell>
          <cell r="AD217">
            <v>73.912401574803155</v>
          </cell>
          <cell r="AE217">
            <v>72.940944881889763</v>
          </cell>
          <cell r="AF217">
            <v>30.94094488188977</v>
          </cell>
          <cell r="AG217">
            <v>37.95669291338583</v>
          </cell>
          <cell r="AH217" t="str">
            <v>N</v>
          </cell>
          <cell r="AI217">
            <v>41.895000000000003</v>
          </cell>
          <cell r="AJ217">
            <v>19</v>
          </cell>
          <cell r="AK217" t="str">
            <v>TBD</v>
          </cell>
          <cell r="AL217" t="str">
            <v>Y</v>
          </cell>
          <cell r="AM217">
            <v>200018405</v>
          </cell>
          <cell r="AN217">
            <v>200028405</v>
          </cell>
          <cell r="AO217">
            <v>200018305</v>
          </cell>
          <cell r="AP217">
            <v>200028305</v>
          </cell>
          <cell r="AQ217">
            <v>200018205</v>
          </cell>
          <cell r="AR217">
            <v>200028205</v>
          </cell>
          <cell r="AS217">
            <v>15.888888888888888</v>
          </cell>
          <cell r="AT217">
            <v>21.159066732085972</v>
          </cell>
          <cell r="AU217">
            <v>15.768788331878591</v>
          </cell>
          <cell r="AV217">
            <v>10.760415311354333</v>
          </cell>
          <cell r="AW217">
            <v>40995</v>
          </cell>
        </row>
        <row r="218">
          <cell r="C218" t="str">
            <v>Wanxiang - WXS 200-240 P_S</v>
          </cell>
          <cell r="D218" t="str">
            <v>Standard Claw</v>
          </cell>
          <cell r="E218">
            <v>5000005</v>
          </cell>
          <cell r="F218">
            <v>39.055118110236222</v>
          </cell>
          <cell r="G218">
            <v>64.566929133858267</v>
          </cell>
          <cell r="H218">
            <v>1.5748031496062993</v>
          </cell>
          <cell r="I218">
            <v>200010704</v>
          </cell>
          <cell r="J218">
            <v>200010804</v>
          </cell>
          <cell r="K218">
            <v>200013804</v>
          </cell>
          <cell r="L218">
            <v>200016304</v>
          </cell>
          <cell r="M218">
            <v>500012568</v>
          </cell>
          <cell r="N218">
            <v>500012668</v>
          </cell>
          <cell r="O218">
            <v>500012569</v>
          </cell>
          <cell r="P218">
            <v>500012669</v>
          </cell>
          <cell r="Q218">
            <v>11.698754267040043</v>
          </cell>
          <cell r="R218">
            <v>10.455004839041191</v>
          </cell>
          <cell r="S218">
            <v>4.9330437584696041</v>
          </cell>
          <cell r="T218">
            <v>4.9330437584696041</v>
          </cell>
          <cell r="U218">
            <v>11.698754267040043</v>
          </cell>
          <cell r="V218">
            <v>10.455004839041191</v>
          </cell>
          <cell r="W218">
            <v>30</v>
          </cell>
          <cell r="X218">
            <v>35.2992125984252</v>
          </cell>
          <cell r="Y218">
            <v>66.038385826771659</v>
          </cell>
          <cell r="Z218">
            <v>35.2992125984252</v>
          </cell>
          <cell r="AA218">
            <v>66.038385826771659</v>
          </cell>
          <cell r="AB218">
            <v>35.2992125984252</v>
          </cell>
          <cell r="AC218">
            <v>66.038385826771659</v>
          </cell>
          <cell r="AD218">
            <v>66.038385826771659</v>
          </cell>
          <cell r="AE218">
            <v>65.066929133858267</v>
          </cell>
          <cell r="AF218">
            <v>23.066929133858274</v>
          </cell>
          <cell r="AG218">
            <v>39.925196850393704</v>
          </cell>
          <cell r="AH218" t="str">
            <v>N</v>
          </cell>
          <cell r="AI218">
            <v>41.895000000000003</v>
          </cell>
          <cell r="AJ218">
            <v>19</v>
          </cell>
          <cell r="AK218" t="str">
            <v>TBD</v>
          </cell>
          <cell r="AL218" t="str">
            <v>Y</v>
          </cell>
          <cell r="AM218">
            <v>200018403</v>
          </cell>
          <cell r="AN218">
            <v>200028403</v>
          </cell>
          <cell r="AO218">
            <v>200018303</v>
          </cell>
          <cell r="AP218">
            <v>200028303</v>
          </cell>
          <cell r="AQ218">
            <v>200018203</v>
          </cell>
          <cell r="AR218">
            <v>200028203</v>
          </cell>
          <cell r="AS218">
            <v>14.555555555555557</v>
          </cell>
          <cell r="AT218">
            <v>20.069602586497279</v>
          </cell>
          <cell r="AU218">
            <v>14.97260437224279</v>
          </cell>
          <cell r="AV218">
            <v>10.224017732239455</v>
          </cell>
          <cell r="AW218">
            <v>40995</v>
          </cell>
        </row>
        <row r="219">
          <cell r="C219" t="str">
            <v>Wanxiang - WXS 245-290 P_S</v>
          </cell>
          <cell r="D219" t="str">
            <v>Standard Claw</v>
          </cell>
          <cell r="E219">
            <v>5000005</v>
          </cell>
          <cell r="F219">
            <v>39.055118110236222</v>
          </cell>
          <cell r="G219">
            <v>77.00787401574803</v>
          </cell>
          <cell r="H219">
            <v>1.9685039370078741</v>
          </cell>
          <cell r="I219">
            <v>200010707</v>
          </cell>
          <cell r="J219">
            <v>200010807</v>
          </cell>
          <cell r="K219">
            <v>200013807</v>
          </cell>
          <cell r="L219">
            <v>200016307</v>
          </cell>
          <cell r="M219">
            <v>500012581</v>
          </cell>
          <cell r="N219">
            <v>500012681</v>
          </cell>
          <cell r="O219">
            <v>500012581</v>
          </cell>
          <cell r="P219">
            <v>500012681</v>
          </cell>
          <cell r="Q219">
            <v>11.698754267040043</v>
          </cell>
          <cell r="R219">
            <v>10.455004839041191</v>
          </cell>
          <cell r="S219">
            <v>4.9330437584696041</v>
          </cell>
          <cell r="T219">
            <v>4.9330437584696041</v>
          </cell>
          <cell r="U219">
            <v>11.698754267040043</v>
          </cell>
          <cell r="V219">
            <v>10.455004839041191</v>
          </cell>
          <cell r="W219">
            <v>30</v>
          </cell>
          <cell r="X219">
            <v>35.2992125984252</v>
          </cell>
          <cell r="Y219">
            <v>78.479330708661422</v>
          </cell>
          <cell r="Z219">
            <v>35.2992125984252</v>
          </cell>
          <cell r="AA219">
            <v>78.479330708661422</v>
          </cell>
          <cell r="AB219">
            <v>35.2992125984252</v>
          </cell>
          <cell r="AC219">
            <v>78.479330708661422</v>
          </cell>
          <cell r="AD219">
            <v>78.479330708661422</v>
          </cell>
          <cell r="AE219">
            <v>77.507874015748044</v>
          </cell>
          <cell r="AF219">
            <v>35.507874015748037</v>
          </cell>
          <cell r="AG219">
            <v>39.925196850393704</v>
          </cell>
          <cell r="AH219" t="str">
            <v>N</v>
          </cell>
          <cell r="AI219">
            <v>50.715000000000003</v>
          </cell>
          <cell r="AJ219">
            <v>23</v>
          </cell>
          <cell r="AK219" t="str">
            <v>TBD</v>
          </cell>
          <cell r="AL219" t="str">
            <v>Y</v>
          </cell>
          <cell r="AM219">
            <v>200018407</v>
          </cell>
          <cell r="AN219">
            <v>200028407</v>
          </cell>
          <cell r="AO219">
            <v>200018307</v>
          </cell>
          <cell r="AP219">
            <v>200028307</v>
          </cell>
          <cell r="AQ219">
            <v>200018207</v>
          </cell>
          <cell r="AR219">
            <v>200028207</v>
          </cell>
          <cell r="AS219">
            <v>17.222222222222221</v>
          </cell>
          <cell r="AT219">
            <v>20.069602586497279</v>
          </cell>
          <cell r="AU219">
            <v>14.97260437224279</v>
          </cell>
          <cell r="AV219">
            <v>10.224017732239455</v>
          </cell>
          <cell r="AW219">
            <v>40995</v>
          </cell>
        </row>
        <row r="220">
          <cell r="C220" t="str">
            <v>Winaico - WSP 230-270 M-P 6_S</v>
          </cell>
          <cell r="D220" t="str">
            <v>Standard Claw</v>
          </cell>
          <cell r="E220">
            <v>5000005</v>
          </cell>
          <cell r="F220">
            <v>39.330708661417326</v>
          </cell>
          <cell r="G220">
            <v>65.551181102362207</v>
          </cell>
          <cell r="H220">
            <v>1.5748031496062993</v>
          </cell>
          <cell r="I220">
            <v>200010704</v>
          </cell>
          <cell r="J220">
            <v>200010804</v>
          </cell>
          <cell r="K220">
            <v>200013804</v>
          </cell>
          <cell r="L220">
            <v>200016304</v>
          </cell>
          <cell r="M220">
            <v>500012568</v>
          </cell>
          <cell r="N220">
            <v>500012668</v>
          </cell>
          <cell r="O220">
            <v>500012569</v>
          </cell>
          <cell r="P220">
            <v>500012669</v>
          </cell>
          <cell r="Q220">
            <v>12.011288073719886</v>
          </cell>
          <cell r="R220">
            <v>10.733484815459773</v>
          </cell>
          <cell r="S220">
            <v>5.0632548942141336</v>
          </cell>
          <cell r="T220">
            <v>5.0632548942141336</v>
          </cell>
          <cell r="U220">
            <v>12.011288073719886</v>
          </cell>
          <cell r="V220">
            <v>10.733484815459773</v>
          </cell>
          <cell r="W220">
            <v>30</v>
          </cell>
          <cell r="X220">
            <v>34.393700787401578</v>
          </cell>
          <cell r="Y220">
            <v>65.841535433070874</v>
          </cell>
          <cell r="Z220">
            <v>34.393700787401578</v>
          </cell>
          <cell r="AA220">
            <v>65.841535433070874</v>
          </cell>
          <cell r="AB220">
            <v>34.393700787401578</v>
          </cell>
          <cell r="AC220">
            <v>65.841535433070874</v>
          </cell>
          <cell r="AD220">
            <v>65.841535433070874</v>
          </cell>
          <cell r="AE220">
            <v>66.051181102362207</v>
          </cell>
          <cell r="AF220">
            <v>24.051181102362211</v>
          </cell>
          <cell r="AG220">
            <v>39.019685039370081</v>
          </cell>
          <cell r="AH220" t="str">
            <v>N</v>
          </cell>
          <cell r="AI220">
            <v>50.0535</v>
          </cell>
          <cell r="AJ220">
            <v>22.7</v>
          </cell>
          <cell r="AK220" t="str">
            <v>TBD</v>
          </cell>
          <cell r="AL220" t="str">
            <v>Y</v>
          </cell>
          <cell r="AM220">
            <v>200018403</v>
          </cell>
          <cell r="AN220">
            <v>200028403</v>
          </cell>
          <cell r="AO220">
            <v>200018303</v>
          </cell>
          <cell r="AP220">
            <v>200028303</v>
          </cell>
          <cell r="AQ220">
            <v>200018203</v>
          </cell>
          <cell r="AR220">
            <v>200028203</v>
          </cell>
          <cell r="AS220">
            <v>14.555555555555557</v>
          </cell>
          <cell r="AT220">
            <v>20.55614135357887</v>
          </cell>
          <cell r="AU220">
            <v>15.328496022567471</v>
          </cell>
          <cell r="AV220">
            <v>10.463923880108602</v>
          </cell>
          <cell r="AW220">
            <v>40977</v>
          </cell>
        </row>
        <row r="221">
          <cell r="C221" t="str">
            <v>Yingli - YL 190-210 P-26b_S</v>
          </cell>
          <cell r="D221" t="str">
            <v>Standard Claw</v>
          </cell>
          <cell r="E221">
            <v>5000005</v>
          </cell>
          <cell r="F221">
            <v>38.976377952755911</v>
          </cell>
          <cell r="G221">
            <v>58.858267716535437</v>
          </cell>
          <cell r="H221">
            <v>1.9685039370078741</v>
          </cell>
          <cell r="I221">
            <v>200010703</v>
          </cell>
          <cell r="J221">
            <v>200010803</v>
          </cell>
          <cell r="K221">
            <v>200013803</v>
          </cell>
          <cell r="L221">
            <v>200016303</v>
          </cell>
          <cell r="M221">
            <v>500012563</v>
          </cell>
          <cell r="N221">
            <v>500012663</v>
          </cell>
          <cell r="O221">
            <v>500012563</v>
          </cell>
          <cell r="P221">
            <v>500012663</v>
          </cell>
          <cell r="Q221">
            <v>11.646065132777842</v>
          </cell>
          <cell r="R221">
            <v>10.40805030701417</v>
          </cell>
          <cell r="S221">
            <v>4.911079789514722</v>
          </cell>
          <cell r="T221">
            <v>4.911079789514722</v>
          </cell>
          <cell r="U221">
            <v>11.646065132777842</v>
          </cell>
          <cell r="V221">
            <v>10.40805030701417</v>
          </cell>
          <cell r="W221">
            <v>50</v>
          </cell>
          <cell r="X221">
            <v>35.45669291338583</v>
          </cell>
          <cell r="Y221">
            <v>60.56594488188977</v>
          </cell>
          <cell r="Z221">
            <v>35.45669291338583</v>
          </cell>
          <cell r="AA221">
            <v>60.56594488188977</v>
          </cell>
          <cell r="AB221">
            <v>35.45669291338583</v>
          </cell>
          <cell r="AC221">
            <v>60.56594488188977</v>
          </cell>
          <cell r="AD221">
            <v>60.56594488188977</v>
          </cell>
          <cell r="AE221">
            <v>59.358267716535437</v>
          </cell>
          <cell r="AF221">
            <v>17.358267716535437</v>
          </cell>
          <cell r="AG221">
            <v>40.082677165354333</v>
          </cell>
          <cell r="AH221" t="str">
            <v>Y</v>
          </cell>
          <cell r="AI221">
            <v>39.69</v>
          </cell>
          <cell r="AJ221">
            <v>18</v>
          </cell>
          <cell r="AK221" t="str">
            <v>TBD</v>
          </cell>
          <cell r="AL221" t="str">
            <v>Y</v>
          </cell>
          <cell r="AM221">
            <v>200018401</v>
          </cell>
          <cell r="AN221">
            <v>200028401</v>
          </cell>
          <cell r="AO221">
            <v>200018301</v>
          </cell>
          <cell r="AP221">
            <v>200028301</v>
          </cell>
          <cell r="AQ221">
            <v>200018201</v>
          </cell>
          <cell r="AR221">
            <v>200028201</v>
          </cell>
          <cell r="AS221">
            <v>13.22222222222222</v>
          </cell>
          <cell r="AT221">
            <v>19.987381438876472</v>
          </cell>
          <cell r="AU221">
            <v>14.912410483320945</v>
          </cell>
          <cell r="AV221">
            <v>10.183419458492327</v>
          </cell>
          <cell r="AW221">
            <v>40617</v>
          </cell>
        </row>
        <row r="222">
          <cell r="C222" t="str">
            <v>Yingli - YL 215-235 P-29b_S</v>
          </cell>
          <cell r="D222" t="str">
            <v>Standard Claw</v>
          </cell>
          <cell r="E222">
            <v>5000005</v>
          </cell>
          <cell r="F222">
            <v>38.976377952755911</v>
          </cell>
          <cell r="G222">
            <v>64.960629921259851</v>
          </cell>
          <cell r="H222">
            <v>1.5748031496062993</v>
          </cell>
          <cell r="I222">
            <v>200010704</v>
          </cell>
          <cell r="J222">
            <v>200010804</v>
          </cell>
          <cell r="K222">
            <v>200013804</v>
          </cell>
          <cell r="L222">
            <v>200016304</v>
          </cell>
          <cell r="M222">
            <v>500012569</v>
          </cell>
          <cell r="N222">
            <v>500012669</v>
          </cell>
          <cell r="O222">
            <v>500012569</v>
          </cell>
          <cell r="P222">
            <v>500012669</v>
          </cell>
          <cell r="Q222">
            <v>11.646065132777842</v>
          </cell>
          <cell r="R222">
            <v>10.40805030701417</v>
          </cell>
          <cell r="S222">
            <v>4.911079789514722</v>
          </cell>
          <cell r="T222">
            <v>4.911079789514722</v>
          </cell>
          <cell r="U222">
            <v>11.646065132777842</v>
          </cell>
          <cell r="V222">
            <v>10.40805030701417</v>
          </cell>
          <cell r="W222">
            <v>50</v>
          </cell>
          <cell r="X222">
            <v>35.45669291338583</v>
          </cell>
          <cell r="Y222">
            <v>66.668307086614178</v>
          </cell>
          <cell r="Z222">
            <v>35.45669291338583</v>
          </cell>
          <cell r="AA222">
            <v>66.668307086614178</v>
          </cell>
          <cell r="AB222">
            <v>35.45669291338583</v>
          </cell>
          <cell r="AC222">
            <v>66.668307086614178</v>
          </cell>
          <cell r="AD222">
            <v>66.668307086614178</v>
          </cell>
          <cell r="AE222">
            <v>65.460629921259851</v>
          </cell>
          <cell r="AF222">
            <v>23.460629921259848</v>
          </cell>
          <cell r="AG222">
            <v>40.082677165354333</v>
          </cell>
          <cell r="AH222" t="str">
            <v>Y</v>
          </cell>
          <cell r="AI222">
            <v>42.1</v>
          </cell>
          <cell r="AJ222">
            <v>19.100000000000001</v>
          </cell>
          <cell r="AK222" t="str">
            <v>TBD</v>
          </cell>
          <cell r="AL222" t="str">
            <v>Y</v>
          </cell>
          <cell r="AM222">
            <v>200018403</v>
          </cell>
          <cell r="AN222">
            <v>200028403</v>
          </cell>
          <cell r="AO222">
            <v>200018303</v>
          </cell>
          <cell r="AP222">
            <v>200028303</v>
          </cell>
          <cell r="AQ222">
            <v>200018203</v>
          </cell>
          <cell r="AR222">
            <v>200028203</v>
          </cell>
          <cell r="AS222">
            <v>14.555555555555557</v>
          </cell>
          <cell r="AT222">
            <v>19.987381438876472</v>
          </cell>
          <cell r="AU222">
            <v>14.912410483320945</v>
          </cell>
          <cell r="AV222">
            <v>10.183419458492327</v>
          </cell>
          <cell r="AW222">
            <v>41317</v>
          </cell>
        </row>
        <row r="223">
          <cell r="C223" t="str">
            <v>Yingli - YL 215-235 P-29b_X</v>
          </cell>
          <cell r="D223" t="str">
            <v>Long Claw (Yingli 235/Panda)</v>
          </cell>
          <cell r="E223">
            <v>500003907</v>
          </cell>
          <cell r="F223">
            <v>38.976377952755911</v>
          </cell>
          <cell r="G223">
            <v>64.960629921259851</v>
          </cell>
          <cell r="H223">
            <v>1.5748031496062993</v>
          </cell>
          <cell r="I223">
            <v>200010704</v>
          </cell>
          <cell r="J223">
            <v>200010804</v>
          </cell>
          <cell r="K223">
            <v>200013804</v>
          </cell>
          <cell r="L223">
            <v>200016304</v>
          </cell>
          <cell r="M223">
            <v>500012568</v>
          </cell>
          <cell r="N223">
            <v>500012668</v>
          </cell>
          <cell r="O223">
            <v>500012568</v>
          </cell>
          <cell r="P223">
            <v>500012668</v>
          </cell>
          <cell r="Q223">
            <v>10.948638384786955</v>
          </cell>
          <cell r="R223">
            <v>9.7863612556795889</v>
          </cell>
          <cell r="S223">
            <v>4.620032713407368</v>
          </cell>
          <cell r="T223">
            <v>4.620032713407368</v>
          </cell>
          <cell r="U223">
            <v>10.948638384786955</v>
          </cell>
          <cell r="V223">
            <v>9.7863612556795889</v>
          </cell>
          <cell r="W223">
            <v>75</v>
          </cell>
          <cell r="X223">
            <v>37.685039370078741</v>
          </cell>
          <cell r="Y223">
            <v>65.71555118110237</v>
          </cell>
          <cell r="Z223">
            <v>37.685039370078741</v>
          </cell>
          <cell r="AA223">
            <v>65.71555118110237</v>
          </cell>
          <cell r="AB223">
            <v>37.685039370078741</v>
          </cell>
          <cell r="AC223">
            <v>65.71555118110237</v>
          </cell>
          <cell r="AD223">
            <v>65.71555118110237</v>
          </cell>
          <cell r="AE223">
            <v>65.460629921259851</v>
          </cell>
          <cell r="AF223">
            <v>23.460629921259848</v>
          </cell>
          <cell r="AG223">
            <v>40.082677165354333</v>
          </cell>
          <cell r="AH223" t="str">
            <v>Y</v>
          </cell>
          <cell r="AI223">
            <v>42.1</v>
          </cell>
          <cell r="AJ223">
            <v>19.100000000000001</v>
          </cell>
          <cell r="AK223" t="str">
            <v>TBD</v>
          </cell>
          <cell r="AL223" t="str">
            <v>Y</v>
          </cell>
          <cell r="AM223">
            <v>200018403</v>
          </cell>
          <cell r="AN223">
            <v>200028403</v>
          </cell>
          <cell r="AO223">
            <v>200018303</v>
          </cell>
          <cell r="AP223">
            <v>200028303</v>
          </cell>
          <cell r="AQ223">
            <v>200018203</v>
          </cell>
          <cell r="AR223">
            <v>200028203</v>
          </cell>
          <cell r="AS223">
            <v>14.555555555555557</v>
          </cell>
          <cell r="AT223">
            <v>19.987381438876472</v>
          </cell>
          <cell r="AU223">
            <v>14.912410483320945</v>
          </cell>
          <cell r="AV223">
            <v>10.183419458492327</v>
          </cell>
          <cell r="AW223">
            <v>41317</v>
          </cell>
        </row>
        <row r="224">
          <cell r="C224" t="str">
            <v>Yingli - YL 215-235 P-29b_L</v>
          </cell>
          <cell r="D224" t="str">
            <v>2nd Gen Long Claw (Yingli 235/Panda)</v>
          </cell>
          <cell r="E224">
            <v>500014407</v>
          </cell>
          <cell r="F224">
            <v>38.976377952755911</v>
          </cell>
          <cell r="G224">
            <v>64.960629921259851</v>
          </cell>
          <cell r="H224">
            <v>1.5748031496062993</v>
          </cell>
          <cell r="I224">
            <v>200010704</v>
          </cell>
          <cell r="J224">
            <v>200010804</v>
          </cell>
          <cell r="K224">
            <v>200013804</v>
          </cell>
          <cell r="L224">
            <v>200016304</v>
          </cell>
          <cell r="M224">
            <v>500012568</v>
          </cell>
          <cell r="N224">
            <v>500012668</v>
          </cell>
          <cell r="O224">
            <v>500012568</v>
          </cell>
          <cell r="P224">
            <v>500012668</v>
          </cell>
          <cell r="Q224">
            <v>10.468270436440157</v>
          </cell>
          <cell r="R224">
            <v>9.3579834665923265</v>
          </cell>
          <cell r="S224">
            <v>4.4192361087067082</v>
          </cell>
          <cell r="T224">
            <v>4.4192361087067082</v>
          </cell>
          <cell r="U224">
            <v>10.468270436440157</v>
          </cell>
          <cell r="V224">
            <v>9.3579834665923265</v>
          </cell>
          <cell r="W224">
            <v>75</v>
          </cell>
          <cell r="X224">
            <v>39.393700787401578</v>
          </cell>
          <cell r="Y224">
            <v>65.71555118110237</v>
          </cell>
          <cell r="Z224">
            <v>39.393700787401578</v>
          </cell>
          <cell r="AA224">
            <v>65.71555118110237</v>
          </cell>
          <cell r="AB224">
            <v>39.393700787401578</v>
          </cell>
          <cell r="AC224">
            <v>65.71555118110237</v>
          </cell>
          <cell r="AD224">
            <v>65.71555118110237</v>
          </cell>
          <cell r="AE224">
            <v>65.460629921259851</v>
          </cell>
          <cell r="AF224">
            <v>23.460629921259848</v>
          </cell>
          <cell r="AG224">
            <v>40.082677165354333</v>
          </cell>
          <cell r="AH224" t="str">
            <v>Y</v>
          </cell>
          <cell r="AI224">
            <v>42.1</v>
          </cell>
          <cell r="AJ224">
            <v>19.100000000000001</v>
          </cell>
          <cell r="AK224" t="str">
            <v>TBD</v>
          </cell>
          <cell r="AL224" t="str">
            <v>Y</v>
          </cell>
          <cell r="AM224">
            <v>200018403</v>
          </cell>
          <cell r="AN224">
            <v>200028403</v>
          </cell>
          <cell r="AO224">
            <v>200018303</v>
          </cell>
          <cell r="AP224">
            <v>200028303</v>
          </cell>
          <cell r="AQ224">
            <v>200018203</v>
          </cell>
          <cell r="AR224">
            <v>200028203</v>
          </cell>
          <cell r="AS224">
            <v>14.555555555555557</v>
          </cell>
          <cell r="AT224">
            <v>19.987381438876472</v>
          </cell>
          <cell r="AU224">
            <v>14.912410483320945</v>
          </cell>
          <cell r="AV224">
            <v>10.183419458492327</v>
          </cell>
          <cell r="AW224">
            <v>41317</v>
          </cell>
        </row>
        <row r="225">
          <cell r="C225" t="str">
            <v>Yingli - YL 235-255 P-32b_S</v>
          </cell>
          <cell r="D225" t="str">
            <v>Standard Claw</v>
          </cell>
          <cell r="E225">
            <v>5000005</v>
          </cell>
          <cell r="F225">
            <v>38.976377952755911</v>
          </cell>
          <cell r="G225">
            <v>71.259842519685037</v>
          </cell>
          <cell r="H225">
            <v>1.9685039370078741</v>
          </cell>
          <cell r="I225">
            <v>200010706</v>
          </cell>
          <cell r="J225">
            <v>200010806</v>
          </cell>
          <cell r="K225">
            <v>200013806</v>
          </cell>
          <cell r="L225">
            <v>200016306</v>
          </cell>
          <cell r="M225">
            <v>500012575</v>
          </cell>
          <cell r="N225">
            <v>500012675</v>
          </cell>
          <cell r="O225">
            <v>500012576</v>
          </cell>
          <cell r="P225">
            <v>500012676</v>
          </cell>
          <cell r="Q225">
            <v>11.646065132777842</v>
          </cell>
          <cell r="R225">
            <v>10.40805030701417</v>
          </cell>
          <cell r="S225">
            <v>4.911079789514722</v>
          </cell>
          <cell r="T225">
            <v>4.911079789514722</v>
          </cell>
          <cell r="U225">
            <v>11.646065132777842</v>
          </cell>
          <cell r="V225">
            <v>10.40805030701417</v>
          </cell>
          <cell r="W225">
            <v>50</v>
          </cell>
          <cell r="X225">
            <v>35.45669291338583</v>
          </cell>
          <cell r="Y225">
            <v>72.967519685039377</v>
          </cell>
          <cell r="Z225">
            <v>35.45669291338583</v>
          </cell>
          <cell r="AA225">
            <v>72.967519685039377</v>
          </cell>
          <cell r="AB225">
            <v>35.45669291338583</v>
          </cell>
          <cell r="AC225">
            <v>72.967519685039377</v>
          </cell>
          <cell r="AD225">
            <v>72.967519685039377</v>
          </cell>
          <cell r="AE225">
            <v>71.759842519685051</v>
          </cell>
          <cell r="AF225">
            <v>29.759842519685044</v>
          </cell>
          <cell r="AG225">
            <v>40.082677165354333</v>
          </cell>
          <cell r="AH225" t="str">
            <v>Y</v>
          </cell>
          <cell r="AI225">
            <v>49.612500000000004</v>
          </cell>
          <cell r="AJ225">
            <v>22.5</v>
          </cell>
          <cell r="AK225" t="str">
            <v>TBD</v>
          </cell>
          <cell r="AL225" t="str">
            <v>Y</v>
          </cell>
          <cell r="AM225">
            <v>200018405</v>
          </cell>
          <cell r="AN225">
            <v>200028405</v>
          </cell>
          <cell r="AO225">
            <v>200018305</v>
          </cell>
          <cell r="AP225">
            <v>200028305</v>
          </cell>
          <cell r="AQ225">
            <v>200018205</v>
          </cell>
          <cell r="AR225">
            <v>200028205</v>
          </cell>
          <cell r="AS225">
            <v>15.888888888888888</v>
          </cell>
          <cell r="AT225">
            <v>19.987381438876472</v>
          </cell>
          <cell r="AU225">
            <v>14.912410483320945</v>
          </cell>
          <cell r="AV225">
            <v>10.183419458492327</v>
          </cell>
          <cell r="AW225">
            <v>40617</v>
          </cell>
        </row>
        <row r="226">
          <cell r="C226" t="str">
            <v>Yingli - YL 260-280 P-35b _S</v>
          </cell>
          <cell r="D226" t="str">
            <v>Standard Claw</v>
          </cell>
          <cell r="E226">
            <v>5000005</v>
          </cell>
          <cell r="F226">
            <v>38.976377952755911</v>
          </cell>
          <cell r="G226">
            <v>77.559055118110237</v>
          </cell>
          <cell r="H226">
            <v>1.9685039370078741</v>
          </cell>
          <cell r="I226">
            <v>200010708</v>
          </cell>
          <cell r="J226">
            <v>200010808</v>
          </cell>
          <cell r="K226">
            <v>200013808</v>
          </cell>
          <cell r="L226">
            <v>200016308</v>
          </cell>
          <cell r="M226">
            <v>500012581</v>
          </cell>
          <cell r="N226">
            <v>500012681</v>
          </cell>
          <cell r="O226">
            <v>500012582</v>
          </cell>
          <cell r="P226">
            <v>500012682</v>
          </cell>
          <cell r="Q226">
            <v>11.646065132777842</v>
          </cell>
          <cell r="R226">
            <v>10.40805030701417</v>
          </cell>
          <cell r="S226">
            <v>4.911079789514722</v>
          </cell>
          <cell r="T226">
            <v>4.911079789514722</v>
          </cell>
          <cell r="U226">
            <v>11.646065132777842</v>
          </cell>
          <cell r="V226">
            <v>10.40805030701417</v>
          </cell>
          <cell r="W226">
            <v>50</v>
          </cell>
          <cell r="X226">
            <v>35.45669291338583</v>
          </cell>
          <cell r="Y226">
            <v>79.266732283464577</v>
          </cell>
          <cell r="Z226">
            <v>35.45669291338583</v>
          </cell>
          <cell r="AA226">
            <v>79.266732283464577</v>
          </cell>
          <cell r="AB226">
            <v>35.45669291338583</v>
          </cell>
          <cell r="AC226">
            <v>79.266732283464577</v>
          </cell>
          <cell r="AD226">
            <v>79.266732283464577</v>
          </cell>
          <cell r="AE226">
            <v>78.059055118110237</v>
          </cell>
          <cell r="AF226">
            <v>36.059055118110244</v>
          </cell>
          <cell r="AG226">
            <v>40.082677165354333</v>
          </cell>
          <cell r="AH226" t="str">
            <v>Y</v>
          </cell>
          <cell r="AI226">
            <v>59.094000000000001</v>
          </cell>
          <cell r="AJ226">
            <v>26.8</v>
          </cell>
          <cell r="AK226" t="str">
            <v>TBD</v>
          </cell>
          <cell r="AL226" t="str">
            <v>Y</v>
          </cell>
          <cell r="AM226">
            <v>200018407</v>
          </cell>
          <cell r="AN226">
            <v>200028407</v>
          </cell>
          <cell r="AO226">
            <v>200018307</v>
          </cell>
          <cell r="AP226">
            <v>200028307</v>
          </cell>
          <cell r="AQ226">
            <v>200018207</v>
          </cell>
          <cell r="AR226">
            <v>200028207</v>
          </cell>
          <cell r="AS226">
            <v>17.222222222222221</v>
          </cell>
          <cell r="AT226">
            <v>19.987381438876472</v>
          </cell>
          <cell r="AU226">
            <v>14.912410483320945</v>
          </cell>
          <cell r="AV226">
            <v>10.183419458492327</v>
          </cell>
          <cell r="AW226">
            <v>41277</v>
          </cell>
        </row>
        <row r="227">
          <cell r="C227" t="str">
            <v>Yingli - YL 165-185 P-23b_S</v>
          </cell>
          <cell r="D227" t="str">
            <v>Standard Claw</v>
          </cell>
          <cell r="E227">
            <v>5000005</v>
          </cell>
          <cell r="F227">
            <v>38.976377952755911</v>
          </cell>
          <cell r="G227">
            <v>51.574803149606304</v>
          </cell>
          <cell r="H227">
            <v>1.9685039370078741</v>
          </cell>
          <cell r="I227">
            <v>200010701</v>
          </cell>
          <cell r="J227">
            <v>200010801</v>
          </cell>
          <cell r="K227">
            <v>200013801</v>
          </cell>
          <cell r="L227">
            <v>200016301</v>
          </cell>
          <cell r="M227">
            <v>500012556</v>
          </cell>
          <cell r="N227">
            <v>500012656</v>
          </cell>
          <cell r="O227">
            <v>500012556</v>
          </cell>
          <cell r="P227">
            <v>500012656</v>
          </cell>
          <cell r="Q227">
            <v>11.646065132777842</v>
          </cell>
          <cell r="R227">
            <v>10.40805030701417</v>
          </cell>
          <cell r="S227">
            <v>4.911079789514722</v>
          </cell>
          <cell r="T227">
            <v>4.911079789514722</v>
          </cell>
          <cell r="U227">
            <v>11.646065132777842</v>
          </cell>
          <cell r="V227">
            <v>10.40805030701417</v>
          </cell>
          <cell r="W227">
            <v>50</v>
          </cell>
          <cell r="X227">
            <v>35.45669291338583</v>
          </cell>
          <cell r="Y227">
            <v>53.28248031496063</v>
          </cell>
          <cell r="Z227">
            <v>35.45669291338583</v>
          </cell>
          <cell r="AA227">
            <v>53.28248031496063</v>
          </cell>
          <cell r="AB227">
            <v>35.45669291338583</v>
          </cell>
          <cell r="AC227">
            <v>53.28248031496063</v>
          </cell>
          <cell r="AD227">
            <v>53.28248031496063</v>
          </cell>
          <cell r="AE227" t="str">
            <v>NA</v>
          </cell>
          <cell r="AF227" t="str">
            <v>NA</v>
          </cell>
          <cell r="AG227" t="str">
            <v>NA</v>
          </cell>
          <cell r="AH227" t="str">
            <v>Y</v>
          </cell>
          <cell r="AI227">
            <v>34.839000000000006</v>
          </cell>
          <cell r="AJ227">
            <v>15.8</v>
          </cell>
          <cell r="AK227" t="str">
            <v>TBD</v>
          </cell>
          <cell r="AL227" t="str">
            <v>Y</v>
          </cell>
          <cell r="AM227" t="str">
            <v>2000184TBD</v>
          </cell>
          <cell r="AN227" t="str">
            <v>2000284TBD</v>
          </cell>
          <cell r="AO227" t="str">
            <v>2000183TBD</v>
          </cell>
          <cell r="AP227" t="str">
            <v>2000283TBD</v>
          </cell>
          <cell r="AQ227" t="str">
            <v>2000182TBD</v>
          </cell>
          <cell r="AR227" t="str">
            <v>2000282TBD</v>
          </cell>
          <cell r="AS227" t="str">
            <v>TBD</v>
          </cell>
          <cell r="AT227" t="str">
            <v>NA</v>
          </cell>
          <cell r="AU227" t="str">
            <v>NA</v>
          </cell>
          <cell r="AV227" t="str">
            <v>NA</v>
          </cell>
          <cell r="AW227">
            <v>40617</v>
          </cell>
        </row>
        <row r="228">
          <cell r="C228" t="str">
            <v>Yingli - Panda Series - YL 265-250 C-30b_S</v>
          </cell>
          <cell r="D228" t="str">
            <v>Standard Claw</v>
          </cell>
          <cell r="E228">
            <v>5000005</v>
          </cell>
          <cell r="F228">
            <v>38.976377952755911</v>
          </cell>
          <cell r="G228">
            <v>64.960629921259851</v>
          </cell>
          <cell r="H228">
            <v>1.5748031496062993</v>
          </cell>
          <cell r="I228">
            <v>200010704</v>
          </cell>
          <cell r="J228">
            <v>200010804</v>
          </cell>
          <cell r="K228">
            <v>200013804</v>
          </cell>
          <cell r="L228">
            <v>200016304</v>
          </cell>
          <cell r="M228">
            <v>500012569</v>
          </cell>
          <cell r="N228">
            <v>500012669</v>
          </cell>
          <cell r="O228">
            <v>500012569</v>
          </cell>
          <cell r="P228">
            <v>500012669</v>
          </cell>
          <cell r="Q228">
            <v>11.646065132777842</v>
          </cell>
          <cell r="R228">
            <v>10.40805030701417</v>
          </cell>
          <cell r="S228">
            <v>4.911079789514722</v>
          </cell>
          <cell r="T228">
            <v>4.911079789514722</v>
          </cell>
          <cell r="U228">
            <v>11.646065132777842</v>
          </cell>
          <cell r="V228">
            <v>10.40805030701417</v>
          </cell>
          <cell r="W228">
            <v>50</v>
          </cell>
          <cell r="X228">
            <v>35.45669291338583</v>
          </cell>
          <cell r="Y228">
            <v>66.668307086614178</v>
          </cell>
          <cell r="Z228">
            <v>35.45669291338583</v>
          </cell>
          <cell r="AA228">
            <v>66.668307086614178</v>
          </cell>
          <cell r="AB228">
            <v>35.45669291338583</v>
          </cell>
          <cell r="AC228">
            <v>66.668307086614178</v>
          </cell>
          <cell r="AD228">
            <v>66.668307086614178</v>
          </cell>
          <cell r="AE228">
            <v>65.460629921259851</v>
          </cell>
          <cell r="AF228">
            <v>23.460629921259848</v>
          </cell>
          <cell r="AG228">
            <v>40.082677165354333</v>
          </cell>
          <cell r="AH228" t="str">
            <v>Y</v>
          </cell>
          <cell r="AI228">
            <v>43.659000000000006</v>
          </cell>
          <cell r="AJ228">
            <v>19.8</v>
          </cell>
          <cell r="AK228" t="str">
            <v>TBD</v>
          </cell>
          <cell r="AL228" t="str">
            <v>Y</v>
          </cell>
          <cell r="AM228">
            <v>200018403</v>
          </cell>
          <cell r="AN228">
            <v>200028403</v>
          </cell>
          <cell r="AO228">
            <v>200018303</v>
          </cell>
          <cell r="AP228">
            <v>200028303</v>
          </cell>
          <cell r="AQ228">
            <v>200018203</v>
          </cell>
          <cell r="AR228">
            <v>200028203</v>
          </cell>
          <cell r="AS228">
            <v>14.555555555555557</v>
          </cell>
          <cell r="AT228">
            <v>19.987381438876472</v>
          </cell>
          <cell r="AU228">
            <v>14.912410483320945</v>
          </cell>
          <cell r="AV228">
            <v>10.183419458492327</v>
          </cell>
          <cell r="AW228">
            <v>40800</v>
          </cell>
        </row>
        <row r="229">
          <cell r="C229" t="str">
            <v>Yingli - Panda Series - YL 265-250 C-30b_X</v>
          </cell>
          <cell r="D229" t="str">
            <v>Long Claw (Yingli 235/Panda)</v>
          </cell>
          <cell r="E229">
            <v>500003907</v>
          </cell>
          <cell r="F229">
            <v>38.976377952755911</v>
          </cell>
          <cell r="G229">
            <v>64.960629921259851</v>
          </cell>
          <cell r="H229">
            <v>1.5748031496062993</v>
          </cell>
          <cell r="I229">
            <v>200010704</v>
          </cell>
          <cell r="J229">
            <v>200010804</v>
          </cell>
          <cell r="K229">
            <v>200013804</v>
          </cell>
          <cell r="L229">
            <v>200016304</v>
          </cell>
          <cell r="M229">
            <v>500012568</v>
          </cell>
          <cell r="N229">
            <v>500012668</v>
          </cell>
          <cell r="O229">
            <v>500012568</v>
          </cell>
          <cell r="P229">
            <v>500012668</v>
          </cell>
          <cell r="Q229">
            <v>10.948638384786955</v>
          </cell>
          <cell r="R229">
            <v>9.7863612556795889</v>
          </cell>
          <cell r="S229">
            <v>4.620032713407368</v>
          </cell>
          <cell r="T229">
            <v>4.620032713407368</v>
          </cell>
          <cell r="U229">
            <v>10.948638384786955</v>
          </cell>
          <cell r="V229">
            <v>9.7863612556795889</v>
          </cell>
          <cell r="W229">
            <v>50</v>
          </cell>
          <cell r="X229">
            <v>37.685039370078741</v>
          </cell>
          <cell r="Y229">
            <v>65.71555118110237</v>
          </cell>
          <cell r="Z229">
            <v>37.685039370078741</v>
          </cell>
          <cell r="AA229">
            <v>65.71555118110237</v>
          </cell>
          <cell r="AB229">
            <v>37.685039370078741</v>
          </cell>
          <cell r="AC229">
            <v>65.71555118110237</v>
          </cell>
          <cell r="AD229">
            <v>65.71555118110237</v>
          </cell>
          <cell r="AE229">
            <v>65.460629921259851</v>
          </cell>
          <cell r="AF229">
            <v>23.460629921259848</v>
          </cell>
          <cell r="AG229">
            <v>40.082677165354333</v>
          </cell>
          <cell r="AH229" t="str">
            <v>Y</v>
          </cell>
          <cell r="AI229">
            <v>43.659000000000006</v>
          </cell>
          <cell r="AJ229">
            <v>19.8</v>
          </cell>
          <cell r="AK229" t="str">
            <v>TBD</v>
          </cell>
          <cell r="AL229" t="str">
            <v>Y</v>
          </cell>
          <cell r="AM229">
            <v>200018403</v>
          </cell>
          <cell r="AN229">
            <v>200028403</v>
          </cell>
          <cell r="AO229">
            <v>200018303</v>
          </cell>
          <cell r="AP229">
            <v>200028303</v>
          </cell>
          <cell r="AQ229">
            <v>200018203</v>
          </cell>
          <cell r="AR229">
            <v>200028203</v>
          </cell>
          <cell r="AS229">
            <v>14.555555555555557</v>
          </cell>
          <cell r="AT229">
            <v>19.987381438876472</v>
          </cell>
          <cell r="AU229">
            <v>14.912410483320945</v>
          </cell>
          <cell r="AV229">
            <v>10.183419458492327</v>
          </cell>
          <cell r="AW229">
            <v>40862</v>
          </cell>
        </row>
        <row r="230">
          <cell r="C230" t="str">
            <v>Yingli - Panda Series - YL 265-250 C-30b_L</v>
          </cell>
          <cell r="D230" t="str">
            <v>2nd Gen Long Claw (Yingli 235/Panda)</v>
          </cell>
          <cell r="E230">
            <v>500014407</v>
          </cell>
          <cell r="F230">
            <v>38.976377952755911</v>
          </cell>
          <cell r="G230">
            <v>64.960629921259851</v>
          </cell>
          <cell r="H230">
            <v>1.5748031496062993</v>
          </cell>
          <cell r="I230">
            <v>200010704</v>
          </cell>
          <cell r="J230">
            <v>200010804</v>
          </cell>
          <cell r="K230">
            <v>200013804</v>
          </cell>
          <cell r="L230">
            <v>200016304</v>
          </cell>
          <cell r="M230">
            <v>500012568</v>
          </cell>
          <cell r="N230">
            <v>500012668</v>
          </cell>
          <cell r="O230">
            <v>500012568</v>
          </cell>
          <cell r="P230">
            <v>500012668</v>
          </cell>
          <cell r="Q230">
            <v>10.468270436440157</v>
          </cell>
          <cell r="R230">
            <v>9.3579834665923265</v>
          </cell>
          <cell r="S230">
            <v>4.4192361087067082</v>
          </cell>
          <cell r="T230">
            <v>4.4192361087067082</v>
          </cell>
          <cell r="U230">
            <v>10.468270436440157</v>
          </cell>
          <cell r="V230">
            <v>9.3579834665923265</v>
          </cell>
          <cell r="W230">
            <v>50</v>
          </cell>
          <cell r="X230">
            <v>39.393700787401578</v>
          </cell>
          <cell r="Y230">
            <v>65.71555118110237</v>
          </cell>
          <cell r="Z230">
            <v>39.393700787401578</v>
          </cell>
          <cell r="AA230">
            <v>65.71555118110237</v>
          </cell>
          <cell r="AB230">
            <v>39.393700787401578</v>
          </cell>
          <cell r="AC230">
            <v>65.71555118110237</v>
          </cell>
          <cell r="AD230">
            <v>65.71555118110237</v>
          </cell>
          <cell r="AE230">
            <v>65.460629921259851</v>
          </cell>
          <cell r="AF230">
            <v>23.460629921259848</v>
          </cell>
          <cell r="AG230">
            <v>40.082677165354333</v>
          </cell>
          <cell r="AH230" t="str">
            <v>Y</v>
          </cell>
          <cell r="AI230">
            <v>43.659000000000006</v>
          </cell>
          <cell r="AJ230">
            <v>19.8</v>
          </cell>
          <cell r="AK230" t="str">
            <v>TBD</v>
          </cell>
          <cell r="AL230" t="str">
            <v>Y</v>
          </cell>
          <cell r="AM230">
            <v>200018403</v>
          </cell>
          <cell r="AN230">
            <v>200028403</v>
          </cell>
          <cell r="AO230">
            <v>200018303</v>
          </cell>
          <cell r="AP230">
            <v>200028303</v>
          </cell>
          <cell r="AQ230">
            <v>200018203</v>
          </cell>
          <cell r="AR230">
            <v>200028203</v>
          </cell>
          <cell r="AS230">
            <v>14.555555555555557</v>
          </cell>
          <cell r="AT230">
            <v>19.987381438876472</v>
          </cell>
          <cell r="AU230">
            <v>14.912410483320945</v>
          </cell>
          <cell r="AV230">
            <v>10.183419458492327</v>
          </cell>
          <cell r="AW230">
            <v>40862</v>
          </cell>
        </row>
        <row r="231">
          <cell r="C231" t="str">
            <v xml:space="preserve"> - _</v>
          </cell>
          <cell r="AI231">
            <v>0</v>
          </cell>
        </row>
        <row r="232">
          <cell r="C232" t="str">
            <v xml:space="preserve"> - _</v>
          </cell>
          <cell r="AI232">
            <v>0</v>
          </cell>
        </row>
        <row r="233">
          <cell r="C233" t="str">
            <v xml:space="preserve"> - _</v>
          </cell>
          <cell r="AI233">
            <v>0</v>
          </cell>
        </row>
        <row r="234">
          <cell r="C234" t="str">
            <v xml:space="preserve"> - _</v>
          </cell>
          <cell r="AI234">
            <v>0</v>
          </cell>
        </row>
        <row r="235">
          <cell r="C235" t="str">
            <v xml:space="preserve"> - _</v>
          </cell>
          <cell r="AI235">
            <v>0</v>
          </cell>
        </row>
        <row r="236">
          <cell r="C236" t="str">
            <v xml:space="preserve"> - _</v>
          </cell>
          <cell r="AI236">
            <v>0</v>
          </cell>
        </row>
        <row r="237">
          <cell r="C237" t="str">
            <v xml:space="preserve"> - _</v>
          </cell>
          <cell r="AI237">
            <v>0</v>
          </cell>
        </row>
        <row r="238">
          <cell r="C238" t="str">
            <v xml:space="preserve"> - _</v>
          </cell>
          <cell r="AI238">
            <v>0</v>
          </cell>
        </row>
        <row r="239">
          <cell r="C239" t="str">
            <v xml:space="preserve"> - _</v>
          </cell>
          <cell r="AI239">
            <v>0</v>
          </cell>
        </row>
        <row r="240">
          <cell r="C240" t="str">
            <v xml:space="preserve"> - _</v>
          </cell>
          <cell r="AI240">
            <v>0</v>
          </cell>
        </row>
        <row r="241">
          <cell r="C241" t="str">
            <v xml:space="preserve"> - _</v>
          </cell>
          <cell r="AI241">
            <v>0</v>
          </cell>
        </row>
        <row r="242">
          <cell r="C242" t="str">
            <v xml:space="preserve"> - _</v>
          </cell>
          <cell r="AI24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aten"/>
      <sheetName val="CSN EN 1991-1-4 (CZ)"/>
      <sheetName val="STN EN 1991-1-4 (SK)"/>
      <sheetName val="DS EN 1991-1-4 (DK)"/>
      <sheetName val="NP EN 1991-1-4 (PT)"/>
      <sheetName val="PN EN 1991-1-4 (PL)"/>
      <sheetName val="DIN EN 1991-1-4 (DE)"/>
      <sheetName val="NBN EN 1991-1-4 (B)"/>
      <sheetName val="NF EN 1991-1-4 (FR)"/>
      <sheetName val="BS EN 1991-1-4 (GB)"/>
      <sheetName val="UNI EN 1991-1-4 (IT)"/>
      <sheetName val="NEN EN 1991-1-4 (NL)"/>
      <sheetName val="ASCE 7-10 (USA)"/>
      <sheetName val="Ballastberechnung"/>
      <sheetName val="Interne Berechnungsvorgaben"/>
      <sheetName val="Interne Umrechnung Modulfläche"/>
    </sheetNames>
    <sheetDataSet>
      <sheetData sheetId="0">
        <row r="2">
          <cell r="B2" t="str">
            <v>Mounting Systems GmbH</v>
          </cell>
        </row>
      </sheetData>
      <sheetData sheetId="1"/>
      <sheetData sheetId="2"/>
      <sheetData sheetId="3"/>
      <sheetData sheetId="4">
        <row r="69">
          <cell r="F69" t="str">
            <v>Azoren</v>
          </cell>
        </row>
        <row r="70">
          <cell r="F70" t="str">
            <v>Madeira</v>
          </cell>
        </row>
        <row r="71">
          <cell r="F71" t="str">
            <v>Festland</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ngabe"/>
      <sheetName val="building data"/>
      <sheetName val="DIN EN 1991-1-4 (DE)"/>
      <sheetName val="wind load calc"/>
      <sheetName val="internal presets fc"/>
      <sheetName val="Annex A.3"/>
      <sheetName val="DIN EN 1991-1-4 (DE)_1"/>
      <sheetName val="ASCE 7-05 (US)"/>
      <sheetName val="ASCE 7-10 (US)"/>
      <sheetName val="wind load calc_1"/>
      <sheetName val="internal presets fc_1"/>
      <sheetName val="BoMBer"/>
      <sheetName val="Balwert"/>
      <sheetName val="Datenausgabe"/>
      <sheetName val="Gebäudedaten"/>
      <sheetName val="building data_1"/>
      <sheetName val="Moduleingabe15"/>
      <sheetName val="Ballastplan"/>
      <sheetName val="Ballastplan15"/>
      <sheetName val="Norm"/>
      <sheetName val="EN 1991-1-4 (EU)"/>
      <sheetName val="NBN EN 1991-1-4 (B)"/>
      <sheetName val="DS EN 1991-1-4 (DK)"/>
      <sheetName val="NF EN 1991-1-4 (FR)"/>
      <sheetName val="BS EN 1991-1-4 (GB)"/>
      <sheetName val="UNI EN 1991-1-4 (IT)"/>
      <sheetName val="NEN EN 1991-1-4 (NL)"/>
      <sheetName val="PN EN 1991-1-4 (PL)"/>
      <sheetName val="NP EN 1991-1-4 (PT)"/>
      <sheetName val="STN EN 1991-1-4 (SK)"/>
      <sheetName val="CSN EN 1991-1-4 (CZ)"/>
      <sheetName val="Ballastberechnung"/>
      <sheetName val="Interne Berechnungsvorgaben"/>
      <sheetName val="Interne Umrechnung Modulzonen"/>
      <sheetName val="Moduleingabe"/>
      <sheetName val="bricks"/>
      <sheetName val="Navision Kalkulations Too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69">
          <cell r="F69" t="str">
            <v>Azoren</v>
          </cell>
        </row>
        <row r="70">
          <cell r="F70" t="str">
            <v>Madeira</v>
          </cell>
        </row>
        <row r="71">
          <cell r="F71" t="str">
            <v>Festland</v>
          </cell>
        </row>
      </sheetData>
      <sheetData sheetId="29"/>
      <sheetData sheetId="30"/>
      <sheetData sheetId="31"/>
      <sheetData sheetId="32"/>
      <sheetData sheetId="33">
        <row r="9">
          <cell r="H9" t="str">
            <v>Version 5.19 Stand 07.05.2015</v>
          </cell>
        </row>
      </sheetData>
      <sheetData sheetId="34">
        <row r="33">
          <cell r="M33">
            <v>0</v>
          </cell>
        </row>
      </sheetData>
      <sheetData sheetId="35"/>
      <sheetData sheetId="3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bäudedaten"/>
      <sheetName val="CSN EN 1991-1-4 (CZ)"/>
      <sheetName val="STN EN 1991-1-4 (SK)"/>
      <sheetName val="DS EN 1991-1-4 (DK)"/>
      <sheetName val="NP EN 1991-1-4 (PT)"/>
      <sheetName val="PN EN 1991-1-4 (PL)"/>
      <sheetName val="DIN EN 1991-1-4 (DE)"/>
      <sheetName val="NBN EN 1991-1-4 (B)"/>
      <sheetName val="NF EN 1991-1-4 (FR)"/>
      <sheetName val="BS EN 1991-1-4 (GB)"/>
      <sheetName val="UNI EN 1991-1-4 (IT)"/>
      <sheetName val="NEN EN 1991-1-4 (NL)"/>
      <sheetName val="ASCE 7-10 (USA)"/>
      <sheetName val="Ballastberechnung"/>
      <sheetName val="Interne Berechnungsvorgaben"/>
      <sheetName val="Interne Umrechnung Modulfläche"/>
    </sheetNames>
    <sheetDataSet>
      <sheetData sheetId="0">
        <row r="2">
          <cell r="B2" t="str">
            <v>Mounting Systems GmbH</v>
          </cell>
        </row>
      </sheetData>
      <sheetData sheetId="1"/>
      <sheetData sheetId="2"/>
      <sheetData sheetId="3"/>
      <sheetData sheetId="4">
        <row r="69">
          <cell r="F69" t="str">
            <v>Azoren</v>
          </cell>
        </row>
        <row r="70">
          <cell r="F70" t="str">
            <v>Madeira</v>
          </cell>
        </row>
        <row r="71">
          <cell r="F71" t="str">
            <v>Festland</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3" Type="http://schemas.openxmlformats.org/officeDocument/2006/relationships/oleObject" Target="../embeddings/oleObject7.bin"/><Relationship Id="rId18" Type="http://schemas.openxmlformats.org/officeDocument/2006/relationships/image" Target="../media/image14.emf"/><Relationship Id="rId26" Type="http://schemas.openxmlformats.org/officeDocument/2006/relationships/image" Target="../media/image18.emf"/><Relationship Id="rId39" Type="http://schemas.openxmlformats.org/officeDocument/2006/relationships/oleObject" Target="../embeddings/oleObject24.bin"/><Relationship Id="rId21" Type="http://schemas.openxmlformats.org/officeDocument/2006/relationships/oleObject" Target="../embeddings/oleObject11.bin"/><Relationship Id="rId34" Type="http://schemas.openxmlformats.org/officeDocument/2006/relationships/oleObject" Target="../embeddings/oleObject20.bin"/><Relationship Id="rId42" Type="http://schemas.openxmlformats.org/officeDocument/2006/relationships/oleObject" Target="../embeddings/oleObject27.bin"/><Relationship Id="rId47" Type="http://schemas.openxmlformats.org/officeDocument/2006/relationships/oleObject" Target="../embeddings/oleObject32.bin"/><Relationship Id="rId50" Type="http://schemas.openxmlformats.org/officeDocument/2006/relationships/oleObject" Target="../embeddings/oleObject35.bin"/><Relationship Id="rId55" Type="http://schemas.openxmlformats.org/officeDocument/2006/relationships/oleObject" Target="../embeddings/oleObject40.bin"/><Relationship Id="rId7" Type="http://schemas.openxmlformats.org/officeDocument/2006/relationships/image" Target="../media/image9.emf"/><Relationship Id="rId2" Type="http://schemas.openxmlformats.org/officeDocument/2006/relationships/drawing" Target="../drawings/drawing4.xml"/><Relationship Id="rId16" Type="http://schemas.openxmlformats.org/officeDocument/2006/relationships/image" Target="../media/image13.emf"/><Relationship Id="rId29" Type="http://schemas.openxmlformats.org/officeDocument/2006/relationships/oleObject" Target="../embeddings/oleObject16.bin"/><Relationship Id="rId11" Type="http://schemas.openxmlformats.org/officeDocument/2006/relationships/oleObject" Target="../embeddings/oleObject6.bin"/><Relationship Id="rId24" Type="http://schemas.openxmlformats.org/officeDocument/2006/relationships/image" Target="../media/image17.emf"/><Relationship Id="rId32" Type="http://schemas.openxmlformats.org/officeDocument/2006/relationships/image" Target="../media/image19.emf"/><Relationship Id="rId37" Type="http://schemas.openxmlformats.org/officeDocument/2006/relationships/oleObject" Target="../embeddings/oleObject22.bin"/><Relationship Id="rId40" Type="http://schemas.openxmlformats.org/officeDocument/2006/relationships/oleObject" Target="../embeddings/oleObject25.bin"/><Relationship Id="rId45" Type="http://schemas.openxmlformats.org/officeDocument/2006/relationships/oleObject" Target="../embeddings/oleObject30.bin"/><Relationship Id="rId53" Type="http://schemas.openxmlformats.org/officeDocument/2006/relationships/oleObject" Target="../embeddings/oleObject38.bin"/><Relationship Id="rId5" Type="http://schemas.openxmlformats.org/officeDocument/2006/relationships/image" Target="../media/image8.emf"/><Relationship Id="rId10" Type="http://schemas.openxmlformats.org/officeDocument/2006/relationships/oleObject" Target="../embeddings/oleObject5.bin"/><Relationship Id="rId19" Type="http://schemas.openxmlformats.org/officeDocument/2006/relationships/oleObject" Target="../embeddings/oleObject10.bin"/><Relationship Id="rId31" Type="http://schemas.openxmlformats.org/officeDocument/2006/relationships/oleObject" Target="../embeddings/oleObject18.bin"/><Relationship Id="rId44" Type="http://schemas.openxmlformats.org/officeDocument/2006/relationships/oleObject" Target="../embeddings/oleObject29.bin"/><Relationship Id="rId52" Type="http://schemas.openxmlformats.org/officeDocument/2006/relationships/oleObject" Target="../embeddings/oleObject37.bin"/><Relationship Id="rId4" Type="http://schemas.openxmlformats.org/officeDocument/2006/relationships/oleObject" Target="../embeddings/oleObject2.bin"/><Relationship Id="rId9" Type="http://schemas.openxmlformats.org/officeDocument/2006/relationships/image" Target="../media/image10.emf"/><Relationship Id="rId14" Type="http://schemas.openxmlformats.org/officeDocument/2006/relationships/image" Target="../media/image12.emf"/><Relationship Id="rId22" Type="http://schemas.openxmlformats.org/officeDocument/2006/relationships/image" Target="../media/image16.emf"/><Relationship Id="rId27" Type="http://schemas.openxmlformats.org/officeDocument/2006/relationships/oleObject" Target="../embeddings/oleObject14.bin"/><Relationship Id="rId30" Type="http://schemas.openxmlformats.org/officeDocument/2006/relationships/oleObject" Target="../embeddings/oleObject17.bin"/><Relationship Id="rId35" Type="http://schemas.openxmlformats.org/officeDocument/2006/relationships/oleObject" Target="../embeddings/oleObject21.bin"/><Relationship Id="rId43" Type="http://schemas.openxmlformats.org/officeDocument/2006/relationships/oleObject" Target="../embeddings/oleObject28.bin"/><Relationship Id="rId48" Type="http://schemas.openxmlformats.org/officeDocument/2006/relationships/oleObject" Target="../embeddings/oleObject33.bin"/><Relationship Id="rId8" Type="http://schemas.openxmlformats.org/officeDocument/2006/relationships/oleObject" Target="../embeddings/oleObject4.bin"/><Relationship Id="rId51" Type="http://schemas.openxmlformats.org/officeDocument/2006/relationships/oleObject" Target="../embeddings/oleObject36.bin"/><Relationship Id="rId3" Type="http://schemas.openxmlformats.org/officeDocument/2006/relationships/vmlDrawing" Target="../drawings/vmlDrawing3.vml"/><Relationship Id="rId12" Type="http://schemas.openxmlformats.org/officeDocument/2006/relationships/image" Target="../media/image11.emf"/><Relationship Id="rId17" Type="http://schemas.openxmlformats.org/officeDocument/2006/relationships/oleObject" Target="../embeddings/oleObject9.bin"/><Relationship Id="rId25" Type="http://schemas.openxmlformats.org/officeDocument/2006/relationships/oleObject" Target="../embeddings/oleObject13.bin"/><Relationship Id="rId33" Type="http://schemas.openxmlformats.org/officeDocument/2006/relationships/oleObject" Target="../embeddings/oleObject19.bin"/><Relationship Id="rId38" Type="http://schemas.openxmlformats.org/officeDocument/2006/relationships/oleObject" Target="../embeddings/oleObject23.bin"/><Relationship Id="rId46" Type="http://schemas.openxmlformats.org/officeDocument/2006/relationships/oleObject" Target="../embeddings/oleObject31.bin"/><Relationship Id="rId20" Type="http://schemas.openxmlformats.org/officeDocument/2006/relationships/image" Target="../media/image15.emf"/><Relationship Id="rId41" Type="http://schemas.openxmlformats.org/officeDocument/2006/relationships/oleObject" Target="../embeddings/oleObject26.bin"/><Relationship Id="rId54" Type="http://schemas.openxmlformats.org/officeDocument/2006/relationships/oleObject" Target="../embeddings/oleObject39.bin"/><Relationship Id="rId1" Type="http://schemas.openxmlformats.org/officeDocument/2006/relationships/printerSettings" Target="../printerSettings/printerSettings4.bin"/><Relationship Id="rId6" Type="http://schemas.openxmlformats.org/officeDocument/2006/relationships/oleObject" Target="../embeddings/oleObject3.bin"/><Relationship Id="rId15" Type="http://schemas.openxmlformats.org/officeDocument/2006/relationships/oleObject" Target="../embeddings/oleObject8.bin"/><Relationship Id="rId23" Type="http://schemas.openxmlformats.org/officeDocument/2006/relationships/oleObject" Target="../embeddings/oleObject12.bin"/><Relationship Id="rId28" Type="http://schemas.openxmlformats.org/officeDocument/2006/relationships/oleObject" Target="../embeddings/oleObject15.bin"/><Relationship Id="rId36" Type="http://schemas.openxmlformats.org/officeDocument/2006/relationships/image" Target="../media/image20.emf"/><Relationship Id="rId49" Type="http://schemas.openxmlformats.org/officeDocument/2006/relationships/oleObject" Target="../embeddings/oleObject34.bin"/></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43.bin"/><Relationship Id="rId13" Type="http://schemas.openxmlformats.org/officeDocument/2006/relationships/image" Target="../media/image24.emf"/><Relationship Id="rId18" Type="http://schemas.openxmlformats.org/officeDocument/2006/relationships/oleObject" Target="../embeddings/oleObject48.bin"/><Relationship Id="rId3" Type="http://schemas.openxmlformats.org/officeDocument/2006/relationships/vmlDrawing" Target="../drawings/vmlDrawing4.vml"/><Relationship Id="rId21" Type="http://schemas.openxmlformats.org/officeDocument/2006/relationships/oleObject" Target="../embeddings/oleObject50.bin"/><Relationship Id="rId7" Type="http://schemas.openxmlformats.org/officeDocument/2006/relationships/image" Target="../media/image21.emf"/><Relationship Id="rId12" Type="http://schemas.openxmlformats.org/officeDocument/2006/relationships/oleObject" Target="../embeddings/oleObject45.bin"/><Relationship Id="rId17" Type="http://schemas.openxmlformats.org/officeDocument/2006/relationships/image" Target="../media/image26.emf"/><Relationship Id="rId25"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oleObject" Target="../embeddings/oleObject47.bin"/><Relationship Id="rId20" Type="http://schemas.openxmlformats.org/officeDocument/2006/relationships/oleObject" Target="../embeddings/oleObject49.bin"/><Relationship Id="rId1" Type="http://schemas.openxmlformats.org/officeDocument/2006/relationships/printerSettings" Target="../printerSettings/printerSettings5.bin"/><Relationship Id="rId6" Type="http://schemas.openxmlformats.org/officeDocument/2006/relationships/oleObject" Target="../embeddings/oleObject42.bin"/><Relationship Id="rId11" Type="http://schemas.openxmlformats.org/officeDocument/2006/relationships/image" Target="../media/image23.emf"/><Relationship Id="rId24" Type="http://schemas.openxmlformats.org/officeDocument/2006/relationships/oleObject" Target="../embeddings/oleObject52.bin"/><Relationship Id="rId5" Type="http://schemas.openxmlformats.org/officeDocument/2006/relationships/image" Target="../media/image9.emf"/><Relationship Id="rId15" Type="http://schemas.openxmlformats.org/officeDocument/2006/relationships/image" Target="../media/image25.emf"/><Relationship Id="rId23" Type="http://schemas.openxmlformats.org/officeDocument/2006/relationships/oleObject" Target="../embeddings/oleObject51.bin"/><Relationship Id="rId10" Type="http://schemas.openxmlformats.org/officeDocument/2006/relationships/oleObject" Target="../embeddings/oleObject44.bin"/><Relationship Id="rId19" Type="http://schemas.openxmlformats.org/officeDocument/2006/relationships/image" Target="../media/image27.emf"/><Relationship Id="rId4" Type="http://schemas.openxmlformats.org/officeDocument/2006/relationships/oleObject" Target="../embeddings/oleObject41.bin"/><Relationship Id="rId9" Type="http://schemas.openxmlformats.org/officeDocument/2006/relationships/image" Target="../media/image22.emf"/><Relationship Id="rId14" Type="http://schemas.openxmlformats.org/officeDocument/2006/relationships/oleObject" Target="../embeddings/oleObject46.bin"/><Relationship Id="rId22" Type="http://schemas.openxmlformats.org/officeDocument/2006/relationships/image" Target="../media/image28.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55.bin"/><Relationship Id="rId13" Type="http://schemas.openxmlformats.org/officeDocument/2006/relationships/image" Target="../media/image36.emf"/><Relationship Id="rId3" Type="http://schemas.openxmlformats.org/officeDocument/2006/relationships/vmlDrawing" Target="../drawings/vmlDrawing5.vml"/><Relationship Id="rId7" Type="http://schemas.openxmlformats.org/officeDocument/2006/relationships/image" Target="../media/image33.emf"/><Relationship Id="rId12" Type="http://schemas.openxmlformats.org/officeDocument/2006/relationships/oleObject" Target="../embeddings/oleObject57.bin"/><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54.bin"/><Relationship Id="rId11" Type="http://schemas.openxmlformats.org/officeDocument/2006/relationships/image" Target="../media/image35.emf"/><Relationship Id="rId5" Type="http://schemas.openxmlformats.org/officeDocument/2006/relationships/image" Target="../media/image32.emf"/><Relationship Id="rId15" Type="http://schemas.openxmlformats.org/officeDocument/2006/relationships/image" Target="../media/image37.emf"/><Relationship Id="rId10" Type="http://schemas.openxmlformats.org/officeDocument/2006/relationships/oleObject" Target="../embeddings/oleObject56.bin"/><Relationship Id="rId4" Type="http://schemas.openxmlformats.org/officeDocument/2006/relationships/oleObject" Target="../embeddings/oleObject53.bin"/><Relationship Id="rId9" Type="http://schemas.openxmlformats.org/officeDocument/2006/relationships/image" Target="../media/image34.emf"/><Relationship Id="rId14" Type="http://schemas.openxmlformats.org/officeDocument/2006/relationships/oleObject" Target="../embeddings/oleObject58.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61.bin"/><Relationship Id="rId13" Type="http://schemas.openxmlformats.org/officeDocument/2006/relationships/image" Target="../media/image35.emf"/><Relationship Id="rId3" Type="http://schemas.openxmlformats.org/officeDocument/2006/relationships/vmlDrawing" Target="../drawings/vmlDrawing6.vml"/><Relationship Id="rId7" Type="http://schemas.openxmlformats.org/officeDocument/2006/relationships/image" Target="../media/image33.emf"/><Relationship Id="rId12" Type="http://schemas.openxmlformats.org/officeDocument/2006/relationships/oleObject" Target="../embeddings/oleObject63.bin"/><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60.bin"/><Relationship Id="rId11" Type="http://schemas.openxmlformats.org/officeDocument/2006/relationships/image" Target="../media/image34.emf"/><Relationship Id="rId5" Type="http://schemas.openxmlformats.org/officeDocument/2006/relationships/image" Target="../media/image32.emf"/><Relationship Id="rId10" Type="http://schemas.openxmlformats.org/officeDocument/2006/relationships/oleObject" Target="../embeddings/oleObject62.bin"/><Relationship Id="rId4" Type="http://schemas.openxmlformats.org/officeDocument/2006/relationships/oleObject" Target="../embeddings/oleObject59.bin"/><Relationship Id="rId9" Type="http://schemas.openxmlformats.org/officeDocument/2006/relationships/image" Target="../media/image37.emf"/></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7">
    <tabColor theme="4"/>
  </sheetPr>
  <dimension ref="A1:Z250"/>
  <sheetViews>
    <sheetView showGridLines="0" showWhiteSpace="0" zoomScaleNormal="100" zoomScaleSheetLayoutView="100" workbookViewId="0">
      <selection activeCell="E10" sqref="E10:G10"/>
    </sheetView>
  </sheetViews>
  <sheetFormatPr defaultColWidth="11.42578125" defaultRowHeight="15" x14ac:dyDescent="0.25"/>
  <cols>
    <col min="1" max="1" width="3.7109375" customWidth="1"/>
    <col min="2" max="2" width="5.7109375" customWidth="1"/>
    <col min="3" max="3" width="3.7109375" customWidth="1"/>
    <col min="4" max="4" width="19" customWidth="1"/>
    <col min="5" max="5" width="9.28515625" customWidth="1"/>
    <col min="6" max="6" width="10.28515625" customWidth="1"/>
    <col min="7" max="7" width="4.42578125" customWidth="1"/>
    <col min="8" max="8" width="4.5703125" customWidth="1"/>
    <col min="9" max="9" width="31" customWidth="1"/>
    <col min="10" max="10" width="4" customWidth="1"/>
    <col min="11" max="11" width="19" customWidth="1"/>
    <col min="12" max="12" width="10.7109375" customWidth="1"/>
    <col min="13" max="13" width="4.7109375" customWidth="1"/>
    <col min="14" max="14" width="3.7109375" customWidth="1"/>
    <col min="15" max="15" width="5.7109375" customWidth="1"/>
  </cols>
  <sheetData>
    <row r="1" spans="1:26" ht="15.75" thickBot="1" x14ac:dyDescent="0.3">
      <c r="A1" s="877"/>
      <c r="B1" s="877"/>
      <c r="C1" s="877"/>
      <c r="D1" s="877"/>
      <c r="E1" s="877"/>
      <c r="F1" s="877"/>
      <c r="G1" s="877"/>
      <c r="H1" s="877"/>
      <c r="I1" s="877"/>
      <c r="J1" s="877"/>
      <c r="K1" s="877"/>
      <c r="L1" s="877"/>
      <c r="M1" s="877"/>
      <c r="N1" s="877"/>
      <c r="O1" s="877"/>
      <c r="P1" s="877"/>
      <c r="Q1" s="877"/>
      <c r="R1" s="877"/>
      <c r="S1" s="877"/>
      <c r="T1" s="877"/>
      <c r="U1" s="877"/>
      <c r="V1" s="877"/>
      <c r="W1" s="877"/>
      <c r="X1" s="877"/>
      <c r="Y1" s="877"/>
      <c r="Z1" s="877"/>
    </row>
    <row r="2" spans="1:26" ht="61.15" customHeight="1" thickTop="1" x14ac:dyDescent="0.3">
      <c r="A2" s="877"/>
      <c r="B2" s="878"/>
      <c r="C2" s="879"/>
      <c r="D2" s="879"/>
      <c r="E2" s="880" t="str">
        <f>IF($E$6="de",D139,I139)</f>
        <v xml:space="preserve">Lambda Light EW+ ballast calculation </v>
      </c>
      <c r="F2" s="879"/>
      <c r="G2" s="879"/>
      <c r="H2" s="879"/>
      <c r="I2" s="879"/>
      <c r="J2" s="879"/>
      <c r="K2" s="879"/>
      <c r="L2" s="879"/>
      <c r="M2" s="879"/>
      <c r="N2" s="879"/>
      <c r="O2" s="881"/>
      <c r="P2" s="877"/>
      <c r="Q2" s="877"/>
      <c r="R2" s="877"/>
      <c r="S2" s="877"/>
      <c r="T2" s="877"/>
      <c r="U2" s="877"/>
      <c r="V2" s="877"/>
      <c r="W2" s="877"/>
      <c r="X2" s="877"/>
      <c r="Y2" s="877"/>
      <c r="Z2" s="877"/>
    </row>
    <row r="3" spans="1:26" ht="15.75" x14ac:dyDescent="0.25">
      <c r="A3" s="877"/>
      <c r="B3" s="882"/>
      <c r="C3" s="883"/>
      <c r="D3" s="883"/>
      <c r="E3" s="884" t="s">
        <v>173</v>
      </c>
      <c r="F3" s="885"/>
      <c r="G3" s="883"/>
      <c r="H3" s="883"/>
      <c r="I3" s="883"/>
      <c r="J3" s="883"/>
      <c r="K3" s="883"/>
      <c r="L3" s="883"/>
      <c r="M3" s="883"/>
      <c r="N3" s="883"/>
      <c r="O3" s="886"/>
      <c r="P3" s="877"/>
      <c r="Q3" s="877"/>
      <c r="R3" s="877"/>
      <c r="S3" s="877"/>
      <c r="T3" s="877"/>
      <c r="U3" s="877"/>
      <c r="V3" s="877"/>
      <c r="W3" s="877"/>
      <c r="X3" s="877"/>
      <c r="Y3" s="877"/>
      <c r="Z3" s="877"/>
    </row>
    <row r="4" spans="1:26" ht="15.75" thickBot="1" x14ac:dyDescent="0.3">
      <c r="A4" s="877"/>
      <c r="B4" s="882"/>
      <c r="C4" s="883"/>
      <c r="D4" s="883"/>
      <c r="E4" s="883"/>
      <c r="F4" s="883"/>
      <c r="G4" s="883"/>
      <c r="H4" s="883"/>
      <c r="I4" s="883"/>
      <c r="J4" s="883"/>
      <c r="K4" s="883"/>
      <c r="L4" s="883"/>
      <c r="M4" s="883"/>
      <c r="N4" s="883"/>
      <c r="O4" s="886"/>
      <c r="P4" s="877"/>
      <c r="Q4" s="877"/>
      <c r="R4" s="877"/>
      <c r="S4" s="877"/>
      <c r="T4" s="877"/>
      <c r="U4" s="877"/>
      <c r="V4" s="877"/>
      <c r="W4" s="877"/>
      <c r="X4" s="877"/>
      <c r="Y4" s="877"/>
      <c r="Z4" s="877"/>
    </row>
    <row r="5" spans="1:26" ht="15.75" thickTop="1" x14ac:dyDescent="0.25">
      <c r="A5" s="877"/>
      <c r="B5" s="882"/>
      <c r="C5" s="887"/>
      <c r="D5" s="888"/>
      <c r="E5" s="888"/>
      <c r="F5" s="888"/>
      <c r="G5" s="888"/>
      <c r="H5" s="889"/>
      <c r="I5" s="883"/>
      <c r="J5" s="883"/>
      <c r="K5" s="883"/>
      <c r="L5" s="883"/>
      <c r="M5" s="883"/>
      <c r="N5" s="883"/>
      <c r="O5" s="886"/>
      <c r="P5" s="877"/>
      <c r="Q5" s="877"/>
      <c r="R5" s="877"/>
      <c r="S5" s="877"/>
      <c r="T5" s="877"/>
      <c r="U5" s="877"/>
      <c r="V5" s="877"/>
      <c r="W5" s="877"/>
      <c r="X5" s="877"/>
      <c r="Y5" s="877"/>
      <c r="Z5" s="877"/>
    </row>
    <row r="6" spans="1:26" x14ac:dyDescent="0.25">
      <c r="A6" s="877"/>
      <c r="B6" s="882"/>
      <c r="C6" s="890"/>
      <c r="D6" s="891" t="str">
        <f>IF($E$6="Deutsch",D102,I102)</f>
        <v>language</v>
      </c>
      <c r="E6" s="930" t="s">
        <v>13</v>
      </c>
      <c r="F6" s="930"/>
      <c r="G6" s="930"/>
      <c r="H6" s="893"/>
      <c r="I6" s="883"/>
      <c r="J6" s="883"/>
      <c r="K6" s="883"/>
      <c r="L6" s="883"/>
      <c r="M6" s="883"/>
      <c r="N6" s="883"/>
      <c r="O6" s="886"/>
      <c r="P6" s="877"/>
      <c r="Q6" s="877"/>
      <c r="R6" s="877"/>
      <c r="S6" s="877"/>
      <c r="T6" s="877"/>
      <c r="U6" s="877"/>
      <c r="V6" s="877"/>
      <c r="W6" s="877"/>
      <c r="X6" s="877"/>
      <c r="Y6" s="877"/>
      <c r="Z6" s="877"/>
    </row>
    <row r="7" spans="1:26" ht="15.75" thickBot="1" x14ac:dyDescent="0.3">
      <c r="A7" s="877"/>
      <c r="B7" s="882"/>
      <c r="C7" s="894"/>
      <c r="D7" s="895"/>
      <c r="E7" s="895"/>
      <c r="F7" s="895"/>
      <c r="G7" s="895"/>
      <c r="H7" s="896"/>
      <c r="I7" s="883"/>
      <c r="J7" s="892"/>
      <c r="K7" s="892"/>
      <c r="L7" s="883"/>
      <c r="M7" s="883"/>
      <c r="N7" s="883"/>
      <c r="O7" s="886"/>
      <c r="P7" s="877"/>
      <c r="Q7" s="877"/>
      <c r="R7" s="877"/>
      <c r="S7" s="877"/>
      <c r="T7" s="877"/>
      <c r="U7" s="877"/>
      <c r="V7" s="877"/>
      <c r="W7" s="877"/>
      <c r="X7" s="877"/>
      <c r="Y7" s="877"/>
      <c r="Z7" s="877"/>
    </row>
    <row r="8" spans="1:26" ht="16.5" thickTop="1" thickBot="1" x14ac:dyDescent="0.3">
      <c r="A8" s="877"/>
      <c r="B8" s="882"/>
      <c r="C8" s="883"/>
      <c r="D8" s="883"/>
      <c r="E8" s="883"/>
      <c r="F8" s="883"/>
      <c r="G8" s="883"/>
      <c r="H8" s="883"/>
      <c r="I8" s="883"/>
      <c r="J8" s="892"/>
      <c r="K8" s="892"/>
      <c r="L8" s="883"/>
      <c r="M8" s="883"/>
      <c r="N8" s="883"/>
      <c r="O8" s="886"/>
      <c r="P8" s="877"/>
      <c r="Q8" s="877"/>
      <c r="R8" s="877"/>
      <c r="S8" s="877"/>
      <c r="T8" s="877"/>
      <c r="U8" s="877"/>
      <c r="V8" s="877"/>
      <c r="W8" s="877"/>
      <c r="X8" s="877"/>
      <c r="Y8" s="877"/>
      <c r="Z8" s="877"/>
    </row>
    <row r="9" spans="1:26" ht="15.75" thickTop="1" x14ac:dyDescent="0.25">
      <c r="A9" s="877"/>
      <c r="B9" s="882"/>
      <c r="C9" s="887"/>
      <c r="D9" s="888"/>
      <c r="E9" s="888"/>
      <c r="F9" s="888"/>
      <c r="G9" s="888"/>
      <c r="H9" s="889"/>
      <c r="I9" s="883"/>
      <c r="J9" s="887"/>
      <c r="K9" s="888"/>
      <c r="L9" s="888"/>
      <c r="M9" s="888"/>
      <c r="N9" s="889"/>
      <c r="O9" s="886"/>
      <c r="P9" s="877"/>
      <c r="Q9" s="877"/>
      <c r="R9" s="877"/>
      <c r="S9" s="877"/>
      <c r="T9" s="877"/>
      <c r="U9" s="877"/>
      <c r="V9" s="877"/>
      <c r="W9" s="877"/>
      <c r="X9" s="877"/>
      <c r="Y9" s="877"/>
      <c r="Z9" s="877"/>
    </row>
    <row r="10" spans="1:26" x14ac:dyDescent="0.25">
      <c r="A10" s="877"/>
      <c r="B10" s="882"/>
      <c r="C10" s="890"/>
      <c r="D10" s="891" t="str">
        <f>IF($E$6="Deutsch",D103,I103)</f>
        <v>project</v>
      </c>
      <c r="E10" s="931" t="s">
        <v>107</v>
      </c>
      <c r="F10" s="935"/>
      <c r="G10" s="932"/>
      <c r="H10" s="893"/>
      <c r="I10" s="883"/>
      <c r="J10" s="897"/>
      <c r="K10" s="891" t="str">
        <f>IF($E$6="Deutsch",D124,I124)</f>
        <v>system inclination</v>
      </c>
      <c r="L10" s="927">
        <v>10</v>
      </c>
      <c r="M10" s="898"/>
      <c r="N10" s="893"/>
      <c r="O10" s="886"/>
      <c r="P10" s="877"/>
      <c r="Q10" s="877"/>
      <c r="R10" s="877"/>
      <c r="S10" s="877"/>
      <c r="T10" s="877"/>
      <c r="U10" s="877"/>
      <c r="V10" s="877"/>
      <c r="W10" s="877"/>
      <c r="X10" s="877"/>
      <c r="Y10" s="877"/>
      <c r="Z10" s="877"/>
    </row>
    <row r="11" spans="1:26" ht="15.75" thickBot="1" x14ac:dyDescent="0.3">
      <c r="A11" s="877"/>
      <c r="B11" s="882"/>
      <c r="C11" s="890"/>
      <c r="D11" s="891" t="str">
        <f>IF($E$6="Deutsch",D104,I104)</f>
        <v>post code</v>
      </c>
      <c r="E11" s="936">
        <v>2301</v>
      </c>
      <c r="F11" s="937"/>
      <c r="G11" s="938"/>
      <c r="H11" s="893"/>
      <c r="I11" s="883"/>
      <c r="J11" s="899"/>
      <c r="K11" s="895"/>
      <c r="L11" s="895"/>
      <c r="M11" s="895"/>
      <c r="N11" s="896"/>
      <c r="O11" s="886"/>
      <c r="P11" s="877"/>
      <c r="Q11" s="877"/>
      <c r="R11" s="877"/>
      <c r="S11" s="877"/>
      <c r="T11" s="877"/>
      <c r="U11" s="877"/>
      <c r="V11" s="877"/>
      <c r="W11" s="877"/>
      <c r="X11" s="877"/>
      <c r="Y11" s="877"/>
      <c r="Z11" s="877"/>
    </row>
    <row r="12" spans="1:26" ht="15.75" thickTop="1" x14ac:dyDescent="0.25">
      <c r="A12" s="877"/>
      <c r="B12" s="882"/>
      <c r="C12" s="890"/>
      <c r="D12" s="891" t="str">
        <f>IF($E$6="de",D105,I105)</f>
        <v>site</v>
      </c>
      <c r="E12" s="931" t="s">
        <v>174</v>
      </c>
      <c r="F12" s="935"/>
      <c r="G12" s="932"/>
      <c r="H12" s="893"/>
      <c r="I12" s="883"/>
      <c r="J12" s="883"/>
      <c r="K12" s="883"/>
      <c r="L12" s="883"/>
      <c r="M12" s="883"/>
      <c r="N12" s="883"/>
      <c r="O12" s="886"/>
      <c r="P12" s="877"/>
      <c r="Q12" s="877"/>
      <c r="R12" s="877"/>
      <c r="S12" s="877"/>
      <c r="T12" s="877"/>
      <c r="U12" s="877"/>
      <c r="V12" s="877"/>
      <c r="W12" s="877"/>
      <c r="X12" s="877"/>
      <c r="Y12" s="877"/>
      <c r="Z12" s="877"/>
    </row>
    <row r="13" spans="1:26" ht="15.75" thickBot="1" x14ac:dyDescent="0.3">
      <c r="A13" s="877"/>
      <c r="B13" s="882"/>
      <c r="C13" s="890"/>
      <c r="D13" s="891" t="str">
        <f>IF($E$6="Deutsch",D106,I106)</f>
        <v>country</v>
      </c>
      <c r="E13" s="931" t="s">
        <v>177</v>
      </c>
      <c r="F13" s="935"/>
      <c r="G13" s="932"/>
      <c r="H13" s="893"/>
      <c r="I13" s="883"/>
      <c r="J13" s="883"/>
      <c r="K13" s="883"/>
      <c r="L13" s="883"/>
      <c r="M13" s="883"/>
      <c r="N13" s="883"/>
      <c r="O13" s="886"/>
      <c r="P13" s="877"/>
      <c r="Q13" s="877"/>
      <c r="R13" s="877"/>
      <c r="S13" s="877"/>
      <c r="T13" s="877"/>
      <c r="U13" s="877"/>
      <c r="V13" s="877"/>
      <c r="W13" s="877"/>
      <c r="X13" s="877"/>
      <c r="Y13" s="877"/>
      <c r="Z13" s="877"/>
    </row>
    <row r="14" spans="1:26" ht="15.75" thickTop="1" x14ac:dyDescent="0.25">
      <c r="A14" s="877"/>
      <c r="B14" s="882"/>
      <c r="C14" s="890"/>
      <c r="D14" s="891" t="str">
        <f>IF($E$6="Deutsch",D107,I107)</f>
        <v>person in charge Sales</v>
      </c>
      <c r="E14" s="931" t="s">
        <v>175</v>
      </c>
      <c r="F14" s="935"/>
      <c r="G14" s="932"/>
      <c r="H14" s="893"/>
      <c r="I14" s="883"/>
      <c r="J14" s="887"/>
      <c r="K14" s="888"/>
      <c r="L14" s="888"/>
      <c r="M14" s="888"/>
      <c r="N14" s="889"/>
      <c r="O14" s="886"/>
      <c r="P14" s="877"/>
      <c r="Q14" s="877"/>
      <c r="R14" s="877"/>
      <c r="S14" s="877"/>
      <c r="T14" s="877"/>
      <c r="U14" s="877"/>
      <c r="V14" s="877"/>
      <c r="W14" s="877"/>
      <c r="X14" s="877"/>
      <c r="Y14" s="877"/>
      <c r="Z14" s="877"/>
    </row>
    <row r="15" spans="1:26" x14ac:dyDescent="0.25">
      <c r="A15" s="877"/>
      <c r="B15" s="882"/>
      <c r="C15" s="890"/>
      <c r="D15" s="891" t="str">
        <f>IF($E$6="Deutsch",D108,I108)</f>
        <v>person in charge Eng</v>
      </c>
      <c r="E15" s="931" t="s">
        <v>176</v>
      </c>
      <c r="F15" s="935"/>
      <c r="G15" s="932"/>
      <c r="H15" s="893"/>
      <c r="I15" s="883"/>
      <c r="J15" s="897"/>
      <c r="K15" s="900" t="str">
        <f>IF($E$6="Deutsch",D126,I126)</f>
        <v>standard:</v>
      </c>
      <c r="L15" s="931" t="str">
        <f>VLOOKUP(E13,'building data'!M10:Q23,2,FALSE)</f>
        <v>DIN EN 1991-1-4</v>
      </c>
      <c r="M15" s="932"/>
      <c r="N15" s="893"/>
      <c r="O15" s="886"/>
      <c r="P15" s="877"/>
      <c r="Q15" s="877"/>
      <c r="R15" s="877"/>
      <c r="S15" s="877"/>
      <c r="T15" s="877"/>
      <c r="U15" s="877"/>
      <c r="V15" s="877"/>
      <c r="W15" s="877"/>
      <c r="X15" s="877"/>
      <c r="Y15" s="877"/>
      <c r="Z15" s="877"/>
    </row>
    <row r="16" spans="1:26" ht="15.75" thickBot="1" x14ac:dyDescent="0.3">
      <c r="A16" s="877"/>
      <c r="B16" s="882"/>
      <c r="C16" s="894"/>
      <c r="D16" s="895"/>
      <c r="E16" s="895"/>
      <c r="F16" s="895"/>
      <c r="G16" s="895"/>
      <c r="H16" s="896"/>
      <c r="I16" s="883"/>
      <c r="J16" s="899"/>
      <c r="K16" s="895"/>
      <c r="L16" s="895"/>
      <c r="M16" s="895"/>
      <c r="N16" s="896"/>
      <c r="O16" s="886"/>
      <c r="P16" s="877"/>
      <c r="Q16" s="877"/>
      <c r="R16" s="877"/>
      <c r="S16" s="877"/>
      <c r="T16" s="877"/>
      <c r="U16" s="877"/>
      <c r="V16" s="877"/>
      <c r="W16" s="877"/>
      <c r="X16" s="877"/>
      <c r="Y16" s="877"/>
      <c r="Z16" s="877"/>
    </row>
    <row r="17" spans="1:26" ht="16.5" thickTop="1" thickBot="1" x14ac:dyDescent="0.3">
      <c r="A17" s="877"/>
      <c r="B17" s="882"/>
      <c r="C17" s="883"/>
      <c r="D17" s="883"/>
      <c r="E17" s="883"/>
      <c r="F17" s="883"/>
      <c r="G17" s="883"/>
      <c r="H17" s="883"/>
      <c r="I17" s="883"/>
      <c r="J17" s="892"/>
      <c r="K17" s="883"/>
      <c r="L17" s="883"/>
      <c r="M17" s="883"/>
      <c r="N17" s="883"/>
      <c r="O17" s="886"/>
      <c r="P17" s="877"/>
      <c r="Q17" s="877"/>
      <c r="R17" s="877"/>
      <c r="S17" s="877"/>
      <c r="T17" s="877"/>
      <c r="U17" s="877"/>
      <c r="V17" s="877"/>
      <c r="W17" s="877"/>
      <c r="X17" s="877"/>
      <c r="Y17" s="877"/>
      <c r="Z17" s="877"/>
    </row>
    <row r="18" spans="1:26" ht="15.75" thickTop="1" x14ac:dyDescent="0.25">
      <c r="A18" s="877"/>
      <c r="B18" s="882"/>
      <c r="C18" s="887"/>
      <c r="D18" s="888"/>
      <c r="E18" s="888"/>
      <c r="F18" s="888"/>
      <c r="G18" s="888"/>
      <c r="H18" s="889"/>
      <c r="I18" s="883"/>
      <c r="J18" s="901"/>
      <c r="K18" s="888"/>
      <c r="L18" s="888"/>
      <c r="M18" s="888"/>
      <c r="N18" s="889"/>
      <c r="O18" s="886"/>
      <c r="P18" s="877"/>
      <c r="Q18" s="877"/>
      <c r="R18" s="877"/>
      <c r="S18" s="877"/>
      <c r="T18" s="877"/>
      <c r="U18" s="877"/>
      <c r="V18" s="877"/>
      <c r="W18" s="877"/>
      <c r="X18" s="877"/>
      <c r="Y18" s="877"/>
      <c r="Z18" s="877"/>
    </row>
    <row r="19" spans="1:26" x14ac:dyDescent="0.25">
      <c r="A19" s="877"/>
      <c r="B19" s="882"/>
      <c r="C19" s="890"/>
      <c r="D19" s="917" t="str">
        <f t="shared" ref="D19:D26" si="0">IF($E$6="Deutsch",D110,I110)</f>
        <v>building data</v>
      </c>
      <c r="E19" s="933"/>
      <c r="F19" s="934"/>
      <c r="G19" s="903"/>
      <c r="H19" s="893"/>
      <c r="I19" s="904" t="str">
        <f>IF($E$6="Deutsch",D122,I122)</f>
        <v>note that in the input please:</v>
      </c>
      <c r="J19" s="897"/>
      <c r="K19" s="921" t="str">
        <f>IF($E$6="Deutsch",D128,I128)</f>
        <v>module data</v>
      </c>
      <c r="L19" s="903"/>
      <c r="M19" s="903"/>
      <c r="N19" s="893"/>
      <c r="O19" s="886"/>
      <c r="P19" s="877"/>
      <c r="Q19" s="877"/>
      <c r="R19" s="877"/>
      <c r="S19" s="877"/>
      <c r="T19" s="877"/>
      <c r="U19" s="877"/>
      <c r="V19" s="877"/>
      <c r="W19" s="877"/>
      <c r="X19" s="877"/>
      <c r="Y19" s="877"/>
      <c r="Z19" s="877"/>
    </row>
    <row r="20" spans="1:26" x14ac:dyDescent="0.25">
      <c r="A20" s="877"/>
      <c r="B20" s="882"/>
      <c r="C20" s="890"/>
      <c r="D20" s="891" t="str">
        <f t="shared" si="0"/>
        <v xml:space="preserve">lenght (note definition) </v>
      </c>
      <c r="E20" s="876"/>
      <c r="F20" s="906">
        <v>6</v>
      </c>
      <c r="G20" s="907" t="s">
        <v>1</v>
      </c>
      <c r="H20" s="893"/>
      <c r="I20" s="883"/>
      <c r="J20" s="897"/>
      <c r="K20" s="905" t="str">
        <f>IF($E$6="Deutsch",D129,I129)</f>
        <v>module lenght</v>
      </c>
      <c r="L20" s="908">
        <v>1660</v>
      </c>
      <c r="M20" s="907" t="s">
        <v>87</v>
      </c>
      <c r="N20" s="893"/>
      <c r="O20" s="886"/>
      <c r="P20" s="877"/>
      <c r="Q20" s="877"/>
      <c r="R20" s="877"/>
      <c r="S20" s="877"/>
      <c r="T20" s="877"/>
      <c r="U20" s="877"/>
      <c r="V20" s="877"/>
      <c r="W20" s="877"/>
      <c r="X20" s="877"/>
      <c r="Y20" s="877"/>
      <c r="Z20" s="877"/>
    </row>
    <row r="21" spans="1:26" x14ac:dyDescent="0.25">
      <c r="A21" s="877"/>
      <c r="B21" s="882"/>
      <c r="C21" s="890"/>
      <c r="D21" s="891" t="str">
        <f t="shared" si="0"/>
        <v>width</v>
      </c>
      <c r="E21" s="876"/>
      <c r="F21" s="906">
        <v>10</v>
      </c>
      <c r="G21" s="907" t="s">
        <v>1</v>
      </c>
      <c r="H21" s="893"/>
      <c r="I21" s="883"/>
      <c r="J21" s="890"/>
      <c r="K21" s="905" t="str">
        <f>IF($E$6="Deutsch",D130,I130)</f>
        <v>module widht</v>
      </c>
      <c r="L21" s="908">
        <v>990</v>
      </c>
      <c r="M21" s="907" t="s">
        <v>87</v>
      </c>
      <c r="N21" s="893"/>
      <c r="O21" s="886"/>
      <c r="P21" s="877"/>
      <c r="Q21" s="877"/>
      <c r="R21" s="877"/>
      <c r="S21" s="877"/>
      <c r="T21" s="877"/>
      <c r="U21" s="877"/>
      <c r="V21" s="877"/>
      <c r="W21" s="877"/>
      <c r="X21" s="877"/>
      <c r="Y21" s="877"/>
      <c r="Z21" s="877"/>
    </row>
    <row r="22" spans="1:26" x14ac:dyDescent="0.25">
      <c r="A22" s="877"/>
      <c r="B22" s="882"/>
      <c r="C22" s="890"/>
      <c r="D22" s="891" t="str">
        <f t="shared" si="0"/>
        <v>high</v>
      </c>
      <c r="E22" s="876"/>
      <c r="F22" s="906">
        <v>6.5</v>
      </c>
      <c r="G22" s="907" t="s">
        <v>1</v>
      </c>
      <c r="H22" s="893"/>
      <c r="I22" s="883"/>
      <c r="J22" s="897"/>
      <c r="K22" s="905" t="str">
        <f>IF($E$6="Deutsch",D131,I131)</f>
        <v>frame high</v>
      </c>
      <c r="L22" s="908">
        <v>46</v>
      </c>
      <c r="M22" s="907" t="s">
        <v>87</v>
      </c>
      <c r="N22" s="893"/>
      <c r="O22" s="886"/>
      <c r="P22" s="877"/>
      <c r="Q22" s="877"/>
      <c r="R22" s="877"/>
      <c r="S22" s="877"/>
      <c r="T22" s="877"/>
      <c r="U22" s="877"/>
      <c r="V22" s="877"/>
      <c r="W22" s="877"/>
      <c r="X22" s="877"/>
      <c r="Y22" s="877"/>
      <c r="Z22" s="877"/>
    </row>
    <row r="23" spans="1:26" x14ac:dyDescent="0.25">
      <c r="A23" s="877"/>
      <c r="B23" s="882"/>
      <c r="C23" s="890"/>
      <c r="D23" s="891" t="str">
        <f t="shared" si="0"/>
        <v>high neighbor buildings</v>
      </c>
      <c r="E23" s="876"/>
      <c r="F23" s="906">
        <v>4</v>
      </c>
      <c r="G23" s="907" t="s">
        <v>1</v>
      </c>
      <c r="H23" s="893"/>
      <c r="I23" s="883"/>
      <c r="J23" s="897"/>
      <c r="K23" s="905" t="str">
        <f>IF($E$6="Deutsch",D132,I132)</f>
        <v>module weight</v>
      </c>
      <c r="L23" s="908">
        <v>19</v>
      </c>
      <c r="M23" s="907" t="s">
        <v>108</v>
      </c>
      <c r="N23" s="893"/>
      <c r="O23" s="886"/>
      <c r="P23" s="877"/>
      <c r="Q23" s="877"/>
      <c r="R23" s="877"/>
      <c r="S23" s="877"/>
      <c r="T23" s="877"/>
      <c r="U23" s="877"/>
      <c r="V23" s="877"/>
      <c r="W23" s="877"/>
      <c r="X23" s="877"/>
      <c r="Y23" s="877"/>
      <c r="Z23" s="877"/>
    </row>
    <row r="24" spans="1:26" x14ac:dyDescent="0.25">
      <c r="A24" s="877"/>
      <c r="B24" s="882"/>
      <c r="C24" s="890"/>
      <c r="D24" s="891" t="str">
        <f t="shared" si="0"/>
        <v>parapet high</v>
      </c>
      <c r="E24" s="876"/>
      <c r="F24" s="906">
        <v>0</v>
      </c>
      <c r="G24" s="907" t="s">
        <v>1</v>
      </c>
      <c r="H24" s="893"/>
      <c r="I24" s="883"/>
      <c r="J24" s="890"/>
      <c r="K24" s="905"/>
      <c r="L24" s="928"/>
      <c r="M24" s="909"/>
      <c r="N24" s="893"/>
      <c r="O24" s="886"/>
      <c r="P24" s="877"/>
      <c r="Q24" s="877"/>
      <c r="R24" s="877"/>
      <c r="S24" s="877"/>
      <c r="T24" s="877"/>
      <c r="U24" s="877"/>
      <c r="V24" s="877"/>
      <c r="W24" s="877"/>
      <c r="X24" s="877"/>
      <c r="Y24" s="877"/>
      <c r="Z24" s="877"/>
    </row>
    <row r="25" spans="1:26" x14ac:dyDescent="0.25">
      <c r="A25" s="877"/>
      <c r="B25" s="882"/>
      <c r="C25" s="890"/>
      <c r="D25" s="891" t="str">
        <f t="shared" si="0"/>
        <v>sloping of the roof</v>
      </c>
      <c r="E25" s="876"/>
      <c r="F25" s="906">
        <v>5</v>
      </c>
      <c r="G25" s="907" t="s">
        <v>6</v>
      </c>
      <c r="H25" s="893"/>
      <c r="I25" s="883"/>
      <c r="J25" s="890"/>
      <c r="K25" s="891"/>
      <c r="L25" s="883"/>
      <c r="M25" s="883"/>
      <c r="N25" s="893"/>
      <c r="O25" s="886"/>
      <c r="P25" s="877"/>
      <c r="Q25" s="877"/>
      <c r="R25" s="877"/>
      <c r="S25" s="877"/>
      <c r="T25" s="877"/>
      <c r="U25" s="877"/>
      <c r="V25" s="877"/>
      <c r="W25" s="877"/>
      <c r="X25" s="877"/>
      <c r="Y25" s="877"/>
      <c r="Z25" s="877"/>
    </row>
    <row r="26" spans="1:26" ht="15.6" customHeight="1" x14ac:dyDescent="0.25">
      <c r="A26" s="877"/>
      <c r="B26" s="882"/>
      <c r="C26" s="890"/>
      <c r="D26" s="891" t="str">
        <f t="shared" si="0"/>
        <v>Offset distance from roof edges:</v>
      </c>
      <c r="E26" s="883"/>
      <c r="F26" s="926">
        <v>1.5</v>
      </c>
      <c r="G26" s="907" t="s">
        <v>1</v>
      </c>
      <c r="H26" s="893"/>
      <c r="I26" s="883"/>
      <c r="J26" s="890"/>
      <c r="K26" s="905" t="str">
        <f>IF($E$6="Deutsch",D135,I135)</f>
        <v>coefficient of friction</v>
      </c>
      <c r="L26" s="908">
        <v>0.5</v>
      </c>
      <c r="M26" s="907"/>
      <c r="N26" s="893"/>
      <c r="O26" s="886"/>
      <c r="P26" s="877"/>
      <c r="Q26" s="877"/>
      <c r="R26" s="877"/>
      <c r="S26" s="877"/>
      <c r="T26" s="877"/>
      <c r="U26" s="877"/>
      <c r="V26" s="877"/>
      <c r="W26" s="877"/>
      <c r="X26" s="877"/>
      <c r="Y26" s="877"/>
      <c r="Z26" s="877"/>
    </row>
    <row r="27" spans="1:26" x14ac:dyDescent="0.25">
      <c r="A27" s="877"/>
      <c r="B27" s="882"/>
      <c r="C27" s="890"/>
      <c r="D27" s="891"/>
      <c r="E27" s="883"/>
      <c r="F27" s="883"/>
      <c r="G27" s="883"/>
      <c r="H27" s="893"/>
      <c r="I27" s="883"/>
      <c r="J27" s="890"/>
      <c r="K27" s="905"/>
      <c r="L27" s="929"/>
      <c r="M27" s="909"/>
      <c r="N27" s="893"/>
      <c r="O27" s="886"/>
      <c r="P27" s="877"/>
      <c r="Q27" s="877"/>
      <c r="R27" s="877"/>
      <c r="S27" s="877"/>
      <c r="T27" s="877"/>
      <c r="U27" s="877"/>
      <c r="V27" s="877"/>
      <c r="W27" s="877"/>
      <c r="X27" s="877"/>
      <c r="Y27" s="877"/>
      <c r="Z27" s="877"/>
    </row>
    <row r="28" spans="1:26" x14ac:dyDescent="0.25">
      <c r="A28" s="877"/>
      <c r="B28" s="882"/>
      <c r="C28" s="890"/>
      <c r="D28" s="891"/>
      <c r="E28" s="883"/>
      <c r="F28" s="883"/>
      <c r="G28" s="883"/>
      <c r="H28" s="893"/>
      <c r="I28" s="883"/>
      <c r="J28" s="890"/>
      <c r="K28" s="905"/>
      <c r="L28" s="910"/>
      <c r="M28" s="883"/>
      <c r="N28" s="893"/>
      <c r="O28" s="886"/>
      <c r="P28" s="877"/>
      <c r="Q28" s="877"/>
      <c r="R28" s="877"/>
      <c r="S28" s="877"/>
      <c r="T28" s="877"/>
      <c r="U28" s="877"/>
      <c r="V28" s="877"/>
      <c r="W28" s="877"/>
      <c r="X28" s="877"/>
      <c r="Y28" s="877"/>
      <c r="Z28" s="877"/>
    </row>
    <row r="29" spans="1:26" x14ac:dyDescent="0.25">
      <c r="A29" s="877"/>
      <c r="B29" s="882"/>
      <c r="C29" s="890"/>
      <c r="D29" s="891"/>
      <c r="E29" s="883"/>
      <c r="F29" s="883"/>
      <c r="G29" s="883"/>
      <c r="H29" s="893"/>
      <c r="I29" s="883"/>
      <c r="J29" s="890"/>
      <c r="K29" s="905"/>
      <c r="L29" s="910"/>
      <c r="M29" s="883"/>
      <c r="N29" s="893"/>
      <c r="O29" s="886"/>
      <c r="P29" s="877"/>
      <c r="Q29" s="877"/>
      <c r="R29" s="877"/>
      <c r="S29" s="877"/>
      <c r="T29" s="877"/>
      <c r="U29" s="877"/>
      <c r="V29" s="877"/>
      <c r="W29" s="877"/>
      <c r="X29" s="877"/>
      <c r="Y29" s="877"/>
      <c r="Z29" s="877"/>
    </row>
    <row r="30" spans="1:26" ht="15.75" thickBot="1" x14ac:dyDescent="0.3">
      <c r="A30" s="877"/>
      <c r="B30" s="882"/>
      <c r="C30" s="894"/>
      <c r="D30" s="895"/>
      <c r="E30" s="895"/>
      <c r="F30" s="895"/>
      <c r="G30" s="895"/>
      <c r="H30" s="896"/>
      <c r="I30" s="883"/>
      <c r="J30" s="894"/>
      <c r="K30" s="895"/>
      <c r="L30" s="895"/>
      <c r="M30" s="895"/>
      <c r="N30" s="896"/>
      <c r="O30" s="886"/>
      <c r="P30" s="877"/>
      <c r="Q30" s="877"/>
      <c r="R30" s="877"/>
      <c r="S30" s="877"/>
      <c r="T30" s="877"/>
      <c r="U30" s="877"/>
      <c r="V30" s="877"/>
      <c r="W30" s="877"/>
      <c r="X30" s="877"/>
      <c r="Y30" s="877"/>
      <c r="Z30" s="877"/>
    </row>
    <row r="31" spans="1:26" ht="22.9" customHeight="1" thickTop="1" thickBot="1" x14ac:dyDescent="0.3">
      <c r="A31" s="877"/>
      <c r="B31" s="911"/>
      <c r="C31" s="912"/>
      <c r="D31" s="912"/>
      <c r="E31" s="912"/>
      <c r="F31" s="912"/>
      <c r="G31" s="912"/>
      <c r="H31" s="912"/>
      <c r="I31" s="912"/>
      <c r="J31" s="912"/>
      <c r="K31" s="912"/>
      <c r="L31" s="912"/>
      <c r="M31" s="912"/>
      <c r="N31" s="912"/>
      <c r="O31" s="913"/>
      <c r="P31" s="877"/>
      <c r="Q31" s="877"/>
      <c r="R31" s="877"/>
      <c r="S31" s="877"/>
      <c r="T31" s="877"/>
      <c r="U31" s="877"/>
      <c r="V31" s="877"/>
      <c r="W31" s="877"/>
      <c r="X31" s="877"/>
      <c r="Y31" s="877"/>
      <c r="Z31" s="877"/>
    </row>
    <row r="32" spans="1:26" ht="15.75" thickTop="1" x14ac:dyDescent="0.25">
      <c r="A32" s="877"/>
      <c r="B32" s="877"/>
      <c r="C32" s="877"/>
      <c r="D32" s="877"/>
      <c r="E32" s="877"/>
      <c r="F32" s="877"/>
      <c r="G32" s="877"/>
      <c r="H32" s="877"/>
      <c r="I32" s="877"/>
      <c r="J32" s="877"/>
      <c r="K32" s="877"/>
      <c r="L32" s="877"/>
      <c r="M32" s="877"/>
      <c r="N32" s="877"/>
      <c r="O32" s="877"/>
      <c r="P32" s="877"/>
      <c r="Q32" s="877"/>
      <c r="R32" s="877"/>
      <c r="S32" s="877"/>
      <c r="T32" s="877"/>
      <c r="U32" s="877"/>
      <c r="V32" s="877"/>
      <c r="W32" s="877"/>
      <c r="X32" s="877"/>
      <c r="Y32" s="877"/>
      <c r="Z32" s="877"/>
    </row>
    <row r="33" spans="1:26" x14ac:dyDescent="0.25">
      <c r="A33" s="877"/>
      <c r="B33" s="877"/>
      <c r="C33" s="877"/>
      <c r="D33" s="877"/>
      <c r="E33" s="877"/>
      <c r="F33" s="877"/>
      <c r="G33" s="877"/>
      <c r="H33" s="877"/>
      <c r="I33" s="877"/>
      <c r="J33" s="877"/>
      <c r="K33" s="877"/>
      <c r="L33" s="877"/>
      <c r="M33" s="877"/>
      <c r="N33" s="877"/>
      <c r="O33" s="877"/>
      <c r="P33" s="877"/>
      <c r="Q33" s="877"/>
      <c r="R33" s="877"/>
      <c r="S33" s="877"/>
      <c r="T33" s="877"/>
      <c r="U33" s="877"/>
      <c r="V33" s="877"/>
      <c r="W33" s="877"/>
      <c r="X33" s="877"/>
      <c r="Y33" s="877"/>
      <c r="Z33" s="877"/>
    </row>
    <row r="34" spans="1:26" x14ac:dyDescent="0.25">
      <c r="A34" s="877"/>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row>
    <row r="35" spans="1:26" x14ac:dyDescent="0.25">
      <c r="A35" s="877"/>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row>
    <row r="36" spans="1:26" x14ac:dyDescent="0.25">
      <c r="A36" s="877"/>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row>
    <row r="37" spans="1:26" x14ac:dyDescent="0.25">
      <c r="A37" s="877"/>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row>
    <row r="38" spans="1:26" x14ac:dyDescent="0.25">
      <c r="A38" s="877"/>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row>
    <row r="39" spans="1:26" x14ac:dyDescent="0.25">
      <c r="A39" s="877"/>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row>
    <row r="40" spans="1:26" x14ac:dyDescent="0.25">
      <c r="A40" s="877"/>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row>
    <row r="41" spans="1:26" x14ac:dyDescent="0.25">
      <c r="A41" s="877"/>
      <c r="B41" s="877"/>
      <c r="C41" s="877"/>
      <c r="D41" s="877"/>
      <c r="E41" s="877"/>
      <c r="F41" s="877"/>
      <c r="G41" s="877"/>
      <c r="H41" s="877"/>
      <c r="I41" s="877"/>
      <c r="J41" s="877"/>
      <c r="K41" s="877"/>
      <c r="L41" s="877"/>
      <c r="M41" s="877"/>
      <c r="N41" s="877"/>
      <c r="O41" s="877"/>
      <c r="P41" s="877"/>
      <c r="Q41" s="877"/>
      <c r="R41" s="877"/>
      <c r="S41" s="877"/>
      <c r="T41" s="877"/>
      <c r="U41" s="877"/>
      <c r="V41" s="877"/>
      <c r="W41" s="877"/>
      <c r="X41" s="877"/>
      <c r="Y41" s="877"/>
      <c r="Z41" s="877"/>
    </row>
    <row r="42" spans="1:26" x14ac:dyDescent="0.25">
      <c r="A42" s="877"/>
      <c r="B42" s="877"/>
      <c r="C42" s="877"/>
      <c r="D42" s="877"/>
      <c r="E42" s="877"/>
      <c r="F42" s="877"/>
      <c r="G42" s="877"/>
      <c r="H42" s="877"/>
      <c r="I42" s="877"/>
      <c r="J42" s="877"/>
      <c r="K42" s="877"/>
      <c r="L42" s="877"/>
      <c r="M42" s="877"/>
      <c r="N42" s="877"/>
      <c r="O42" s="877"/>
      <c r="P42" s="877"/>
      <c r="Q42" s="877"/>
      <c r="R42" s="877"/>
      <c r="S42" s="877"/>
      <c r="T42" s="877"/>
      <c r="U42" s="877"/>
      <c r="V42" s="877"/>
      <c r="W42" s="877"/>
      <c r="X42" s="877"/>
      <c r="Y42" s="877"/>
      <c r="Z42" s="877"/>
    </row>
    <row r="43" spans="1:26" x14ac:dyDescent="0.25">
      <c r="A43" s="877"/>
      <c r="B43" s="877"/>
      <c r="C43" s="877"/>
      <c r="D43" s="877"/>
      <c r="E43" s="877"/>
      <c r="F43" s="877"/>
      <c r="G43" s="877"/>
      <c r="H43" s="877"/>
      <c r="I43" s="877"/>
      <c r="J43" s="877"/>
      <c r="K43" s="877"/>
      <c r="L43" s="877"/>
      <c r="M43" s="877"/>
      <c r="N43" s="877"/>
      <c r="O43" s="877"/>
      <c r="P43" s="877"/>
      <c r="Q43" s="877"/>
      <c r="R43" s="877"/>
      <c r="S43" s="877"/>
      <c r="T43" s="877"/>
      <c r="U43" s="877"/>
      <c r="V43" s="877"/>
      <c r="W43" s="877"/>
      <c r="X43" s="877"/>
      <c r="Y43" s="877"/>
      <c r="Z43" s="877"/>
    </row>
    <row r="44" spans="1:26" x14ac:dyDescent="0.25">
      <c r="A44" s="877"/>
      <c r="B44" s="877"/>
      <c r="C44" s="877"/>
      <c r="D44" s="877"/>
      <c r="E44" s="877"/>
      <c r="F44" s="877"/>
      <c r="G44" s="877"/>
      <c r="H44" s="877"/>
      <c r="I44" s="877"/>
      <c r="J44" s="877"/>
      <c r="K44" s="877"/>
      <c r="L44" s="877"/>
      <c r="M44" s="877"/>
      <c r="N44" s="877"/>
      <c r="O44" s="877"/>
      <c r="P44" s="877"/>
      <c r="Q44" s="877"/>
      <c r="R44" s="877"/>
      <c r="S44" s="877"/>
      <c r="T44" s="877"/>
      <c r="U44" s="877"/>
      <c r="V44" s="877"/>
      <c r="W44" s="877"/>
      <c r="X44" s="877"/>
      <c r="Y44" s="877"/>
      <c r="Z44" s="877"/>
    </row>
    <row r="45" spans="1:26" x14ac:dyDescent="0.25">
      <c r="A45" s="877"/>
      <c r="B45" s="877"/>
      <c r="C45" s="877"/>
      <c r="D45" s="877"/>
      <c r="E45" s="877"/>
      <c r="F45" s="877"/>
      <c r="G45" s="877"/>
      <c r="H45" s="877"/>
      <c r="I45" s="877"/>
      <c r="J45" s="877"/>
      <c r="K45" s="877"/>
      <c r="L45" s="877"/>
      <c r="M45" s="877"/>
      <c r="N45" s="877"/>
      <c r="O45" s="877"/>
      <c r="P45" s="877"/>
      <c r="Q45" s="877"/>
      <c r="R45" s="877"/>
      <c r="S45" s="877"/>
      <c r="T45" s="877"/>
      <c r="U45" s="877"/>
      <c r="V45" s="877"/>
      <c r="W45" s="877"/>
      <c r="X45" s="877"/>
      <c r="Y45" s="877"/>
      <c r="Z45" s="877"/>
    </row>
    <row r="46" spans="1:26" x14ac:dyDescent="0.25">
      <c r="A46" s="877"/>
      <c r="B46" s="877"/>
      <c r="C46" s="877"/>
      <c r="D46" s="877"/>
      <c r="E46" s="877"/>
      <c r="F46" s="877"/>
      <c r="G46" s="877"/>
      <c r="H46" s="877"/>
      <c r="I46" s="877"/>
      <c r="J46" s="877"/>
      <c r="K46" s="877"/>
      <c r="L46" s="877"/>
      <c r="M46" s="877"/>
      <c r="N46" s="877"/>
      <c r="O46" s="877"/>
      <c r="P46" s="877"/>
      <c r="Q46" s="877"/>
      <c r="R46" s="877"/>
      <c r="S46" s="877"/>
      <c r="T46" s="877"/>
      <c r="U46" s="877"/>
      <c r="V46" s="877"/>
      <c r="W46" s="877"/>
      <c r="X46" s="877"/>
      <c r="Y46" s="877"/>
      <c r="Z46" s="877"/>
    </row>
    <row r="47" spans="1:26" x14ac:dyDescent="0.25">
      <c r="A47" s="877"/>
      <c r="B47" s="877"/>
      <c r="C47" s="877"/>
      <c r="D47" s="877"/>
      <c r="E47" s="877"/>
      <c r="F47" s="877"/>
      <c r="G47" s="877"/>
      <c r="H47" s="877"/>
      <c r="I47" s="877"/>
      <c r="J47" s="877"/>
      <c r="K47" s="877"/>
      <c r="L47" s="877"/>
      <c r="M47" s="877"/>
      <c r="N47" s="877"/>
      <c r="O47" s="877"/>
      <c r="P47" s="877"/>
      <c r="Q47" s="877"/>
      <c r="R47" s="877"/>
      <c r="S47" s="877"/>
      <c r="T47" s="877"/>
      <c r="U47" s="877"/>
      <c r="V47" s="877"/>
      <c r="W47" s="877"/>
      <c r="X47" s="877"/>
      <c r="Y47" s="877"/>
      <c r="Z47" s="877"/>
    </row>
    <row r="48" spans="1:26" x14ac:dyDescent="0.25">
      <c r="A48" s="877"/>
      <c r="B48" s="877"/>
      <c r="C48" s="877"/>
      <c r="D48" s="877"/>
      <c r="E48" s="877"/>
      <c r="F48" s="877"/>
      <c r="G48" s="877"/>
      <c r="H48" s="877"/>
      <c r="I48" s="877"/>
      <c r="J48" s="877"/>
      <c r="K48" s="877"/>
      <c r="L48" s="877"/>
      <c r="M48" s="877"/>
      <c r="N48" s="877"/>
      <c r="O48" s="877"/>
      <c r="P48" s="877"/>
      <c r="Q48" s="877"/>
      <c r="R48" s="877"/>
      <c r="S48" s="877"/>
      <c r="T48" s="877"/>
      <c r="U48" s="877"/>
      <c r="V48" s="877"/>
      <c r="W48" s="877"/>
      <c r="X48" s="877"/>
      <c r="Y48" s="877"/>
      <c r="Z48" s="877"/>
    </row>
    <row r="49" spans="1:26" x14ac:dyDescent="0.25">
      <c r="A49" s="877"/>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row>
    <row r="50" spans="1:26" x14ac:dyDescent="0.25">
      <c r="A50" s="877"/>
      <c r="B50" s="877"/>
      <c r="C50" s="877"/>
      <c r="D50" s="877"/>
      <c r="E50" s="877"/>
      <c r="F50" s="877"/>
      <c r="G50" s="877"/>
      <c r="H50" s="877"/>
      <c r="I50" s="877"/>
      <c r="J50" s="877"/>
      <c r="K50" s="877"/>
      <c r="L50" s="877"/>
      <c r="M50" s="877"/>
      <c r="N50" s="877"/>
      <c r="O50" s="877"/>
      <c r="P50" s="877"/>
      <c r="Q50" s="877"/>
      <c r="R50" s="877"/>
      <c r="S50" s="877"/>
      <c r="T50" s="877"/>
      <c r="U50" s="877"/>
      <c r="V50" s="877"/>
      <c r="W50" s="877"/>
      <c r="X50" s="877"/>
      <c r="Y50" s="877"/>
      <c r="Z50" s="877"/>
    </row>
    <row r="51" spans="1:26" x14ac:dyDescent="0.25">
      <c r="A51" s="877"/>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row>
    <row r="52" spans="1:26" x14ac:dyDescent="0.25">
      <c r="A52" s="877"/>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row>
    <row r="53" spans="1:26" x14ac:dyDescent="0.25">
      <c r="A53" s="877"/>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row>
    <row r="54" spans="1:26" x14ac:dyDescent="0.25">
      <c r="A54" s="877"/>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row>
    <row r="55" spans="1:26" x14ac:dyDescent="0.25">
      <c r="A55" s="877"/>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row>
    <row r="56" spans="1:26" x14ac:dyDescent="0.25">
      <c r="A56" s="877"/>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row>
    <row r="57" spans="1:26" x14ac:dyDescent="0.25">
      <c r="A57" s="877"/>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row>
    <row r="58" spans="1:26" x14ac:dyDescent="0.25">
      <c r="A58" s="877"/>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row>
    <row r="59" spans="1:26" x14ac:dyDescent="0.25">
      <c r="A59" s="877"/>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row>
    <row r="60" spans="1:26" x14ac:dyDescent="0.25">
      <c r="A60" s="877"/>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row>
    <row r="61" spans="1:26" x14ac:dyDescent="0.25">
      <c r="A61" s="877"/>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77"/>
    </row>
    <row r="62" spans="1:26" x14ac:dyDescent="0.25">
      <c r="A62" s="877"/>
      <c r="B62" s="877"/>
      <c r="C62" s="877"/>
      <c r="D62" s="877"/>
      <c r="E62" s="877"/>
      <c r="F62" s="877"/>
      <c r="G62" s="877"/>
      <c r="H62" s="877"/>
      <c r="I62" s="877"/>
      <c r="J62" s="877"/>
      <c r="K62" s="877"/>
      <c r="L62" s="877"/>
      <c r="M62" s="877"/>
      <c r="N62" s="877"/>
      <c r="O62" s="877"/>
      <c r="P62" s="877"/>
      <c r="Q62" s="877"/>
      <c r="R62" s="877"/>
      <c r="S62" s="877"/>
      <c r="T62" s="877"/>
      <c r="U62" s="877"/>
      <c r="V62" s="877"/>
      <c r="W62" s="877"/>
      <c r="X62" s="877"/>
      <c r="Y62" s="877"/>
      <c r="Z62" s="877"/>
    </row>
    <row r="63" spans="1:26" x14ac:dyDescent="0.25">
      <c r="A63" s="877"/>
      <c r="B63" s="877"/>
      <c r="C63" s="877"/>
      <c r="D63" s="877"/>
      <c r="E63" s="877"/>
      <c r="F63" s="877"/>
      <c r="G63" s="877"/>
      <c r="H63" s="877"/>
      <c r="I63" s="877"/>
      <c r="J63" s="877"/>
      <c r="K63" s="877"/>
      <c r="L63" s="877"/>
      <c r="M63" s="877"/>
      <c r="N63" s="877"/>
      <c r="O63" s="877"/>
      <c r="P63" s="877"/>
      <c r="Q63" s="877"/>
      <c r="R63" s="877"/>
      <c r="S63" s="877"/>
      <c r="T63" s="877"/>
      <c r="U63" s="877"/>
      <c r="V63" s="877"/>
      <c r="W63" s="877"/>
      <c r="X63" s="877"/>
      <c r="Y63" s="877"/>
      <c r="Z63" s="877"/>
    </row>
    <row r="64" spans="1:26" x14ac:dyDescent="0.25">
      <c r="A64" s="877"/>
      <c r="B64" s="877"/>
      <c r="C64" s="877"/>
      <c r="D64" s="877"/>
      <c r="E64" s="877"/>
      <c r="F64" s="877"/>
      <c r="G64" s="877"/>
      <c r="H64" s="877"/>
      <c r="I64" s="877"/>
      <c r="J64" s="877"/>
      <c r="K64" s="877"/>
      <c r="L64" s="877"/>
      <c r="M64" s="877"/>
      <c r="N64" s="877"/>
      <c r="O64" s="877"/>
      <c r="P64" s="877"/>
      <c r="Q64" s="877"/>
      <c r="R64" s="877"/>
      <c r="S64" s="877"/>
      <c r="T64" s="877"/>
      <c r="U64" s="877"/>
      <c r="V64" s="877"/>
      <c r="W64" s="877"/>
      <c r="X64" s="877"/>
      <c r="Y64" s="877"/>
      <c r="Z64" s="877"/>
    </row>
    <row r="65" spans="1:26" x14ac:dyDescent="0.25">
      <c r="A65" s="877"/>
      <c r="B65" s="877"/>
      <c r="C65" s="877"/>
      <c r="D65" s="877"/>
      <c r="E65" s="877"/>
      <c r="F65" s="877"/>
      <c r="G65" s="877"/>
      <c r="H65" s="877"/>
      <c r="I65" s="877"/>
      <c r="J65" s="877"/>
      <c r="K65" s="877"/>
      <c r="L65" s="877"/>
      <c r="M65" s="877"/>
      <c r="N65" s="877"/>
      <c r="O65" s="877"/>
      <c r="P65" s="877"/>
      <c r="Q65" s="877"/>
      <c r="R65" s="877"/>
      <c r="S65" s="877"/>
      <c r="T65" s="877"/>
      <c r="U65" s="877"/>
      <c r="V65" s="877"/>
      <c r="W65" s="877"/>
      <c r="X65" s="877"/>
      <c r="Y65" s="877"/>
      <c r="Z65" s="877"/>
    </row>
    <row r="66" spans="1:26" x14ac:dyDescent="0.25">
      <c r="A66" s="877"/>
      <c r="B66" s="877"/>
      <c r="C66" s="877"/>
      <c r="D66" s="877"/>
      <c r="E66" s="877"/>
      <c r="F66" s="877"/>
      <c r="G66" s="877"/>
      <c r="H66" s="877"/>
      <c r="I66" s="877"/>
      <c r="J66" s="877"/>
      <c r="K66" s="877"/>
      <c r="L66" s="877"/>
      <c r="M66" s="877"/>
      <c r="N66" s="877"/>
      <c r="O66" s="877"/>
      <c r="P66" s="877"/>
      <c r="Q66" s="877"/>
      <c r="R66" s="877"/>
      <c r="S66" s="877"/>
      <c r="T66" s="877"/>
      <c r="U66" s="877"/>
      <c r="V66" s="877"/>
      <c r="W66" s="877"/>
      <c r="X66" s="877"/>
      <c r="Y66" s="877"/>
      <c r="Z66" s="877"/>
    </row>
    <row r="67" spans="1:26" x14ac:dyDescent="0.25">
      <c r="A67" s="877"/>
      <c r="B67" s="877"/>
      <c r="C67" s="877"/>
      <c r="D67" s="877"/>
      <c r="E67" s="877"/>
      <c r="F67" s="877"/>
      <c r="G67" s="877"/>
      <c r="H67" s="877"/>
      <c r="I67" s="877"/>
      <c r="J67" s="877"/>
      <c r="K67" s="877"/>
      <c r="L67" s="877"/>
      <c r="M67" s="877"/>
      <c r="N67" s="877"/>
      <c r="O67" s="877"/>
      <c r="P67" s="877"/>
      <c r="Q67" s="877"/>
      <c r="R67" s="877"/>
      <c r="S67" s="877"/>
      <c r="T67" s="877"/>
      <c r="U67" s="877"/>
      <c r="V67" s="877"/>
      <c r="W67" s="877"/>
      <c r="X67" s="877"/>
      <c r="Y67" s="877"/>
      <c r="Z67" s="877"/>
    </row>
    <row r="68" spans="1:26" x14ac:dyDescent="0.25">
      <c r="A68" s="877"/>
      <c r="B68" s="877"/>
      <c r="C68" s="877"/>
      <c r="D68" s="877"/>
      <c r="E68" s="877"/>
      <c r="F68" s="877"/>
      <c r="G68" s="877"/>
      <c r="H68" s="877"/>
      <c r="I68" s="877"/>
      <c r="J68" s="877"/>
      <c r="K68" s="877"/>
      <c r="L68" s="877"/>
      <c r="M68" s="877"/>
      <c r="N68" s="877"/>
      <c r="O68" s="877"/>
      <c r="P68" s="877"/>
      <c r="Q68" s="877"/>
      <c r="R68" s="877"/>
      <c r="S68" s="877"/>
      <c r="T68" s="877"/>
      <c r="U68" s="877"/>
      <c r="V68" s="877"/>
      <c r="W68" s="877"/>
      <c r="X68" s="877"/>
      <c r="Y68" s="877"/>
      <c r="Z68" s="877"/>
    </row>
    <row r="69" spans="1:26" x14ac:dyDescent="0.25">
      <c r="A69" s="877"/>
      <c r="B69" s="877"/>
      <c r="C69" s="877"/>
      <c r="D69" s="877"/>
      <c r="E69" s="877"/>
      <c r="F69" s="877"/>
      <c r="G69" s="877"/>
      <c r="H69" s="877"/>
      <c r="I69" s="877"/>
      <c r="J69" s="877"/>
      <c r="K69" s="877"/>
      <c r="L69" s="877"/>
      <c r="M69" s="877"/>
      <c r="N69" s="877"/>
      <c r="O69" s="877"/>
      <c r="P69" s="877"/>
      <c r="Q69" s="877"/>
      <c r="R69" s="877"/>
      <c r="S69" s="877"/>
      <c r="T69" s="877"/>
      <c r="U69" s="877"/>
      <c r="V69" s="877"/>
      <c r="W69" s="877"/>
      <c r="X69" s="877"/>
      <c r="Y69" s="877"/>
      <c r="Z69" s="877"/>
    </row>
    <row r="70" spans="1:26" x14ac:dyDescent="0.25">
      <c r="A70" s="877"/>
      <c r="B70" s="877"/>
      <c r="C70" s="877"/>
      <c r="D70" s="877"/>
      <c r="E70" s="877"/>
      <c r="F70" s="877"/>
      <c r="G70" s="877"/>
      <c r="H70" s="877"/>
      <c r="I70" s="877"/>
      <c r="J70" s="877"/>
      <c r="K70" s="877"/>
      <c r="L70" s="877"/>
      <c r="M70" s="877"/>
      <c r="N70" s="877"/>
      <c r="O70" s="877"/>
      <c r="P70" s="877"/>
      <c r="Q70" s="877"/>
      <c r="R70" s="877"/>
      <c r="S70" s="877"/>
      <c r="T70" s="877"/>
      <c r="U70" s="877"/>
      <c r="V70" s="877"/>
      <c r="W70" s="877"/>
      <c r="X70" s="877"/>
      <c r="Y70" s="877"/>
      <c r="Z70" s="877"/>
    </row>
    <row r="71" spans="1:26" x14ac:dyDescent="0.25">
      <c r="A71" s="877"/>
      <c r="B71" s="877"/>
      <c r="C71" s="877"/>
      <c r="D71" s="877"/>
      <c r="E71" s="877"/>
      <c r="F71" s="877"/>
      <c r="G71" s="877"/>
      <c r="H71" s="877"/>
      <c r="I71" s="877"/>
      <c r="J71" s="877"/>
      <c r="K71" s="877"/>
      <c r="L71" s="877"/>
      <c r="M71" s="877"/>
      <c r="N71" s="877"/>
      <c r="O71" s="877"/>
      <c r="P71" s="877"/>
      <c r="Q71" s="877"/>
      <c r="R71" s="877"/>
      <c r="S71" s="877"/>
      <c r="T71" s="877"/>
      <c r="U71" s="877"/>
      <c r="V71" s="877"/>
      <c r="W71" s="877"/>
      <c r="X71" s="877"/>
      <c r="Y71" s="877"/>
      <c r="Z71" s="877"/>
    </row>
    <row r="72" spans="1:26" x14ac:dyDescent="0.25">
      <c r="A72" s="877"/>
      <c r="B72" s="877"/>
      <c r="C72" s="877"/>
      <c r="D72" s="877"/>
      <c r="E72" s="877"/>
      <c r="F72" s="877"/>
      <c r="G72" s="877"/>
      <c r="H72" s="877"/>
      <c r="I72" s="877"/>
      <c r="J72" s="877"/>
      <c r="K72" s="877"/>
      <c r="L72" s="877"/>
      <c r="M72" s="877"/>
      <c r="N72" s="877"/>
      <c r="O72" s="877"/>
      <c r="P72" s="877"/>
      <c r="Q72" s="877"/>
      <c r="R72" s="877"/>
      <c r="S72" s="877"/>
      <c r="T72" s="877"/>
      <c r="U72" s="877"/>
      <c r="V72" s="877"/>
      <c r="W72" s="877"/>
      <c r="X72" s="877"/>
      <c r="Y72" s="877"/>
      <c r="Z72" s="877"/>
    </row>
    <row r="73" spans="1:26" x14ac:dyDescent="0.25">
      <c r="A73" s="877"/>
      <c r="B73" s="877"/>
      <c r="C73" s="877"/>
      <c r="D73" s="877"/>
      <c r="E73" s="877"/>
      <c r="F73" s="877"/>
      <c r="G73" s="877"/>
      <c r="H73" s="877"/>
      <c r="I73" s="877"/>
      <c r="J73" s="877"/>
      <c r="K73" s="877"/>
      <c r="L73" s="877"/>
      <c r="M73" s="877"/>
      <c r="N73" s="877"/>
      <c r="O73" s="877"/>
      <c r="P73" s="877"/>
      <c r="Q73" s="877"/>
      <c r="R73" s="877"/>
      <c r="S73" s="877"/>
      <c r="T73" s="877"/>
      <c r="U73" s="877"/>
      <c r="V73" s="877"/>
      <c r="W73" s="877"/>
      <c r="X73" s="877"/>
      <c r="Y73" s="877"/>
      <c r="Z73" s="877"/>
    </row>
    <row r="74" spans="1:26" x14ac:dyDescent="0.25">
      <c r="A74" s="877"/>
      <c r="B74" s="877"/>
      <c r="C74" s="877"/>
      <c r="D74" s="877"/>
      <c r="E74" s="877"/>
      <c r="F74" s="877"/>
      <c r="G74" s="877"/>
      <c r="H74" s="877"/>
      <c r="I74" s="877"/>
      <c r="J74" s="877"/>
      <c r="K74" s="877"/>
      <c r="L74" s="877"/>
      <c r="M74" s="877"/>
      <c r="N74" s="877"/>
      <c r="O74" s="877"/>
      <c r="P74" s="877"/>
      <c r="Q74" s="877"/>
      <c r="R74" s="877"/>
      <c r="S74" s="877"/>
      <c r="T74" s="877"/>
      <c r="U74" s="877"/>
      <c r="V74" s="877"/>
      <c r="W74" s="877"/>
      <c r="X74" s="877"/>
      <c r="Y74" s="877"/>
      <c r="Z74" s="877"/>
    </row>
    <row r="75" spans="1:26" x14ac:dyDescent="0.25">
      <c r="A75" s="877"/>
      <c r="B75" s="877"/>
      <c r="C75" s="877"/>
      <c r="D75" s="877"/>
      <c r="E75" s="877"/>
      <c r="F75" s="877"/>
      <c r="G75" s="877"/>
      <c r="H75" s="877"/>
      <c r="I75" s="877"/>
      <c r="J75" s="877"/>
      <c r="K75" s="877"/>
      <c r="L75" s="877"/>
      <c r="M75" s="877"/>
      <c r="N75" s="877"/>
      <c r="O75" s="877"/>
      <c r="P75" s="877"/>
      <c r="Q75" s="877"/>
      <c r="R75" s="877"/>
      <c r="S75" s="877"/>
      <c r="T75" s="877"/>
      <c r="U75" s="877"/>
      <c r="V75" s="877"/>
      <c r="W75" s="877"/>
      <c r="X75" s="877"/>
      <c r="Y75" s="877"/>
      <c r="Z75" s="877"/>
    </row>
    <row r="76" spans="1:26" x14ac:dyDescent="0.25">
      <c r="A76" s="877"/>
      <c r="B76" s="877"/>
      <c r="C76" s="877"/>
      <c r="D76" s="877"/>
      <c r="E76" s="877"/>
      <c r="F76" s="877"/>
      <c r="G76" s="877"/>
      <c r="H76" s="877"/>
      <c r="I76" s="877"/>
      <c r="J76" s="877"/>
      <c r="K76" s="877"/>
      <c r="L76" s="877"/>
      <c r="M76" s="877"/>
      <c r="N76" s="877"/>
      <c r="O76" s="877"/>
      <c r="P76" s="877"/>
      <c r="Q76" s="877"/>
      <c r="R76" s="877"/>
      <c r="S76" s="877"/>
      <c r="T76" s="877"/>
      <c r="U76" s="877"/>
      <c r="V76" s="877"/>
      <c r="W76" s="877"/>
      <c r="X76" s="877"/>
      <c r="Y76" s="877"/>
      <c r="Z76" s="877"/>
    </row>
    <row r="77" spans="1:26" x14ac:dyDescent="0.25">
      <c r="A77" s="877"/>
      <c r="B77" s="877"/>
      <c r="C77" s="877"/>
      <c r="D77" s="877"/>
      <c r="E77" s="877"/>
      <c r="F77" s="877"/>
      <c r="G77" s="877"/>
      <c r="H77" s="877"/>
      <c r="I77" s="877"/>
      <c r="J77" s="877"/>
      <c r="K77" s="877"/>
      <c r="L77" s="877"/>
      <c r="M77" s="877"/>
      <c r="N77" s="877"/>
      <c r="O77" s="877"/>
      <c r="P77" s="877"/>
      <c r="Q77" s="877"/>
      <c r="R77" s="877"/>
      <c r="S77" s="877"/>
      <c r="T77" s="877"/>
      <c r="U77" s="877"/>
      <c r="V77" s="877"/>
      <c r="W77" s="877"/>
      <c r="X77" s="877"/>
      <c r="Y77" s="877"/>
      <c r="Z77" s="877"/>
    </row>
    <row r="78" spans="1:26" x14ac:dyDescent="0.25">
      <c r="A78" s="877"/>
      <c r="B78" s="877"/>
      <c r="C78" s="877"/>
      <c r="D78" s="877"/>
      <c r="E78" s="877"/>
      <c r="F78" s="877"/>
      <c r="G78" s="877"/>
      <c r="H78" s="877"/>
      <c r="I78" s="877"/>
      <c r="J78" s="877"/>
      <c r="K78" s="877"/>
      <c r="L78" s="877"/>
      <c r="M78" s="877"/>
      <c r="N78" s="877"/>
      <c r="O78" s="877"/>
      <c r="P78" s="877"/>
      <c r="Q78" s="877"/>
      <c r="R78" s="877"/>
      <c r="S78" s="877"/>
      <c r="T78" s="877"/>
      <c r="U78" s="877"/>
      <c r="V78" s="877"/>
      <c r="W78" s="877"/>
      <c r="X78" s="877"/>
      <c r="Y78" s="877"/>
      <c r="Z78" s="877"/>
    </row>
    <row r="79" spans="1:26" x14ac:dyDescent="0.25">
      <c r="A79" s="877"/>
      <c r="B79" s="877"/>
      <c r="C79" s="877"/>
      <c r="D79" s="877"/>
      <c r="E79" s="877"/>
      <c r="F79" s="877"/>
      <c r="G79" s="877"/>
      <c r="H79" s="877"/>
      <c r="I79" s="877"/>
      <c r="J79" s="877"/>
      <c r="K79" s="877"/>
      <c r="L79" s="877"/>
      <c r="M79" s="877"/>
      <c r="N79" s="877"/>
      <c r="O79" s="877"/>
      <c r="P79" s="877"/>
      <c r="Q79" s="877"/>
      <c r="R79" s="877"/>
      <c r="S79" s="877"/>
      <c r="T79" s="877"/>
      <c r="U79" s="877"/>
      <c r="V79" s="877"/>
      <c r="W79" s="877"/>
      <c r="X79" s="877"/>
      <c r="Y79" s="877"/>
      <c r="Z79" s="877"/>
    </row>
    <row r="80" spans="1:26" x14ac:dyDescent="0.25">
      <c r="A80" s="877"/>
      <c r="B80" s="877"/>
      <c r="C80" s="877"/>
      <c r="D80" s="877"/>
      <c r="E80" s="877"/>
      <c r="F80" s="877"/>
      <c r="G80" s="877"/>
      <c r="H80" s="877"/>
      <c r="I80" s="877"/>
      <c r="J80" s="877"/>
      <c r="K80" s="877"/>
      <c r="L80" s="877"/>
      <c r="M80" s="877"/>
      <c r="N80" s="877"/>
      <c r="O80" s="877"/>
      <c r="P80" s="877"/>
      <c r="Q80" s="877"/>
      <c r="R80" s="877"/>
      <c r="S80" s="877"/>
      <c r="T80" s="877"/>
      <c r="U80" s="877"/>
      <c r="V80" s="877"/>
      <c r="W80" s="877"/>
      <c r="X80" s="877"/>
      <c r="Y80" s="877"/>
      <c r="Z80" s="877"/>
    </row>
    <row r="81" spans="1:26" x14ac:dyDescent="0.25">
      <c r="A81" s="877"/>
      <c r="B81" s="877"/>
      <c r="C81" s="877"/>
      <c r="D81" s="877"/>
      <c r="E81" s="877"/>
      <c r="F81" s="877"/>
      <c r="G81" s="877"/>
      <c r="H81" s="877"/>
      <c r="I81" s="877"/>
      <c r="J81" s="877"/>
      <c r="K81" s="877"/>
      <c r="L81" s="877"/>
      <c r="M81" s="877"/>
      <c r="N81" s="877"/>
      <c r="O81" s="877"/>
      <c r="P81" s="877"/>
      <c r="Q81" s="877"/>
      <c r="R81" s="877"/>
      <c r="S81" s="877"/>
      <c r="T81" s="877"/>
      <c r="U81" s="877"/>
      <c r="V81" s="877"/>
      <c r="W81" s="877"/>
      <c r="X81" s="877"/>
      <c r="Y81" s="877"/>
      <c r="Z81" s="877"/>
    </row>
    <row r="82" spans="1:26" x14ac:dyDescent="0.25">
      <c r="A82" s="877"/>
      <c r="B82" s="877"/>
      <c r="C82" s="877"/>
      <c r="D82" s="877"/>
      <c r="E82" s="877"/>
      <c r="F82" s="877"/>
      <c r="G82" s="877"/>
      <c r="H82" s="877"/>
      <c r="I82" s="877"/>
      <c r="J82" s="877"/>
      <c r="K82" s="877"/>
      <c r="L82" s="877"/>
      <c r="M82" s="877"/>
      <c r="N82" s="877"/>
      <c r="O82" s="877"/>
      <c r="P82" s="877"/>
      <c r="Q82" s="877"/>
      <c r="R82" s="877"/>
      <c r="S82" s="877"/>
      <c r="T82" s="877"/>
      <c r="U82" s="877"/>
      <c r="V82" s="877"/>
      <c r="W82" s="877"/>
      <c r="X82" s="877"/>
      <c r="Y82" s="877"/>
      <c r="Z82" s="877"/>
    </row>
    <row r="83" spans="1:26" x14ac:dyDescent="0.25">
      <c r="A83" s="877"/>
      <c r="B83" s="877"/>
      <c r="C83" s="877"/>
      <c r="D83" s="877"/>
      <c r="E83" s="877"/>
      <c r="F83" s="877"/>
      <c r="G83" s="877"/>
      <c r="H83" s="877"/>
      <c r="I83" s="877"/>
      <c r="J83" s="877"/>
      <c r="K83" s="877"/>
      <c r="L83" s="877"/>
      <c r="M83" s="877"/>
      <c r="N83" s="877"/>
      <c r="O83" s="877"/>
      <c r="P83" s="877"/>
      <c r="Q83" s="877"/>
      <c r="R83" s="877"/>
      <c r="S83" s="877"/>
      <c r="T83" s="877"/>
      <c r="U83" s="877"/>
      <c r="V83" s="877"/>
      <c r="W83" s="877"/>
      <c r="X83" s="877"/>
      <c r="Y83" s="877"/>
      <c r="Z83" s="877"/>
    </row>
    <row r="84" spans="1:26" x14ac:dyDescent="0.25">
      <c r="A84" s="877"/>
      <c r="B84" s="877"/>
      <c r="C84" s="877"/>
      <c r="D84" s="877"/>
      <c r="E84" s="877"/>
      <c r="F84" s="877"/>
      <c r="G84" s="877"/>
      <c r="H84" s="877"/>
      <c r="I84" s="877"/>
      <c r="J84" s="877"/>
      <c r="K84" s="877"/>
      <c r="L84" s="877"/>
      <c r="M84" s="877"/>
      <c r="N84" s="877"/>
      <c r="O84" s="877"/>
      <c r="P84" s="877"/>
      <c r="Q84" s="877"/>
      <c r="R84" s="877"/>
      <c r="S84" s="877"/>
      <c r="T84" s="877"/>
      <c r="U84" s="877"/>
      <c r="V84" s="877"/>
      <c r="W84" s="877"/>
      <c r="X84" s="877"/>
      <c r="Y84" s="877"/>
      <c r="Z84" s="877"/>
    </row>
    <row r="85" spans="1:26" x14ac:dyDescent="0.25">
      <c r="A85" s="877"/>
      <c r="B85" s="877"/>
      <c r="C85" s="877"/>
      <c r="D85" s="877"/>
      <c r="E85" s="877"/>
      <c r="F85" s="877"/>
      <c r="G85" s="877"/>
      <c r="H85" s="877"/>
      <c r="I85" s="877"/>
      <c r="J85" s="877"/>
      <c r="K85" s="877"/>
      <c r="L85" s="877"/>
      <c r="M85" s="877"/>
      <c r="N85" s="877"/>
      <c r="O85" s="877"/>
      <c r="P85" s="877"/>
      <c r="Q85" s="877"/>
      <c r="R85" s="877"/>
      <c r="S85" s="877"/>
      <c r="T85" s="877"/>
      <c r="U85" s="877"/>
      <c r="V85" s="877"/>
      <c r="W85" s="877"/>
      <c r="X85" s="877"/>
      <c r="Y85" s="877"/>
      <c r="Z85" s="877"/>
    </row>
    <row r="86" spans="1:26" x14ac:dyDescent="0.25">
      <c r="A86" s="877"/>
      <c r="B86" s="877"/>
      <c r="C86" s="877"/>
      <c r="D86" s="877"/>
      <c r="E86" s="877"/>
      <c r="F86" s="877"/>
      <c r="G86" s="877"/>
      <c r="H86" s="877"/>
      <c r="I86" s="877"/>
      <c r="J86" s="877"/>
      <c r="K86" s="877"/>
      <c r="L86" s="877"/>
      <c r="M86" s="877"/>
      <c r="N86" s="877"/>
      <c r="O86" s="877"/>
      <c r="P86" s="877"/>
      <c r="Q86" s="877"/>
      <c r="R86" s="877"/>
      <c r="S86" s="877"/>
      <c r="T86" s="877"/>
      <c r="U86" s="877"/>
      <c r="V86" s="877"/>
      <c r="W86" s="877"/>
      <c r="X86" s="877"/>
      <c r="Y86" s="877"/>
      <c r="Z86" s="877"/>
    </row>
    <row r="87" spans="1:26" x14ac:dyDescent="0.25">
      <c r="A87" s="877"/>
      <c r="B87" s="877"/>
      <c r="C87" s="877"/>
      <c r="D87" s="877"/>
      <c r="E87" s="877"/>
      <c r="F87" s="877"/>
      <c r="G87" s="877"/>
      <c r="H87" s="877"/>
      <c r="I87" s="877"/>
      <c r="J87" s="877"/>
      <c r="K87" s="877"/>
      <c r="L87" s="877"/>
      <c r="M87" s="877"/>
      <c r="N87" s="877"/>
      <c r="O87" s="877"/>
      <c r="P87" s="877"/>
      <c r="Q87" s="877"/>
      <c r="R87" s="877"/>
      <c r="S87" s="877"/>
      <c r="T87" s="877"/>
      <c r="U87" s="877"/>
      <c r="V87" s="877"/>
      <c r="W87" s="877"/>
      <c r="X87" s="877"/>
      <c r="Y87" s="877"/>
      <c r="Z87" s="877"/>
    </row>
    <row r="88" spans="1:26" x14ac:dyDescent="0.25">
      <c r="A88" s="877"/>
      <c r="B88" s="877"/>
      <c r="C88" s="877"/>
      <c r="D88" s="877"/>
      <c r="E88" s="877"/>
      <c r="F88" s="877"/>
      <c r="G88" s="877"/>
      <c r="H88" s="877"/>
      <c r="I88" s="877"/>
      <c r="J88" s="877"/>
      <c r="K88" s="877"/>
      <c r="L88" s="877"/>
      <c r="M88" s="877"/>
      <c r="N88" s="877"/>
      <c r="O88" s="877"/>
      <c r="P88" s="877"/>
      <c r="Q88" s="877"/>
      <c r="R88" s="877"/>
      <c r="S88" s="877"/>
      <c r="T88" s="877"/>
      <c r="U88" s="877"/>
      <c r="V88" s="877"/>
      <c r="W88" s="877"/>
      <c r="X88" s="877"/>
      <c r="Y88" s="877"/>
      <c r="Z88" s="877"/>
    </row>
    <row r="89" spans="1:26" x14ac:dyDescent="0.25">
      <c r="A89" s="877"/>
      <c r="B89" s="877"/>
      <c r="C89" s="877"/>
      <c r="D89" s="877"/>
      <c r="E89" s="877"/>
      <c r="F89" s="877"/>
      <c r="G89" s="877"/>
      <c r="H89" s="877"/>
      <c r="I89" s="877"/>
      <c r="J89" s="877"/>
      <c r="K89" s="877"/>
      <c r="L89" s="877"/>
      <c r="M89" s="877"/>
      <c r="N89" s="877"/>
      <c r="O89" s="877"/>
      <c r="P89" s="877"/>
      <c r="Q89" s="877"/>
      <c r="R89" s="877"/>
      <c r="S89" s="877"/>
      <c r="T89" s="877"/>
      <c r="U89" s="877"/>
      <c r="V89" s="877"/>
      <c r="W89" s="877"/>
      <c r="X89" s="877"/>
      <c r="Y89" s="877"/>
      <c r="Z89" s="877"/>
    </row>
    <row r="90" spans="1:26" x14ac:dyDescent="0.25">
      <c r="A90" s="877"/>
      <c r="B90" s="877"/>
      <c r="C90" s="877"/>
      <c r="D90" s="877"/>
      <c r="E90" s="877"/>
      <c r="F90" s="877"/>
      <c r="G90" s="877"/>
      <c r="H90" s="877"/>
      <c r="I90" s="877"/>
      <c r="J90" s="877"/>
      <c r="K90" s="877"/>
      <c r="L90" s="877"/>
      <c r="M90" s="877"/>
      <c r="N90" s="877"/>
      <c r="O90" s="877"/>
      <c r="P90" s="877"/>
      <c r="Q90" s="877"/>
      <c r="R90" s="877"/>
      <c r="S90" s="877"/>
      <c r="T90" s="877"/>
      <c r="U90" s="877"/>
      <c r="V90" s="877"/>
      <c r="W90" s="877"/>
      <c r="X90" s="877"/>
      <c r="Y90" s="877"/>
      <c r="Z90" s="877"/>
    </row>
    <row r="91" spans="1:26" x14ac:dyDescent="0.25">
      <c r="A91" s="877"/>
      <c r="B91" s="877"/>
      <c r="C91" s="877"/>
      <c r="D91" s="877"/>
      <c r="E91" s="877"/>
      <c r="F91" s="877"/>
      <c r="G91" s="877"/>
      <c r="H91" s="877"/>
      <c r="I91" s="877"/>
      <c r="J91" s="877"/>
      <c r="K91" s="877"/>
      <c r="L91" s="877"/>
      <c r="M91" s="877"/>
      <c r="N91" s="877"/>
      <c r="O91" s="877"/>
      <c r="P91" s="877"/>
      <c r="Q91" s="877"/>
      <c r="R91" s="877"/>
      <c r="S91" s="877"/>
      <c r="T91" s="877"/>
      <c r="U91" s="877"/>
      <c r="V91" s="877"/>
      <c r="W91" s="877"/>
      <c r="X91" s="877"/>
      <c r="Y91" s="877"/>
      <c r="Z91" s="877"/>
    </row>
    <row r="92" spans="1:26" x14ac:dyDescent="0.25">
      <c r="A92" s="877"/>
      <c r="B92" s="877"/>
      <c r="C92" s="877"/>
      <c r="D92" s="877"/>
      <c r="E92" s="877"/>
      <c r="F92" s="877"/>
      <c r="G92" s="877"/>
      <c r="H92" s="877"/>
      <c r="I92" s="877"/>
      <c r="J92" s="877"/>
      <c r="K92" s="877"/>
      <c r="L92" s="877"/>
      <c r="M92" s="877"/>
      <c r="N92" s="877"/>
      <c r="O92" s="877"/>
      <c r="P92" s="877"/>
      <c r="Q92" s="877"/>
      <c r="R92" s="877"/>
      <c r="S92" s="877"/>
      <c r="T92" s="877"/>
      <c r="U92" s="877"/>
      <c r="V92" s="877"/>
      <c r="W92" s="877"/>
      <c r="X92" s="877"/>
      <c r="Y92" s="877"/>
      <c r="Z92" s="877"/>
    </row>
    <row r="93" spans="1:26" x14ac:dyDescent="0.25">
      <c r="A93" s="877"/>
      <c r="B93" s="877"/>
      <c r="C93" s="877"/>
      <c r="D93" s="877"/>
      <c r="E93" s="877"/>
      <c r="F93" s="877"/>
      <c r="G93" s="877"/>
      <c r="H93" s="877"/>
      <c r="I93" s="877"/>
      <c r="J93" s="877"/>
      <c r="K93" s="877"/>
      <c r="L93" s="877"/>
      <c r="M93" s="877"/>
      <c r="N93" s="877"/>
      <c r="O93" s="877"/>
      <c r="P93" s="877"/>
      <c r="Q93" s="877"/>
      <c r="R93" s="877"/>
      <c r="S93" s="877"/>
      <c r="T93" s="877"/>
      <c r="U93" s="877"/>
      <c r="V93" s="877"/>
      <c r="W93" s="877"/>
      <c r="X93" s="877"/>
      <c r="Y93" s="877"/>
      <c r="Z93" s="877"/>
    </row>
    <row r="94" spans="1:26" x14ac:dyDescent="0.25">
      <c r="A94" s="877"/>
      <c r="B94" s="877"/>
      <c r="C94" s="877"/>
      <c r="D94" s="877"/>
      <c r="E94" s="877"/>
      <c r="F94" s="877"/>
      <c r="G94" s="877"/>
      <c r="H94" s="877"/>
      <c r="I94" s="877"/>
      <c r="J94" s="877"/>
      <c r="K94" s="877"/>
      <c r="L94" s="877"/>
      <c r="M94" s="877"/>
      <c r="N94" s="877"/>
      <c r="O94" s="877"/>
      <c r="P94" s="877"/>
      <c r="Q94" s="877"/>
      <c r="R94" s="877"/>
      <c r="S94" s="877"/>
      <c r="T94" s="877"/>
      <c r="U94" s="877"/>
      <c r="V94" s="877"/>
      <c r="W94" s="877"/>
      <c r="X94" s="877"/>
      <c r="Y94" s="877"/>
      <c r="Z94" s="877"/>
    </row>
    <row r="95" spans="1:26" x14ac:dyDescent="0.25">
      <c r="A95" s="877"/>
      <c r="B95" s="877"/>
      <c r="C95" s="877"/>
      <c r="D95" s="877"/>
      <c r="E95" s="877"/>
      <c r="F95" s="877"/>
      <c r="G95" s="877"/>
      <c r="H95" s="877"/>
      <c r="I95" s="877"/>
      <c r="J95" s="877"/>
      <c r="K95" s="877"/>
      <c r="L95" s="877"/>
      <c r="M95" s="877"/>
      <c r="N95" s="877"/>
      <c r="O95" s="877"/>
      <c r="P95" s="877"/>
      <c r="Q95" s="877"/>
      <c r="R95" s="877"/>
      <c r="S95" s="877"/>
      <c r="T95" s="877"/>
      <c r="U95" s="877"/>
      <c r="V95" s="877"/>
      <c r="W95" s="877"/>
      <c r="X95" s="877"/>
      <c r="Y95" s="877"/>
      <c r="Z95" s="877"/>
    </row>
    <row r="96" spans="1:26" x14ac:dyDescent="0.25">
      <c r="A96" s="877"/>
      <c r="B96" s="877"/>
      <c r="C96" s="877"/>
      <c r="D96" s="877"/>
      <c r="E96" s="877"/>
      <c r="F96" s="877"/>
      <c r="G96" s="877"/>
      <c r="H96" s="877"/>
      <c r="I96" s="877"/>
      <c r="J96" s="877"/>
      <c r="K96" s="877"/>
      <c r="L96" s="877"/>
      <c r="M96" s="877"/>
      <c r="N96" s="877"/>
      <c r="O96" s="877"/>
      <c r="P96" s="877"/>
      <c r="Q96" s="877"/>
      <c r="R96" s="877"/>
      <c r="S96" s="877"/>
      <c r="T96" s="877"/>
      <c r="U96" s="877"/>
      <c r="V96" s="877"/>
      <c r="W96" s="877"/>
      <c r="X96" s="877"/>
      <c r="Y96" s="877"/>
      <c r="Z96" s="877"/>
    </row>
    <row r="97" spans="1:26" x14ac:dyDescent="0.25">
      <c r="A97" s="877"/>
      <c r="B97" s="877"/>
      <c r="C97" s="877"/>
      <c r="D97" s="877"/>
      <c r="E97" s="877"/>
      <c r="F97" s="877"/>
      <c r="G97" s="877"/>
      <c r="H97" s="877"/>
      <c r="I97" s="877"/>
      <c r="J97" s="877"/>
      <c r="K97" s="877"/>
      <c r="L97" s="877"/>
      <c r="M97" s="877"/>
      <c r="N97" s="877"/>
      <c r="O97" s="877"/>
      <c r="P97" s="877"/>
      <c r="Q97" s="877"/>
      <c r="R97" s="877"/>
      <c r="S97" s="877"/>
      <c r="T97" s="877"/>
      <c r="U97" s="877"/>
      <c r="V97" s="877"/>
      <c r="W97" s="877"/>
      <c r="X97" s="877"/>
      <c r="Y97" s="877"/>
      <c r="Z97" s="877"/>
    </row>
    <row r="98" spans="1:26" x14ac:dyDescent="0.25">
      <c r="A98" s="877"/>
      <c r="B98" s="877"/>
      <c r="C98" s="877"/>
      <c r="D98" s="877"/>
      <c r="E98" s="877"/>
      <c r="F98" s="877"/>
      <c r="G98" s="877"/>
      <c r="H98" s="877"/>
      <c r="I98" s="877"/>
      <c r="J98" s="877"/>
      <c r="K98" s="877"/>
      <c r="L98" s="877"/>
      <c r="M98" s="877"/>
      <c r="N98" s="877"/>
      <c r="O98" s="877"/>
      <c r="P98" s="877"/>
      <c r="Q98" s="877"/>
      <c r="R98" s="877"/>
      <c r="S98" s="877"/>
      <c r="T98" s="877"/>
      <c r="U98" s="877"/>
      <c r="V98" s="877"/>
      <c r="W98" s="877"/>
      <c r="X98" s="877"/>
      <c r="Y98" s="877"/>
      <c r="Z98" s="877"/>
    </row>
    <row r="99" spans="1:26" x14ac:dyDescent="0.25">
      <c r="A99" s="914" t="s">
        <v>0</v>
      </c>
      <c r="B99" s="877"/>
      <c r="C99" s="877"/>
      <c r="D99" s="877"/>
      <c r="E99" s="877"/>
      <c r="F99" s="877"/>
      <c r="G99" s="877"/>
      <c r="H99" s="877"/>
      <c r="I99" s="877"/>
      <c r="J99" s="877"/>
      <c r="K99" s="877"/>
      <c r="L99" s="877"/>
      <c r="M99" s="877"/>
      <c r="N99" s="877"/>
      <c r="O99" s="877"/>
      <c r="P99" s="877"/>
      <c r="Q99" s="877"/>
      <c r="R99" s="877"/>
      <c r="S99" s="877"/>
      <c r="T99" s="877"/>
      <c r="U99" s="877"/>
      <c r="V99" s="877"/>
      <c r="W99" s="877"/>
      <c r="X99" s="877"/>
      <c r="Y99" s="877"/>
      <c r="Z99" s="877"/>
    </row>
    <row r="100" spans="1:26" x14ac:dyDescent="0.25">
      <c r="A100" s="914" t="s">
        <v>13</v>
      </c>
      <c r="B100" s="877"/>
      <c r="C100" s="877"/>
      <c r="D100" s="877"/>
      <c r="E100" s="877"/>
      <c r="F100" s="877"/>
      <c r="G100" s="877"/>
      <c r="H100" s="877"/>
      <c r="I100" s="877"/>
      <c r="J100" s="877"/>
      <c r="K100" s="877"/>
      <c r="L100" s="877"/>
      <c r="M100" s="877"/>
      <c r="N100" s="877"/>
      <c r="O100" s="877"/>
      <c r="P100" s="877"/>
      <c r="Q100" s="877"/>
      <c r="R100" s="877"/>
      <c r="S100" s="877"/>
      <c r="T100" s="877"/>
      <c r="U100" s="877"/>
      <c r="V100" s="877"/>
      <c r="W100" s="877"/>
      <c r="X100" s="877"/>
      <c r="Y100" s="877"/>
      <c r="Z100" s="877"/>
    </row>
    <row r="101" spans="1:26" x14ac:dyDescent="0.25">
      <c r="A101" s="877"/>
      <c r="B101" s="877"/>
      <c r="C101" s="877"/>
      <c r="D101" s="877"/>
      <c r="E101" s="877"/>
      <c r="F101" s="877"/>
      <c r="G101" s="877"/>
      <c r="H101" s="877"/>
      <c r="I101" s="877"/>
      <c r="J101" s="877"/>
      <c r="K101" s="877"/>
      <c r="L101" s="877"/>
      <c r="M101" s="877"/>
      <c r="N101" s="877"/>
      <c r="O101" s="877"/>
      <c r="P101" s="877"/>
      <c r="Q101" s="877"/>
      <c r="R101" s="877"/>
      <c r="S101" s="877"/>
      <c r="T101" s="877"/>
      <c r="U101" s="877"/>
      <c r="V101" s="877"/>
      <c r="W101" s="877"/>
      <c r="X101" s="877"/>
      <c r="Y101" s="877"/>
      <c r="Z101" s="877"/>
    </row>
    <row r="102" spans="1:26" x14ac:dyDescent="0.25">
      <c r="A102" s="877"/>
      <c r="B102" s="877"/>
      <c r="C102" s="877"/>
      <c r="D102" s="877" t="s">
        <v>109</v>
      </c>
      <c r="E102" s="877"/>
      <c r="F102" s="877"/>
      <c r="G102" s="877"/>
      <c r="H102" s="877"/>
      <c r="I102" s="877" t="s">
        <v>110</v>
      </c>
      <c r="J102" s="877"/>
      <c r="K102" s="877"/>
      <c r="L102" s="877"/>
      <c r="M102" s="877"/>
      <c r="N102" s="877"/>
      <c r="O102" s="877"/>
      <c r="P102" s="877"/>
      <c r="Q102" s="877"/>
      <c r="R102" s="877"/>
      <c r="S102" s="877"/>
      <c r="T102" s="877"/>
      <c r="U102" s="877"/>
      <c r="V102" s="877"/>
      <c r="W102" s="877"/>
      <c r="X102" s="877"/>
      <c r="Y102" s="877"/>
      <c r="Z102" s="877"/>
    </row>
    <row r="103" spans="1:26" x14ac:dyDescent="0.25">
      <c r="D103" s="883" t="s">
        <v>111</v>
      </c>
      <c r="I103" s="915" t="s">
        <v>112</v>
      </c>
    </row>
    <row r="104" spans="1:26" x14ac:dyDescent="0.25">
      <c r="D104" s="883" t="s">
        <v>113</v>
      </c>
      <c r="I104" s="915" t="s">
        <v>114</v>
      </c>
    </row>
    <row r="105" spans="1:26" x14ac:dyDescent="0.25">
      <c r="D105" s="883" t="s">
        <v>115</v>
      </c>
      <c r="I105" t="s">
        <v>116</v>
      </c>
    </row>
    <row r="106" spans="1:26" x14ac:dyDescent="0.25">
      <c r="D106" s="883" t="s">
        <v>117</v>
      </c>
      <c r="I106" t="s">
        <v>118</v>
      </c>
    </row>
    <row r="107" spans="1:26" x14ac:dyDescent="0.25">
      <c r="D107" s="883" t="s">
        <v>119</v>
      </c>
      <c r="I107" t="s">
        <v>120</v>
      </c>
    </row>
    <row r="108" spans="1:26" x14ac:dyDescent="0.25">
      <c r="D108" s="883" t="s">
        <v>121</v>
      </c>
      <c r="I108" t="s">
        <v>122</v>
      </c>
    </row>
    <row r="110" spans="1:26" x14ac:dyDescent="0.25">
      <c r="D110" s="883" t="s">
        <v>123</v>
      </c>
      <c r="I110" t="s">
        <v>124</v>
      </c>
    </row>
    <row r="111" spans="1:26" x14ac:dyDescent="0.25">
      <c r="D111" s="883" t="s">
        <v>125</v>
      </c>
      <c r="I111" t="s">
        <v>126</v>
      </c>
    </row>
    <row r="112" spans="1:26" x14ac:dyDescent="0.25">
      <c r="D112" s="883" t="s">
        <v>127</v>
      </c>
      <c r="I112" t="s">
        <v>128</v>
      </c>
    </row>
    <row r="113" spans="4:9" x14ac:dyDescent="0.25">
      <c r="D113" s="883" t="s">
        <v>129</v>
      </c>
      <c r="I113" t="s">
        <v>130</v>
      </c>
    </row>
    <row r="114" spans="4:9" x14ac:dyDescent="0.25">
      <c r="D114" s="883" t="s">
        <v>131</v>
      </c>
      <c r="I114" t="s">
        <v>132</v>
      </c>
    </row>
    <row r="115" spans="4:9" x14ac:dyDescent="0.25">
      <c r="D115" s="883" t="s">
        <v>133</v>
      </c>
      <c r="I115" t="s">
        <v>134</v>
      </c>
    </row>
    <row r="116" spans="4:9" x14ac:dyDescent="0.25">
      <c r="D116" s="883" t="s">
        <v>135</v>
      </c>
      <c r="I116" t="s">
        <v>136</v>
      </c>
    </row>
    <row r="117" spans="4:9" x14ac:dyDescent="0.25">
      <c r="D117" s="902" t="s">
        <v>171</v>
      </c>
      <c r="I117" t="s">
        <v>172</v>
      </c>
    </row>
    <row r="118" spans="4:9" x14ac:dyDescent="0.25">
      <c r="D118" s="883" t="s">
        <v>137</v>
      </c>
      <c r="I118" t="s">
        <v>138</v>
      </c>
    </row>
    <row r="119" spans="4:9" x14ac:dyDescent="0.25">
      <c r="D119" s="916" t="s">
        <v>139</v>
      </c>
      <c r="I119" t="s">
        <v>140</v>
      </c>
    </row>
    <row r="120" spans="4:9" x14ac:dyDescent="0.25">
      <c r="D120" s="916" t="s">
        <v>141</v>
      </c>
      <c r="I120" t="s">
        <v>142</v>
      </c>
    </row>
    <row r="122" spans="4:9" x14ac:dyDescent="0.25">
      <c r="D122" t="s">
        <v>143</v>
      </c>
      <c r="I122" t="s">
        <v>144</v>
      </c>
    </row>
    <row r="124" spans="4:9" x14ac:dyDescent="0.25">
      <c r="D124" s="883" t="s">
        <v>145</v>
      </c>
      <c r="I124" t="s">
        <v>146</v>
      </c>
    </row>
    <row r="126" spans="4:9" x14ac:dyDescent="0.25">
      <c r="D126" s="892" t="s">
        <v>147</v>
      </c>
      <c r="I126" t="s">
        <v>148</v>
      </c>
    </row>
    <row r="128" spans="4:9" x14ac:dyDescent="0.25">
      <c r="D128" s="898" t="s">
        <v>149</v>
      </c>
      <c r="I128" t="s">
        <v>150</v>
      </c>
    </row>
    <row r="129" spans="4:9" x14ac:dyDescent="0.25">
      <c r="D129" s="898" t="s">
        <v>151</v>
      </c>
      <c r="I129" t="s">
        <v>152</v>
      </c>
    </row>
    <row r="130" spans="4:9" x14ac:dyDescent="0.25">
      <c r="D130" s="898" t="s">
        <v>153</v>
      </c>
      <c r="I130" t="s">
        <v>154</v>
      </c>
    </row>
    <row r="131" spans="4:9" x14ac:dyDescent="0.25">
      <c r="D131" s="898" t="s">
        <v>155</v>
      </c>
      <c r="I131" t="s">
        <v>156</v>
      </c>
    </row>
    <row r="132" spans="4:9" x14ac:dyDescent="0.25">
      <c r="D132" s="898" t="s">
        <v>157</v>
      </c>
      <c r="I132" t="s">
        <v>158</v>
      </c>
    </row>
    <row r="133" spans="4:9" x14ac:dyDescent="0.25">
      <c r="D133" s="898" t="s">
        <v>159</v>
      </c>
      <c r="I133" t="s">
        <v>160</v>
      </c>
    </row>
    <row r="134" spans="4:9" x14ac:dyDescent="0.25">
      <c r="D134" s="883"/>
    </row>
    <row r="135" spans="4:9" x14ac:dyDescent="0.25">
      <c r="D135" s="892" t="s">
        <v>161</v>
      </c>
      <c r="I135" t="s">
        <v>162</v>
      </c>
    </row>
    <row r="136" spans="4:9" x14ac:dyDescent="0.25">
      <c r="D136" s="892" t="s">
        <v>163</v>
      </c>
      <c r="I136" t="s">
        <v>164</v>
      </c>
    </row>
    <row r="139" spans="4:9" ht="17.25" x14ac:dyDescent="0.25">
      <c r="D139" t="s">
        <v>165</v>
      </c>
      <c r="I139" t="s">
        <v>166</v>
      </c>
    </row>
    <row r="141" spans="4:9" x14ac:dyDescent="0.25">
      <c r="D141" t="s">
        <v>167</v>
      </c>
      <c r="I141" t="s">
        <v>168</v>
      </c>
    </row>
    <row r="142" spans="4:9" x14ac:dyDescent="0.25">
      <c r="D142" t="s">
        <v>169</v>
      </c>
      <c r="I142" t="s">
        <v>170</v>
      </c>
    </row>
    <row r="250" spans="3:3" x14ac:dyDescent="0.25">
      <c r="C250">
        <v>0</v>
      </c>
    </row>
  </sheetData>
  <mergeCells count="9">
    <mergeCell ref="E6:G6"/>
    <mergeCell ref="L15:M15"/>
    <mergeCell ref="E19:F19"/>
    <mergeCell ref="E10:G10"/>
    <mergeCell ref="E11:G11"/>
    <mergeCell ref="E12:G12"/>
    <mergeCell ref="E13:G13"/>
    <mergeCell ref="E14:G14"/>
    <mergeCell ref="E15:G15"/>
  </mergeCells>
  <dataValidations count="4">
    <dataValidation type="decimal" allowBlank="1" showInputMessage="1" showErrorMessage="1" errorTitle="Ungültige Eingabe" error="Hier sind nur Eingaben bis 1,0 zulässig._x000a_Es wird ein Wert von 0,5 empfohlen!" promptTitle="Eingabe " sqref="L26" xr:uid="{00000000-0002-0000-0000-000000000000}">
      <formula1>0.3</formula1>
      <formula2>1</formula2>
    </dataValidation>
    <dataValidation type="whole" allowBlank="1" showInputMessage="1" showErrorMessage="1" errorTitle="Modulbreite" error="Modulbreite liegt außerhalb des Systems._x000a_Gültige Modulbreiten von 800-1050mm!" promptTitle="Modulbreite" sqref="L21" xr:uid="{00000000-0002-0000-0000-000001000000}">
      <formula1>800</formula1>
      <formula2>1050</formula2>
    </dataValidation>
    <dataValidation type="decimal" allowBlank="1" showErrorMessage="1" errorTitle="Dachneigung unzulässig" error="Die Dachneigung überschreitet den definierten Wert von 5°!" promptTitle="Dachneigung unzulässig" prompt="Dachneigung überschreitet den definierten Wert!" sqref="F25" xr:uid="{00000000-0002-0000-0000-000002000000}">
      <formula1>0</formula1>
      <formula2>5</formula2>
    </dataValidation>
    <dataValidation type="list" allowBlank="1" showInputMessage="1" showErrorMessage="1" sqref="E6:G6" xr:uid="{00000000-0002-0000-0000-000003000000}">
      <formula1>$A$99:$A$100</formula1>
    </dataValidation>
  </dataValidations>
  <pageMargins left="0.7" right="0.7" top="0.78740157499999996" bottom="0.78740157499999996" header="0.3" footer="0.3"/>
  <pageSetup paperSize="9" scale="68" orientation="portrait" r:id="rId1"/>
  <drawing r:id="rId2"/>
  <legacyDrawing r:id="rId3"/>
  <controls>
    <mc:AlternateContent xmlns:mc="http://schemas.openxmlformats.org/markup-compatibility/2006">
      <mc:Choice Requires="x14">
        <control shapeId="41989" r:id="rId4" name="CheckBox1">
          <controlPr defaultSize="0" autoLine="0" r:id="rId5">
            <anchor>
              <from>
                <xdr:col>4</xdr:col>
                <xdr:colOff>161925</xdr:colOff>
                <xdr:row>116</xdr:row>
                <xdr:rowOff>19050</xdr:rowOff>
              </from>
              <to>
                <xdr:col>4</xdr:col>
                <xdr:colOff>314325</xdr:colOff>
                <xdr:row>117</xdr:row>
                <xdr:rowOff>19050</xdr:rowOff>
              </to>
            </anchor>
          </controlPr>
        </control>
      </mc:Choice>
      <mc:Fallback>
        <control shapeId="41989" r:id="rId4" name="CheckBox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'building data'!$M$10:$M$12</xm:f>
          </x14:formula1>
          <xm:sqref>E13:G13</xm:sqref>
        </x14:dataValidation>
        <x14:dataValidation type="list" allowBlank="1" showInputMessage="1" showErrorMessage="1" xr:uid="{00000000-0002-0000-0000-000005000000}">
          <x14:formula1>
            <xm:f>'wind load calc'!$B$96:$B$97</xm:f>
          </x14:formula1>
          <xm:sqref>L10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tabColor rgb="FF0070C0"/>
    <pageSetUpPr fitToPage="1"/>
  </sheetPr>
  <dimension ref="A1:AJ293"/>
  <sheetViews>
    <sheetView view="pageBreakPreview" zoomScaleNormal="150" zoomScaleSheetLayoutView="100" workbookViewId="0">
      <selection activeCell="C22" sqref="C22"/>
    </sheetView>
  </sheetViews>
  <sheetFormatPr defaultColWidth="9.140625" defaultRowHeight="12.75" x14ac:dyDescent="0.2"/>
  <cols>
    <col min="1" max="1" width="8.7109375" style="1" customWidth="1"/>
    <col min="2" max="2" width="27.5703125" style="1" customWidth="1"/>
    <col min="3" max="3" width="17.140625" style="1" customWidth="1"/>
    <col min="4" max="4" width="19.140625" style="1" customWidth="1"/>
    <col min="5" max="5" width="4.85546875" style="1" customWidth="1"/>
    <col min="6" max="6" width="5.7109375" style="1" customWidth="1"/>
    <col min="7" max="7" width="14.7109375" style="1" bestFit="1" customWidth="1"/>
    <col min="8" max="8" width="5.7109375" style="1" customWidth="1"/>
    <col min="9" max="9" width="4.85546875" style="1" customWidth="1"/>
    <col min="10" max="10" width="2.5703125" style="1" customWidth="1"/>
    <col min="11" max="11" width="7.42578125" style="1" customWidth="1"/>
    <col min="12" max="12" width="8.7109375" style="1" customWidth="1"/>
    <col min="13" max="13" width="19.7109375" style="1" customWidth="1"/>
    <col min="14" max="14" width="21.7109375" style="1" customWidth="1"/>
    <col min="15" max="15" width="2.85546875" style="1" customWidth="1"/>
    <col min="16" max="16384" width="9.140625" style="1"/>
  </cols>
  <sheetData>
    <row r="1" spans="2:16" ht="13.5" thickBot="1" x14ac:dyDescent="0.25"/>
    <row r="2" spans="2:16" ht="18" x14ac:dyDescent="0.25">
      <c r="B2" s="2" t="s">
        <v>64</v>
      </c>
      <c r="C2" s="3"/>
      <c r="D2" s="4"/>
      <c r="E2" s="4"/>
      <c r="F2" s="4"/>
      <c r="G2" s="4"/>
      <c r="H2" s="5"/>
      <c r="I2" s="176" t="str">
        <f>IF($G$9="Deutsch","Die gelben Felder sind projektabhängig auszufüllen.",IF($G$9="English","The yellow cells have to be filled out depending on the project.","Fehler"))</f>
        <v>The yellow cells have to be filled out depending on the project.</v>
      </c>
      <c r="J2" s="3"/>
      <c r="K2" s="4"/>
      <c r="L2" s="4"/>
      <c r="M2" s="4"/>
      <c r="N2" s="4"/>
      <c r="O2" s="7"/>
      <c r="P2" s="8" t="str">
        <f>IF($G$9="Deutsch","Sprache:",IF($G$9="English","Language:","Fehler"))</f>
        <v>Language:</v>
      </c>
    </row>
    <row r="3" spans="2:16" ht="18" x14ac:dyDescent="0.25">
      <c r="B3" s="9" t="str">
        <f>IF($G$9="Deutsch","Ballastiertes PV-System",IF($G$9="English","Solar ballasted roof mount system","Fehler"))</f>
        <v>Solar ballasted roof mount system</v>
      </c>
      <c r="C3" s="10"/>
      <c r="D3" s="11"/>
      <c r="E3" s="11"/>
      <c r="F3" s="11"/>
      <c r="G3" s="11"/>
      <c r="H3" s="12"/>
      <c r="I3" s="177" t="str">
        <f>IF($G$9="Deutsch","Die türkisfarbenen Felder werden berechnet.",IF($G$9="English","The turquoise cells are calculated.","Fehler"))</f>
        <v>The turquoise cells are calculated.</v>
      </c>
      <c r="J3" s="14"/>
      <c r="K3" s="11"/>
      <c r="L3" s="11"/>
      <c r="M3" s="11"/>
      <c r="N3" s="11"/>
      <c r="O3" s="15"/>
      <c r="P3" s="16" t="s">
        <v>13</v>
      </c>
    </row>
    <row r="4" spans="2:16" ht="18" x14ac:dyDescent="0.25">
      <c r="B4" s="9" t="str">
        <f>IF($G$9="Deutsch","Lambda Light EW+ ",IF($G$9="English","Lambda Light EW+ ","Fehler"))</f>
        <v xml:space="preserve">Lambda Light EW+ </v>
      </c>
      <c r="C4" s="11"/>
      <c r="D4" s="11"/>
      <c r="E4" s="11"/>
      <c r="F4" s="11"/>
      <c r="G4" s="11"/>
      <c r="H4" s="11"/>
      <c r="I4" s="14"/>
      <c r="J4" s="11"/>
      <c r="K4" s="11"/>
      <c r="L4" s="11"/>
      <c r="M4" s="11"/>
      <c r="N4" s="11"/>
      <c r="O4" s="15"/>
      <c r="P4" s="16" t="s">
        <v>0</v>
      </c>
    </row>
    <row r="5" spans="2:16" ht="16.5" customHeight="1" thickBot="1" x14ac:dyDescent="0.3">
      <c r="B5" s="949" t="str">
        <f>IF($G$9="Deutsch","Gebäudeabmessungen",IF($G$9="English","Building dimensions","Fehler"))</f>
        <v>Building dimensions</v>
      </c>
      <c r="C5" s="950"/>
      <c r="D5" s="950"/>
      <c r="E5" s="950"/>
      <c r="F5" s="950"/>
      <c r="G5" s="950"/>
      <c r="H5" s="950"/>
      <c r="I5" s="950"/>
      <c r="J5" s="950"/>
      <c r="K5" s="950"/>
      <c r="L5" s="950"/>
      <c r="M5" s="950"/>
      <c r="N5" s="950"/>
      <c r="O5" s="951"/>
      <c r="P5" s="16"/>
    </row>
    <row r="6" spans="2:16" ht="12.75" customHeight="1" x14ac:dyDescent="0.2">
      <c r="B6" s="231"/>
      <c r="C6" s="231"/>
      <c r="D6" s="231"/>
      <c r="E6" s="231"/>
      <c r="F6" s="231"/>
      <c r="G6" s="231"/>
      <c r="H6" s="231"/>
      <c r="I6" s="231"/>
      <c r="J6" s="231"/>
      <c r="K6" s="231"/>
      <c r="L6" s="231"/>
      <c r="M6" s="231"/>
      <c r="N6" s="231"/>
      <c r="O6" s="231"/>
      <c r="P6" s="17"/>
    </row>
    <row r="7" spans="2:16" ht="12.75" customHeight="1" x14ac:dyDescent="0.2">
      <c r="B7" s="231"/>
      <c r="C7" s="231"/>
      <c r="D7" s="231"/>
      <c r="E7" s="231"/>
      <c r="F7" s="231"/>
      <c r="G7" s="231"/>
      <c r="H7" s="231"/>
      <c r="I7" s="231"/>
      <c r="J7" s="231"/>
      <c r="K7" s="231"/>
      <c r="L7" s="231"/>
      <c r="M7" s="231"/>
      <c r="N7" s="231"/>
      <c r="O7" s="231"/>
    </row>
    <row r="8" spans="2:16" ht="12.75" customHeight="1" thickBot="1" x14ac:dyDescent="0.25">
      <c r="B8" s="398" t="str">
        <f>IF($G$9="Deutsch","Projektdaten",IF($G$9="English","Project data","Fehler"))</f>
        <v>Project data</v>
      </c>
      <c r="C8" s="231"/>
      <c r="D8" s="231"/>
      <c r="E8" s="231"/>
      <c r="F8" s="231"/>
      <c r="G8" s="231"/>
      <c r="H8" s="231"/>
      <c r="I8" s="231"/>
      <c r="J8" s="231"/>
      <c r="K8" s="231"/>
      <c r="L8" s="231"/>
      <c r="M8" s="398" t="str">
        <f>IF($G$9="Deutsch","Verfügbare Windlast-Normen:",IF($G$9="English","Available wind loading standards:","Fehler"))</f>
        <v>Available wind loading standards:</v>
      </c>
      <c r="N8" s="231"/>
      <c r="O8" s="231"/>
    </row>
    <row r="9" spans="2:16" ht="12.75" customHeight="1" thickBot="1" x14ac:dyDescent="0.25">
      <c r="B9" s="432" t="str">
        <f>IF($G$9="Deutsch","Projekt:",IF($G$9="English","Project:","Fehler"))</f>
        <v>Project:</v>
      </c>
      <c r="C9" s="952" t="str">
        <f>Eingabe!E10</f>
        <v>EN15-</v>
      </c>
      <c r="D9" s="952"/>
      <c r="E9" s="953" t="str">
        <f>IF($G$9="Deutsch","Sprache:",IF($G$9="English","Language:","Fehler"))</f>
        <v>Language:</v>
      </c>
      <c r="F9" s="954"/>
      <c r="G9" s="952" t="str">
        <f>Eingabe!E6</f>
        <v>English</v>
      </c>
      <c r="H9" s="952"/>
      <c r="I9" s="955"/>
      <c r="J9" s="231"/>
      <c r="K9" s="231"/>
      <c r="L9" s="231"/>
      <c r="M9" s="433" t="str">
        <f>IF($G$9="Deutsch","Land",IF($G$9="English","Country","Fehler"))</f>
        <v>Country</v>
      </c>
      <c r="N9" s="434" t="str">
        <f>IF($G$9="Deutsch","Windlastnorm",IF($G$9="English","Wind loading code","Fehler"))</f>
        <v>Wind loading code</v>
      </c>
      <c r="O9" s="231"/>
    </row>
    <row r="10" spans="2:16" ht="12.75" customHeight="1" x14ac:dyDescent="0.2">
      <c r="B10" s="435" t="str">
        <f>IF($G$9="Deutsch","PLZ:",IF($G$9="English","Postal code:","Fehler"))</f>
        <v>Postal code:</v>
      </c>
      <c r="C10" s="939">
        <f>Eingabe!E11</f>
        <v>2301</v>
      </c>
      <c r="D10" s="939"/>
      <c r="E10" s="940" t="str">
        <f>IF($G$9="Deutsch","Standort:",IF($G$9="English","Site:","Fehler"))</f>
        <v>Site:</v>
      </c>
      <c r="F10" s="941"/>
      <c r="G10" s="942" t="str">
        <f>Eingabe!E12</f>
        <v>Hortsfelde</v>
      </c>
      <c r="H10" s="942"/>
      <c r="I10" s="943"/>
      <c r="J10" s="231"/>
      <c r="K10" s="231"/>
      <c r="L10" s="231"/>
      <c r="M10" s="124" t="s">
        <v>31</v>
      </c>
      <c r="N10" s="125" t="s">
        <v>27</v>
      </c>
      <c r="O10" s="231"/>
    </row>
    <row r="11" spans="2:16" ht="12.75" customHeight="1" x14ac:dyDescent="0.2">
      <c r="B11" s="435" t="str">
        <f>IF($G$9="Deutsch","Bearbeiter:",IF($G$9="English","Person in charge:","Fehler"))</f>
        <v>Person in charge:</v>
      </c>
      <c r="C11" s="939" t="str">
        <f>Eingabe!E15</f>
        <v>HGF</v>
      </c>
      <c r="D11" s="939"/>
      <c r="E11" s="940" t="str">
        <f>IF($G$9="Deutsch","Land:",IF($G$9="English","Country:","Fehler"))</f>
        <v>Country:</v>
      </c>
      <c r="F11" s="941"/>
      <c r="G11" s="942" t="str">
        <f>Eingabe!E13</f>
        <v>Germany</v>
      </c>
      <c r="H11" s="942"/>
      <c r="I11" s="943"/>
      <c r="J11" s="231"/>
      <c r="K11" s="231"/>
      <c r="L11" s="231"/>
      <c r="M11" s="124" t="s">
        <v>56</v>
      </c>
      <c r="N11" s="125" t="s">
        <v>57</v>
      </c>
      <c r="O11" s="231"/>
    </row>
    <row r="12" spans="2:16" ht="12.75" customHeight="1" thickBot="1" x14ac:dyDescent="0.25">
      <c r="B12" s="436" t="str">
        <f>IF($G$9="Deutsch","Datum:",IF($G$9="English","Date:","Fehler"))</f>
        <v>Date:</v>
      </c>
      <c r="C12" s="944">
        <v>42272</v>
      </c>
      <c r="D12" s="944"/>
      <c r="E12" s="945" t="str">
        <f>IF($G$9="Deutsch","Norm:",IF($G$9="English","Standard:","Fehler"))</f>
        <v>Standard:</v>
      </c>
      <c r="F12" s="946"/>
      <c r="G12" s="947" t="str">
        <f>VLOOKUP(G11,M10:N17,2,FALSE)</f>
        <v>DIN EN 1991-1-4</v>
      </c>
      <c r="H12" s="947"/>
      <c r="I12" s="948"/>
      <c r="J12" s="231"/>
      <c r="K12" s="231"/>
      <c r="L12" s="231"/>
      <c r="M12" s="124" t="str">
        <f>IF($G$9="Deutsch","Deutschland",IF($G$9="English","Germany","Fehler"))</f>
        <v>Germany</v>
      </c>
      <c r="N12" s="125" t="s">
        <v>78</v>
      </c>
      <c r="O12" s="231"/>
    </row>
    <row r="13" spans="2:16" ht="12.75" customHeight="1" x14ac:dyDescent="0.2">
      <c r="B13" s="231"/>
      <c r="C13" s="231"/>
      <c r="D13" s="231"/>
      <c r="E13" s="231"/>
      <c r="F13" s="231"/>
      <c r="G13" s="231"/>
      <c r="H13" s="231"/>
      <c r="I13" s="231"/>
      <c r="J13" s="231"/>
      <c r="K13" s="231"/>
      <c r="L13" s="231"/>
      <c r="M13" s="124"/>
      <c r="N13" s="125"/>
      <c r="O13" s="231"/>
    </row>
    <row r="14" spans="2:16" ht="12.75" customHeight="1" x14ac:dyDescent="0.2">
      <c r="B14" s="437"/>
      <c r="C14" s="437"/>
      <c r="D14" s="231"/>
      <c r="E14" s="231"/>
      <c r="F14" s="231"/>
      <c r="G14" s="231"/>
      <c r="H14" s="231"/>
      <c r="I14" s="231"/>
      <c r="J14" s="231"/>
      <c r="K14" s="231"/>
      <c r="L14" s="231"/>
      <c r="M14" s="124"/>
      <c r="N14" s="125"/>
      <c r="O14" s="231"/>
    </row>
    <row r="15" spans="2:16" ht="12.75" customHeight="1" thickBot="1" x14ac:dyDescent="0.25">
      <c r="B15" s="398" t="str">
        <f>IF($G$9="Deutsch","Gebäudeabmessungen:",IF($G$9="English","Building dimensions:","Fehler"))</f>
        <v>Building dimensions:</v>
      </c>
      <c r="C15" s="437"/>
      <c r="D15" s="231"/>
      <c r="E15" s="231"/>
      <c r="F15" s="231"/>
      <c r="G15" s="231"/>
      <c r="H15" s="231"/>
      <c r="I15" s="231"/>
      <c r="J15" s="231"/>
      <c r="K15" s="231"/>
      <c r="L15" s="231"/>
      <c r="M15" s="124"/>
      <c r="N15" s="125"/>
      <c r="O15" s="231"/>
    </row>
    <row r="16" spans="2:16" ht="12.75" customHeight="1" x14ac:dyDescent="0.2">
      <c r="B16" s="432" t="str">
        <f>IF($G$9="Deutsch","Dachhöhe:",IF($G$9="English","Roof height:","Fehler"))</f>
        <v>Roof height:</v>
      </c>
      <c r="C16" s="918">
        <f>MAX(Eingabe!F22,Eingabe!F23)</f>
        <v>6.5</v>
      </c>
      <c r="D16" s="438" t="str">
        <f>IF($G$9="Deutsch","m über Grund (Bei mehreren Höhen ist die höchste auszuwählen!)",IF($G$9="English","m above ground (In case of more than one height, the highest must be chosen!)","Fehler"))</f>
        <v>m above ground (In case of more than one height, the highest must be chosen!)</v>
      </c>
      <c r="E16" s="23"/>
      <c r="F16" s="24"/>
      <c r="G16" s="439"/>
      <c r="H16" s="439"/>
      <c r="I16" s="439"/>
      <c r="J16" s="440"/>
      <c r="K16" s="231"/>
      <c r="L16" s="231"/>
      <c r="M16" s="124"/>
      <c r="N16" s="125"/>
      <c r="O16" s="231"/>
    </row>
    <row r="17" spans="2:15" ht="12.75" customHeight="1" thickBot="1" x14ac:dyDescent="0.25">
      <c r="B17" s="441"/>
      <c r="C17" s="442"/>
      <c r="D17" s="443" t="str">
        <f>IF($G$9="Deutsch","Für Gebäude in den USA beträgt die maximale Höhe 18,3 m.",IF($G$9="English","For low rise buildings in the US, the maximum height is 18.3 m.","Fehler"))</f>
        <v>For low rise buildings in the US, the maximum height is 18.3 m.</v>
      </c>
      <c r="E17" s="27"/>
      <c r="F17" s="28"/>
      <c r="G17" s="223"/>
      <c r="H17" s="223"/>
      <c r="I17" s="223"/>
      <c r="J17" s="444"/>
      <c r="K17" s="231"/>
      <c r="L17" s="231"/>
      <c r="M17" s="445"/>
      <c r="N17" s="446"/>
      <c r="O17" s="231"/>
    </row>
    <row r="18" spans="2:15" ht="12.75" customHeight="1" x14ac:dyDescent="0.2">
      <c r="B18" s="441" t="str">
        <f>IF($G$9="Deutsch","Attikahöhe:",IF($G$9="English","Parapet height:","Fehler"))</f>
        <v>Parapet height:</v>
      </c>
      <c r="C18" s="919">
        <f>IF(Eingabe!F22&gt;Eingabe!F23,Eingabe!F24,0)</f>
        <v>0</v>
      </c>
      <c r="D18" s="223" t="s">
        <v>1</v>
      </c>
      <c r="E18" s="27"/>
      <c r="F18" s="28"/>
      <c r="G18" s="223"/>
      <c r="H18" s="223"/>
      <c r="I18" s="223"/>
      <c r="J18" s="444"/>
      <c r="K18" s="231"/>
      <c r="L18" s="231"/>
      <c r="M18" s="246"/>
      <c r="N18" s="246"/>
      <c r="O18" s="231"/>
    </row>
    <row r="19" spans="2:15" ht="12.75" customHeight="1" x14ac:dyDescent="0.2">
      <c r="B19" s="441" t="str">
        <f>IF($G$9="Deutsch","Randabstand des PV-Feldes:",IF($G$9="English","Offset distance from roof edges:","Fehler"))</f>
        <v>Offset distance from roof edges:</v>
      </c>
      <c r="C19" s="919">
        <f>Eingabe!F26</f>
        <v>1.5</v>
      </c>
      <c r="D19" s="223" t="str">
        <f>IF($G$9="Deutsch","m (Der minimale Randabstand beträgt 1,5 m.)",IF($G$9="English","m (The minimum array offset distance is 1.5 m.)","Fehler"))</f>
        <v>m (The minimum array offset distance is 1.5 m.)</v>
      </c>
      <c r="E19" s="223"/>
      <c r="F19" s="223"/>
      <c r="G19" s="223"/>
      <c r="H19" s="223"/>
      <c r="I19" s="223"/>
      <c r="J19" s="444"/>
      <c r="K19" s="231"/>
      <c r="L19" s="231"/>
      <c r="M19" s="246"/>
      <c r="N19" s="246"/>
      <c r="O19" s="231"/>
    </row>
    <row r="20" spans="2:15" ht="12.75" customHeight="1" x14ac:dyDescent="0.2">
      <c r="B20" s="441" t="str">
        <f>IF($G$9="Deutsch","Breite des BV:",IF($G$9="English","Building width:","Fehler"))</f>
        <v>Building width:</v>
      </c>
      <c r="C20" s="919">
        <f>Eingabe!F21</f>
        <v>10</v>
      </c>
      <c r="D20" s="223" t="s">
        <v>1</v>
      </c>
      <c r="E20" s="448"/>
      <c r="F20" s="448"/>
      <c r="G20" s="448"/>
      <c r="H20" s="448"/>
      <c r="I20" s="448"/>
      <c r="J20" s="449"/>
      <c r="K20" s="231"/>
      <c r="L20" s="231"/>
      <c r="M20" s="246"/>
      <c r="N20" s="246"/>
      <c r="O20" s="231"/>
    </row>
    <row r="21" spans="2:15" ht="12.75" customHeight="1" x14ac:dyDescent="0.2">
      <c r="B21" s="441" t="str">
        <f>IF($G$9="Deutsch","Länge des BV:",IF($G$9="English","Building length:","Fehler"))</f>
        <v>Building length:</v>
      </c>
      <c r="C21" s="919">
        <f>Eingabe!F20</f>
        <v>6</v>
      </c>
      <c r="D21" s="223" t="s">
        <v>1</v>
      </c>
      <c r="E21" s="448"/>
      <c r="F21" s="448"/>
      <c r="G21" s="448"/>
      <c r="H21" s="448"/>
      <c r="I21" s="448"/>
      <c r="J21" s="449"/>
      <c r="K21" s="231"/>
      <c r="L21" s="231"/>
      <c r="M21" s="246"/>
      <c r="N21" s="246"/>
      <c r="O21" s="231"/>
    </row>
    <row r="22" spans="2:15" ht="12.75" customHeight="1" x14ac:dyDescent="0.2">
      <c r="B22" s="441" t="str">
        <f>IF($G$9="Deutsch","Dachfläche:",IF($G$9="English","Roof area:","Fehler"))</f>
        <v>Roof area:</v>
      </c>
      <c r="C22" s="447">
        <f>C20*C21</f>
        <v>60</v>
      </c>
      <c r="D22" s="223" t="s">
        <v>2</v>
      </c>
      <c r="E22" s="223"/>
      <c r="F22" s="223"/>
      <c r="G22" s="223"/>
      <c r="H22" s="223"/>
      <c r="I22" s="223"/>
      <c r="J22" s="450"/>
      <c r="K22" s="231"/>
      <c r="L22" s="231"/>
      <c r="M22" s="246"/>
      <c r="N22" s="246"/>
      <c r="O22" s="231"/>
    </row>
    <row r="23" spans="2:15" ht="12.75" customHeight="1" thickBot="1" x14ac:dyDescent="0.25">
      <c r="B23" s="451" t="str">
        <f>IF($G$9="Deutsch","Dachneigung:",IF($G$9="English","Roof pitch angle:","Fehler"))</f>
        <v>Roof pitch angle:</v>
      </c>
      <c r="C23" s="920">
        <f>Eingabe!F25</f>
        <v>5</v>
      </c>
      <c r="D23" s="452" t="str">
        <f>IF(AND($G$9="Deutsch",OR($G$11="USA",$G$11="USA II")),"° (zulässig nur bis zu 7° Dachneigung)",IF($G$9="Deutsch","° (zulässig nur bis zu 10° Dachneigung)",IF(AND($G$9="English",OR($G$11="USA",$G$11="USA II")),"° (valid only up to 7° roof angle)",IF($G$9="English","° (valid only up to 10° roof angle)","Fehler"))))</f>
        <v>° (valid only up to 10° roof angle)</v>
      </c>
      <c r="E23" s="453"/>
      <c r="F23" s="453"/>
      <c r="G23" s="453"/>
      <c r="H23" s="453"/>
      <c r="I23" s="453"/>
      <c r="J23" s="454"/>
      <c r="K23" s="455"/>
      <c r="L23" s="455"/>
      <c r="M23" s="231"/>
      <c r="N23" s="231"/>
      <c r="O23" s="231"/>
    </row>
    <row r="24" spans="2:15" ht="12.75" customHeight="1" x14ac:dyDescent="0.2">
      <c r="B24" s="231"/>
      <c r="C24" s="231"/>
      <c r="D24" s="121"/>
      <c r="E24" s="437"/>
      <c r="F24" s="437"/>
      <c r="G24" s="437"/>
      <c r="H24" s="437"/>
      <c r="I24" s="437"/>
      <c r="J24" s="231"/>
      <c r="K24" s="455"/>
      <c r="L24" s="455"/>
      <c r="M24" s="121"/>
      <c r="N24" s="456"/>
      <c r="O24" s="28"/>
    </row>
    <row r="25" spans="2:15" ht="12.75" customHeight="1" x14ac:dyDescent="0.2">
      <c r="B25" s="231"/>
      <c r="C25" s="32"/>
      <c r="D25" s="231"/>
      <c r="E25" s="231"/>
      <c r="F25" s="231"/>
      <c r="G25" s="231"/>
      <c r="H25" s="231"/>
      <c r="I25" s="231"/>
      <c r="J25" s="457"/>
      <c r="K25" s="455"/>
      <c r="L25" s="455"/>
      <c r="M25" s="231"/>
      <c r="N25" s="437"/>
      <c r="O25" s="437"/>
    </row>
    <row r="26" spans="2:15" ht="12.75" customHeight="1" thickBot="1" x14ac:dyDescent="0.25">
      <c r="B26" s="458"/>
      <c r="C26" s="458"/>
      <c r="D26" s="458"/>
      <c r="E26" s="458"/>
      <c r="F26" s="458"/>
      <c r="G26" s="458"/>
      <c r="H26" s="458"/>
      <c r="I26" s="458"/>
      <c r="J26" s="458"/>
      <c r="K26" s="458"/>
      <c r="L26" s="458"/>
      <c r="M26" s="231"/>
      <c r="N26" s="231"/>
      <c r="O26" s="231"/>
    </row>
    <row r="27" spans="2:15" ht="12.75" customHeight="1" thickBot="1" x14ac:dyDescent="0.25">
      <c r="B27" s="530"/>
      <c r="C27" s="439"/>
      <c r="D27" s="439"/>
      <c r="E27" s="439"/>
      <c r="F27" s="531"/>
      <c r="G27" s="532" t="str">
        <f>IF($G$9="Deutsch","Breite",IF($G$9="English","Width","Fehler"))</f>
        <v>Width</v>
      </c>
      <c r="H27" s="439"/>
      <c r="I27" s="439"/>
      <c r="J27" s="439"/>
      <c r="K27" s="439"/>
      <c r="L27" s="440"/>
      <c r="M27" s="231"/>
      <c r="N27" s="231"/>
      <c r="O27" s="231"/>
    </row>
    <row r="28" spans="2:15" ht="12.75" customHeight="1" thickBot="1" x14ac:dyDescent="0.25">
      <c r="B28" s="460" t="str">
        <f>IF($G$9="Deutsch","Dacheinteilung:",IF($G$9="English","Roof zoning:","Fehler"))</f>
        <v>Roof zoning:</v>
      </c>
      <c r="C28" s="223"/>
      <c r="D28" s="223"/>
      <c r="E28" s="963" t="str">
        <f>IF($G$9="Deutsch","Randabstand des PV-Feldes",IF($G$9="English","array offset distance","Fehler"))</f>
        <v>array offset distance</v>
      </c>
      <c r="F28" s="964"/>
      <c r="G28" s="964"/>
      <c r="H28" s="964"/>
      <c r="I28" s="965"/>
      <c r="J28" s="223"/>
      <c r="K28" s="461">
        <f>MAX(1.5,C19)</f>
        <v>1.5</v>
      </c>
      <c r="L28" s="444" t="s">
        <v>1</v>
      </c>
      <c r="M28" s="231"/>
      <c r="N28" s="231"/>
      <c r="O28" s="231"/>
    </row>
    <row r="29" spans="2:15" ht="12.75" customHeight="1" x14ac:dyDescent="0.2">
      <c r="B29" s="963" t="str">
        <f>IF($G$9="Deutsch","Randabstand des PV-Feldes                                                     In dieser Zone keine PV-Module aufstellen!",IF($G$9="English","Array offset distance from roof edges;                                 Do not place PV modules in this zone!","Fehler"))</f>
        <v>Array offset distance from roof edges;                                 Do not place PV modules in this zone!</v>
      </c>
      <c r="C29" s="965"/>
      <c r="D29" s="223"/>
      <c r="E29" s="519"/>
      <c r="F29" s="462"/>
      <c r="G29" s="541"/>
      <c r="H29" s="320"/>
      <c r="I29" s="520"/>
      <c r="J29" s="223"/>
      <c r="K29" s="463"/>
      <c r="L29" s="444"/>
      <c r="M29" s="231"/>
      <c r="N29" s="231"/>
      <c r="O29" s="231"/>
    </row>
    <row r="30" spans="2:15" ht="12.75" customHeight="1" thickBot="1" x14ac:dyDescent="0.25">
      <c r="B30" s="966"/>
      <c r="C30" s="967"/>
      <c r="D30" s="223"/>
      <c r="E30" s="519"/>
      <c r="F30" s="321"/>
      <c r="G30" s="542"/>
      <c r="H30" s="322"/>
      <c r="I30" s="520"/>
      <c r="J30" s="223"/>
      <c r="K30" s="464"/>
      <c r="L30" s="444"/>
      <c r="M30" s="465"/>
      <c r="N30" s="231"/>
      <c r="O30" s="231"/>
    </row>
    <row r="31" spans="2:15" ht="12.75" customHeight="1" x14ac:dyDescent="0.2">
      <c r="B31" s="968"/>
      <c r="C31" s="969"/>
      <c r="D31" s="26"/>
      <c r="E31" s="519"/>
      <c r="F31" s="535"/>
      <c r="G31" s="536"/>
      <c r="H31" s="537"/>
      <c r="I31" s="520"/>
      <c r="J31" s="223"/>
      <c r="K31" s="464"/>
      <c r="L31" s="444"/>
      <c r="M31" s="465"/>
      <c r="N31" s="231"/>
      <c r="O31" s="231"/>
    </row>
    <row r="32" spans="2:15" ht="12.75" customHeight="1" x14ac:dyDescent="0.2">
      <c r="B32" s="961" t="str">
        <f>IF($G$9="Deutsch","Äußere Zone",IF($G$9="English","Outer zone","Fehler"))</f>
        <v>Outer zone</v>
      </c>
      <c r="C32" s="962"/>
      <c r="D32" s="529" t="str">
        <f>IF($G$9="Deutsch","Länge",IF($G$9="English","Length","Fehler"))</f>
        <v>Length</v>
      </c>
      <c r="E32" s="519"/>
      <c r="F32" s="535"/>
      <c r="G32" s="536"/>
      <c r="H32" s="537"/>
      <c r="I32" s="520"/>
      <c r="J32" s="223"/>
      <c r="K32" s="464"/>
      <c r="L32" s="444"/>
      <c r="M32" s="465"/>
      <c r="N32" s="231"/>
      <c r="O32" s="231"/>
    </row>
    <row r="33" spans="1:36" ht="12.75" customHeight="1" thickBot="1" x14ac:dyDescent="0.25">
      <c r="B33" s="956" t="str">
        <f>IF($G$9="Deutsch","Innere Zone",IF($G$9="English","Inner zone","Fehler"))</f>
        <v>Inner zone</v>
      </c>
      <c r="C33" s="957"/>
      <c r="D33" s="26"/>
      <c r="E33" s="519"/>
      <c r="F33" s="538"/>
      <c r="G33" s="539"/>
      <c r="H33" s="540"/>
      <c r="I33" s="520"/>
      <c r="J33" s="223"/>
      <c r="K33" s="36"/>
      <c r="L33" s="444"/>
      <c r="M33" s="231"/>
      <c r="N33" s="231"/>
      <c r="O33" s="223"/>
    </row>
    <row r="34" spans="1:36" ht="12.75" customHeight="1" x14ac:dyDescent="0.2">
      <c r="B34" s="466"/>
      <c r="C34" s="237"/>
      <c r="D34" s="223"/>
      <c r="E34" s="519"/>
      <c r="F34" s="323"/>
      <c r="G34" s="543"/>
      <c r="H34" s="324"/>
      <c r="I34" s="520"/>
      <c r="J34" s="223"/>
      <c r="K34" s="464"/>
      <c r="L34" s="444"/>
      <c r="M34" s="231"/>
      <c r="N34" s="231"/>
      <c r="O34" s="231"/>
    </row>
    <row r="35" spans="1:36" ht="12.75" customHeight="1" thickBot="1" x14ac:dyDescent="0.25">
      <c r="B35" s="459"/>
      <c r="C35" s="223"/>
      <c r="D35" s="223"/>
      <c r="E35" s="519"/>
      <c r="F35" s="321"/>
      <c r="G35" s="542"/>
      <c r="H35" s="322"/>
      <c r="I35" s="520"/>
      <c r="J35" s="223"/>
      <c r="K35" s="464"/>
      <c r="L35" s="444"/>
      <c r="M35" s="231"/>
      <c r="N35" s="231"/>
      <c r="O35" s="231"/>
    </row>
    <row r="36" spans="1:36" ht="12.75" customHeight="1" thickBot="1" x14ac:dyDescent="0.25">
      <c r="B36" s="533"/>
      <c r="C36" s="26"/>
      <c r="D36" s="223"/>
      <c r="E36" s="958" t="str">
        <f>IF($G$9="Deutsch","Randabstand des PV-Feldes",IF($G$9="English","from roof edges","Fehler"))</f>
        <v>from roof edges</v>
      </c>
      <c r="F36" s="959"/>
      <c r="G36" s="959"/>
      <c r="H36" s="959"/>
      <c r="I36" s="960"/>
      <c r="J36" s="223"/>
      <c r="K36" s="461">
        <f>K28</f>
        <v>1.5</v>
      </c>
      <c r="L36" s="444" t="s">
        <v>1</v>
      </c>
      <c r="M36" s="231"/>
      <c r="N36" s="231"/>
      <c r="O36" s="231"/>
    </row>
    <row r="37" spans="1:36" ht="12.75" customHeight="1" x14ac:dyDescent="0.2">
      <c r="B37" s="533"/>
      <c r="C37" s="26"/>
      <c r="D37" s="223"/>
      <c r="E37" s="223"/>
      <c r="F37" s="223"/>
      <c r="G37" s="223"/>
      <c r="H37" s="223"/>
      <c r="I37" s="223"/>
      <c r="J37" s="223"/>
      <c r="K37" s="223"/>
      <c r="L37" s="444"/>
      <c r="M37" s="231"/>
      <c r="N37" s="231"/>
      <c r="O37" s="231"/>
    </row>
    <row r="38" spans="1:36" ht="12.75" customHeight="1" x14ac:dyDescent="0.2">
      <c r="B38" s="459"/>
      <c r="C38" s="223"/>
      <c r="D38" s="223"/>
      <c r="E38" s="39">
        <f>K28</f>
        <v>1.5</v>
      </c>
      <c r="F38" s="39"/>
      <c r="G38" s="122"/>
      <c r="H38" s="122"/>
      <c r="I38" s="40">
        <f>K28</f>
        <v>1.5</v>
      </c>
      <c r="J38" s="223"/>
      <c r="K38" s="223"/>
      <c r="L38" s="444"/>
      <c r="M38" s="231"/>
      <c r="N38" s="231"/>
      <c r="O38" s="231"/>
    </row>
    <row r="39" spans="1:36" ht="12.75" customHeight="1" thickBot="1" x14ac:dyDescent="0.25">
      <c r="B39" s="467"/>
      <c r="C39" s="458"/>
      <c r="D39" s="458"/>
      <c r="E39" s="534" t="s">
        <v>1</v>
      </c>
      <c r="F39" s="534"/>
      <c r="G39" s="534"/>
      <c r="H39" s="534"/>
      <c r="I39" s="534" t="s">
        <v>1</v>
      </c>
      <c r="J39" s="458"/>
      <c r="K39" s="458"/>
      <c r="L39" s="468"/>
      <c r="M39" s="231"/>
      <c r="N39" s="231"/>
      <c r="O39" s="231"/>
    </row>
    <row r="40" spans="1:36" x14ac:dyDescent="0.2">
      <c r="B40" s="42"/>
    </row>
    <row r="41" spans="1:36" x14ac:dyDescent="0.2">
      <c r="G41" s="34"/>
      <c r="M41" s="43"/>
      <c r="N41" s="44"/>
    </row>
    <row r="42" spans="1:36" x14ac:dyDescent="0.2">
      <c r="E42" s="26"/>
      <c r="F42" s="26"/>
      <c r="G42" s="26"/>
      <c r="H42" s="26"/>
      <c r="I42" s="26"/>
      <c r="J42" s="26"/>
      <c r="K42" s="43"/>
      <c r="L42" s="43"/>
      <c r="M42" s="43"/>
      <c r="N42" s="44"/>
    </row>
    <row r="43" spans="1:36" x14ac:dyDescent="0.2">
      <c r="E43" s="26"/>
      <c r="F43" s="26"/>
      <c r="G43" s="26"/>
      <c r="H43" s="26"/>
      <c r="I43" s="26"/>
      <c r="J43" s="26"/>
      <c r="K43" s="43"/>
      <c r="L43" s="43"/>
      <c r="M43" s="43"/>
      <c r="N43" s="44"/>
    </row>
    <row r="44" spans="1:36" x14ac:dyDescent="0.2">
      <c r="C44" s="38"/>
      <c r="E44" s="45"/>
      <c r="F44" s="45"/>
      <c r="G44" s="45"/>
      <c r="H44" s="45"/>
      <c r="I44" s="45"/>
      <c r="J44" s="26"/>
      <c r="K44" s="43"/>
      <c r="L44" s="43"/>
      <c r="M44" s="43"/>
      <c r="N44" s="44"/>
    </row>
    <row r="45" spans="1:36" x14ac:dyDescent="0.2">
      <c r="A45" s="22"/>
      <c r="C45" s="38"/>
      <c r="E45" s="45"/>
      <c r="F45" s="45"/>
      <c r="G45" s="45"/>
      <c r="H45" s="45"/>
      <c r="I45" s="45"/>
      <c r="J45" s="26"/>
      <c r="K45" s="43"/>
      <c r="L45" s="43"/>
      <c r="M45" s="38"/>
      <c r="N45" s="22"/>
      <c r="O45" s="22"/>
      <c r="P45" s="22"/>
      <c r="Q45" s="22"/>
      <c r="R45" s="22"/>
      <c r="S45" s="22"/>
      <c r="T45" s="22"/>
      <c r="U45" s="22"/>
      <c r="V45" s="22"/>
      <c r="W45" s="22"/>
      <c r="X45" s="22"/>
      <c r="Y45" s="22"/>
      <c r="Z45" s="22"/>
      <c r="AA45" s="22"/>
      <c r="AB45" s="22"/>
      <c r="AC45" s="22"/>
      <c r="AD45" s="22"/>
      <c r="AE45" s="22"/>
      <c r="AF45" s="22"/>
      <c r="AG45" s="22"/>
      <c r="AH45" s="22"/>
      <c r="AI45" s="22"/>
      <c r="AJ45" s="22"/>
    </row>
    <row r="46" spans="1:36" x14ac:dyDescent="0.2">
      <c r="A46" s="22"/>
      <c r="B46" s="22"/>
      <c r="C46" s="38"/>
      <c r="D46" s="38"/>
      <c r="E46" s="46"/>
      <c r="F46" s="46"/>
      <c r="G46" s="46"/>
      <c r="H46" s="46"/>
      <c r="I46" s="46"/>
      <c r="J46" s="38"/>
      <c r="K46" s="38"/>
      <c r="L46" s="38"/>
      <c r="M46" s="38"/>
      <c r="N46" s="22"/>
      <c r="O46" s="22"/>
      <c r="P46" s="22"/>
      <c r="Q46" s="22"/>
      <c r="R46" s="22"/>
      <c r="S46" s="22"/>
      <c r="T46" s="22"/>
      <c r="U46" s="22"/>
      <c r="V46" s="22"/>
      <c r="W46" s="22"/>
      <c r="X46" s="22"/>
      <c r="Y46" s="22"/>
      <c r="Z46" s="22"/>
      <c r="AA46" s="22"/>
      <c r="AB46" s="22"/>
      <c r="AC46" s="22"/>
      <c r="AD46" s="22"/>
      <c r="AE46" s="22"/>
      <c r="AF46" s="22"/>
      <c r="AG46" s="22"/>
      <c r="AH46" s="22"/>
      <c r="AI46" s="22"/>
      <c r="AJ46" s="22"/>
    </row>
    <row r="47" spans="1:36" x14ac:dyDescent="0.2">
      <c r="A47" s="22"/>
      <c r="B47" s="22"/>
      <c r="C47" s="38"/>
      <c r="D47" s="38"/>
      <c r="E47" s="46"/>
      <c r="F47" s="46"/>
      <c r="G47" s="46"/>
      <c r="H47" s="46"/>
      <c r="I47" s="46"/>
      <c r="J47" s="38"/>
      <c r="K47" s="38"/>
      <c r="L47" s="38"/>
      <c r="M47" s="38"/>
      <c r="N47" s="22"/>
      <c r="O47" s="22"/>
      <c r="P47" s="22"/>
      <c r="Q47" s="22"/>
      <c r="R47" s="22"/>
      <c r="S47" s="22"/>
      <c r="T47" s="22"/>
      <c r="U47" s="22"/>
      <c r="V47" s="22"/>
      <c r="W47" s="22"/>
      <c r="X47" s="22"/>
      <c r="Y47" s="22"/>
      <c r="Z47" s="22"/>
      <c r="AA47" s="22"/>
      <c r="AB47" s="22"/>
      <c r="AC47" s="22"/>
      <c r="AD47" s="22"/>
      <c r="AE47" s="22"/>
      <c r="AF47" s="22"/>
      <c r="AG47" s="22"/>
      <c r="AH47" s="22"/>
      <c r="AI47" s="22"/>
      <c r="AJ47" s="22"/>
    </row>
    <row r="48" spans="1:36" x14ac:dyDescent="0.2">
      <c r="A48" s="22"/>
      <c r="B48" s="22"/>
      <c r="C48" s="38"/>
      <c r="D48" s="38"/>
      <c r="E48" s="46"/>
      <c r="F48" s="46"/>
      <c r="G48" s="46"/>
      <c r="H48" s="46"/>
      <c r="I48" s="46"/>
      <c r="J48" s="38"/>
      <c r="K48" s="38"/>
      <c r="L48" s="38"/>
      <c r="M48" s="38"/>
      <c r="N48" s="22"/>
      <c r="O48" s="22"/>
      <c r="P48" s="22"/>
      <c r="Q48" s="22"/>
      <c r="R48" s="22"/>
      <c r="S48" s="22"/>
      <c r="T48" s="22"/>
      <c r="U48" s="22"/>
      <c r="V48" s="22"/>
      <c r="W48" s="22"/>
      <c r="X48" s="22"/>
      <c r="Y48" s="22"/>
      <c r="Z48" s="22"/>
      <c r="AA48" s="22"/>
      <c r="AB48" s="22"/>
      <c r="AC48" s="22"/>
      <c r="AD48" s="22"/>
      <c r="AE48" s="22"/>
      <c r="AF48" s="22"/>
      <c r="AG48" s="22"/>
      <c r="AH48" s="22"/>
      <c r="AI48" s="22"/>
      <c r="AJ48" s="22"/>
    </row>
    <row r="49" spans="1:36" x14ac:dyDescent="0.2">
      <c r="A49" s="22"/>
      <c r="B49" s="22"/>
      <c r="C49" s="38"/>
      <c r="D49" s="38"/>
      <c r="E49" s="46"/>
      <c r="F49" s="46"/>
      <c r="G49" s="46"/>
      <c r="H49" s="46"/>
      <c r="I49" s="46"/>
      <c r="J49" s="38"/>
      <c r="K49" s="38"/>
      <c r="L49" s="38"/>
      <c r="M49" s="38"/>
      <c r="N49" s="22"/>
      <c r="O49" s="22"/>
      <c r="P49" s="22"/>
      <c r="Q49" s="22"/>
      <c r="R49" s="22"/>
      <c r="S49" s="22"/>
      <c r="T49" s="22"/>
      <c r="U49" s="22"/>
      <c r="V49" s="22"/>
      <c r="W49" s="22"/>
      <c r="X49" s="22"/>
      <c r="Y49" s="22"/>
      <c r="Z49" s="22"/>
      <c r="AA49" s="22"/>
      <c r="AB49" s="22"/>
      <c r="AC49" s="22"/>
      <c r="AD49" s="22"/>
      <c r="AE49" s="22"/>
      <c r="AF49" s="22"/>
      <c r="AG49" s="22"/>
      <c r="AH49" s="22"/>
      <c r="AI49" s="22"/>
      <c r="AJ49" s="22"/>
    </row>
    <row r="50" spans="1:36" x14ac:dyDescent="0.2">
      <c r="A50" s="22"/>
      <c r="B50" s="48"/>
      <c r="C50" s="48"/>
      <c r="D50" s="38"/>
      <c r="E50" s="38"/>
      <c r="F50" s="38"/>
      <c r="G50" s="38"/>
      <c r="H50" s="38"/>
      <c r="I50" s="38"/>
      <c r="J50" s="38"/>
      <c r="K50" s="38"/>
      <c r="L50" s="38"/>
      <c r="M50" s="38"/>
      <c r="N50" s="22"/>
      <c r="O50" s="22"/>
      <c r="P50" s="22"/>
      <c r="Q50" s="22"/>
      <c r="R50" s="22"/>
      <c r="S50" s="22"/>
      <c r="T50" s="22"/>
      <c r="U50" s="22"/>
      <c r="V50" s="22"/>
      <c r="W50" s="22"/>
      <c r="X50" s="22"/>
      <c r="Y50" s="22"/>
      <c r="Z50" s="22"/>
      <c r="AA50" s="22"/>
      <c r="AB50" s="22"/>
      <c r="AC50" s="22"/>
      <c r="AD50" s="22"/>
      <c r="AE50" s="22"/>
      <c r="AF50" s="22"/>
      <c r="AG50" s="22"/>
      <c r="AH50" s="22"/>
      <c r="AI50" s="22"/>
      <c r="AJ50" s="22"/>
    </row>
    <row r="51" spans="1:36" x14ac:dyDescent="0.2">
      <c r="A51" s="22"/>
      <c r="B51" s="48"/>
      <c r="C51" s="48"/>
      <c r="D51" s="38"/>
      <c r="E51" s="33"/>
      <c r="F51" s="33"/>
      <c r="G51" s="33"/>
      <c r="H51" s="33"/>
      <c r="I51" s="33"/>
      <c r="J51" s="38"/>
      <c r="K51" s="47"/>
      <c r="L51" s="47"/>
      <c r="M51" s="48"/>
      <c r="N51" s="48"/>
      <c r="O51" s="48"/>
      <c r="P51" s="48"/>
      <c r="Q51" s="48"/>
      <c r="R51" s="48"/>
      <c r="S51" s="22"/>
      <c r="T51" s="22"/>
      <c r="U51" s="22"/>
      <c r="V51" s="22"/>
      <c r="W51" s="22"/>
      <c r="X51" s="22"/>
      <c r="Y51" s="22"/>
      <c r="Z51" s="22"/>
      <c r="AA51" s="22"/>
      <c r="AB51" s="22"/>
      <c r="AC51" s="22"/>
      <c r="AD51" s="22"/>
      <c r="AE51" s="22"/>
      <c r="AF51" s="22"/>
      <c r="AG51" s="22"/>
      <c r="AH51" s="22"/>
      <c r="AI51" s="22"/>
      <c r="AJ51" s="22"/>
    </row>
    <row r="52" spans="1:36" x14ac:dyDescent="0.2">
      <c r="A52" s="22"/>
      <c r="B52" s="48"/>
      <c r="C52" s="48"/>
      <c r="D52" s="48"/>
      <c r="E52" s="48"/>
      <c r="F52" s="48"/>
      <c r="G52" s="48"/>
      <c r="H52" s="48"/>
      <c r="I52" s="48"/>
      <c r="J52" s="48"/>
      <c r="K52" s="48"/>
      <c r="L52" s="48"/>
      <c r="M52" s="48"/>
      <c r="N52" s="48"/>
      <c r="O52" s="48"/>
      <c r="P52" s="48"/>
      <c r="Q52" s="48"/>
      <c r="R52" s="48"/>
      <c r="S52" s="22"/>
      <c r="T52" s="22"/>
      <c r="U52" s="22"/>
      <c r="V52" s="22"/>
      <c r="W52" s="22"/>
      <c r="X52" s="22"/>
      <c r="Y52" s="22"/>
      <c r="Z52" s="22"/>
      <c r="AA52" s="22"/>
      <c r="AB52" s="22"/>
      <c r="AC52" s="22"/>
      <c r="AD52" s="22"/>
      <c r="AE52" s="22"/>
      <c r="AF52" s="22"/>
      <c r="AG52" s="22"/>
      <c r="AH52" s="22"/>
      <c r="AI52" s="22"/>
      <c r="AJ52" s="22"/>
    </row>
    <row r="53" spans="1:36" x14ac:dyDescent="0.2">
      <c r="A53" s="22"/>
      <c r="B53" s="48"/>
      <c r="C53" s="48"/>
      <c r="D53" s="48"/>
      <c r="E53" s="48"/>
      <c r="F53" s="48"/>
      <c r="G53" s="48"/>
      <c r="H53" s="48"/>
      <c r="I53" s="48"/>
      <c r="J53" s="48"/>
      <c r="K53" s="48"/>
      <c r="L53" s="48"/>
      <c r="M53" s="48"/>
      <c r="N53" s="48"/>
      <c r="O53" s="48"/>
      <c r="P53" s="48"/>
      <c r="Q53" s="48"/>
      <c r="R53" s="48"/>
      <c r="S53" s="22"/>
      <c r="T53" s="22"/>
      <c r="U53" s="22"/>
      <c r="V53" s="22"/>
      <c r="W53" s="22"/>
      <c r="X53" s="22"/>
      <c r="Y53" s="22"/>
      <c r="Z53" s="22"/>
      <c r="AA53" s="22"/>
      <c r="AB53" s="22"/>
      <c r="AC53" s="22"/>
      <c r="AD53" s="22"/>
      <c r="AE53" s="22"/>
      <c r="AF53" s="22"/>
      <c r="AG53" s="22"/>
      <c r="AH53" s="22"/>
      <c r="AI53" s="22"/>
      <c r="AJ53" s="22"/>
    </row>
    <row r="54" spans="1:36" x14ac:dyDescent="0.2">
      <c r="A54" s="22"/>
      <c r="B54" s="48"/>
      <c r="C54" s="48"/>
      <c r="D54" s="48"/>
      <c r="E54" s="48"/>
      <c r="F54" s="48"/>
      <c r="G54" s="48"/>
      <c r="H54" s="48"/>
      <c r="I54" s="48"/>
      <c r="J54" s="48"/>
      <c r="K54" s="48"/>
      <c r="L54" s="48"/>
      <c r="M54" s="48"/>
      <c r="N54" s="48"/>
      <c r="O54" s="48"/>
      <c r="P54" s="48"/>
      <c r="Q54" s="48"/>
      <c r="R54" s="48"/>
      <c r="S54" s="22"/>
      <c r="T54" s="22"/>
      <c r="U54" s="22"/>
      <c r="V54" s="22"/>
      <c r="W54" s="22"/>
      <c r="X54" s="22"/>
      <c r="Y54" s="22"/>
      <c r="Z54" s="22"/>
      <c r="AA54" s="22"/>
      <c r="AB54" s="22"/>
      <c r="AC54" s="22"/>
      <c r="AD54" s="22"/>
      <c r="AE54" s="22"/>
      <c r="AF54" s="22"/>
      <c r="AG54" s="22"/>
      <c r="AH54" s="22"/>
      <c r="AI54" s="22"/>
      <c r="AJ54" s="22"/>
    </row>
    <row r="55" spans="1:36" x14ac:dyDescent="0.2">
      <c r="A55" s="22"/>
      <c r="B55" s="48"/>
      <c r="C55" s="48"/>
      <c r="D55" s="48"/>
      <c r="E55" s="48"/>
      <c r="F55" s="48"/>
      <c r="G55" s="48"/>
      <c r="H55" s="48"/>
      <c r="I55" s="48"/>
      <c r="J55" s="48"/>
      <c r="K55" s="48"/>
      <c r="L55" s="48"/>
      <c r="M55" s="48"/>
      <c r="N55" s="48"/>
      <c r="O55" s="48"/>
      <c r="P55" s="48"/>
      <c r="Q55" s="48"/>
      <c r="R55" s="48"/>
      <c r="S55" s="22"/>
      <c r="T55" s="22"/>
      <c r="U55" s="22"/>
      <c r="V55" s="22"/>
      <c r="W55" s="22"/>
      <c r="X55" s="22"/>
      <c r="Y55" s="22"/>
      <c r="Z55" s="22"/>
      <c r="AA55" s="22"/>
      <c r="AB55" s="22"/>
      <c r="AC55" s="22"/>
      <c r="AD55" s="22"/>
      <c r="AE55" s="22"/>
      <c r="AF55" s="22"/>
      <c r="AG55" s="22"/>
      <c r="AH55" s="22"/>
      <c r="AI55" s="22"/>
      <c r="AJ55" s="22"/>
    </row>
    <row r="56" spans="1:36" x14ac:dyDescent="0.2">
      <c r="A56" s="22"/>
      <c r="B56" s="48"/>
      <c r="C56" s="48"/>
      <c r="D56" s="48"/>
      <c r="E56" s="48"/>
      <c r="F56" s="48"/>
      <c r="G56" s="48"/>
      <c r="H56" s="48"/>
      <c r="I56" s="48"/>
      <c r="J56" s="48"/>
      <c r="K56" s="48"/>
      <c r="L56" s="48"/>
      <c r="M56" s="48"/>
      <c r="N56" s="48"/>
      <c r="O56" s="48"/>
      <c r="P56" s="48"/>
      <c r="Q56" s="48"/>
      <c r="R56" s="48"/>
      <c r="S56" s="22"/>
      <c r="T56" s="22"/>
      <c r="U56" s="22"/>
      <c r="V56" s="22"/>
      <c r="W56" s="22"/>
      <c r="X56" s="22"/>
      <c r="Y56" s="22"/>
      <c r="Z56" s="22"/>
      <c r="AA56" s="22"/>
      <c r="AB56" s="22"/>
      <c r="AC56" s="22"/>
      <c r="AD56" s="22"/>
      <c r="AE56" s="22"/>
      <c r="AF56" s="22"/>
      <c r="AG56" s="22"/>
      <c r="AH56" s="22"/>
      <c r="AI56" s="22"/>
      <c r="AJ56" s="22"/>
    </row>
    <row r="57" spans="1:36" x14ac:dyDescent="0.2">
      <c r="A57" s="22"/>
      <c r="B57" s="48"/>
      <c r="C57" s="48"/>
      <c r="D57" s="48"/>
      <c r="E57" s="48"/>
      <c r="F57" s="48"/>
      <c r="G57" s="48"/>
      <c r="H57" s="48"/>
      <c r="I57" s="48"/>
      <c r="J57" s="48"/>
      <c r="K57" s="48"/>
      <c r="L57" s="48"/>
      <c r="M57" s="48"/>
      <c r="N57" s="48"/>
      <c r="O57" s="48"/>
      <c r="P57" s="48"/>
      <c r="Q57" s="48"/>
      <c r="R57" s="48"/>
      <c r="S57" s="22"/>
      <c r="T57" s="22"/>
      <c r="U57" s="22"/>
      <c r="V57" s="22"/>
      <c r="W57" s="22"/>
      <c r="X57" s="22"/>
      <c r="Y57" s="22"/>
      <c r="Z57" s="22"/>
      <c r="AA57" s="22"/>
      <c r="AB57" s="22"/>
      <c r="AC57" s="22"/>
      <c r="AD57" s="22"/>
      <c r="AE57" s="22"/>
      <c r="AF57" s="22"/>
      <c r="AG57" s="22"/>
      <c r="AH57" s="22"/>
      <c r="AI57" s="22"/>
      <c r="AJ57" s="22"/>
    </row>
    <row r="58" spans="1:36" x14ac:dyDescent="0.2">
      <c r="A58" s="22"/>
      <c r="B58" s="48"/>
      <c r="C58" s="48"/>
      <c r="D58" s="48"/>
      <c r="E58" s="48"/>
      <c r="F58" s="48"/>
      <c r="G58" s="48"/>
      <c r="H58" s="48"/>
      <c r="I58" s="48"/>
      <c r="J58" s="48"/>
      <c r="K58" s="48"/>
      <c r="L58" s="48"/>
      <c r="M58" s="48"/>
      <c r="N58" s="48"/>
      <c r="O58" s="48"/>
      <c r="P58" s="48"/>
      <c r="Q58" s="48"/>
      <c r="R58" s="48"/>
      <c r="S58" s="22"/>
      <c r="T58" s="22"/>
      <c r="U58" s="22"/>
      <c r="V58" s="22"/>
      <c r="W58" s="22"/>
      <c r="X58" s="22"/>
      <c r="Y58" s="22"/>
      <c r="Z58" s="22"/>
      <c r="AA58" s="22"/>
      <c r="AB58" s="22"/>
      <c r="AC58" s="22"/>
      <c r="AD58" s="22"/>
      <c r="AE58" s="22"/>
      <c r="AF58" s="22"/>
      <c r="AG58" s="22"/>
      <c r="AH58" s="22"/>
      <c r="AI58" s="22"/>
      <c r="AJ58" s="22"/>
    </row>
    <row r="59" spans="1:36" x14ac:dyDescent="0.2">
      <c r="A59" s="22"/>
      <c r="B59" s="48"/>
      <c r="C59" s="48"/>
      <c r="D59" s="48"/>
      <c r="E59" s="48"/>
      <c r="F59" s="48"/>
      <c r="G59" s="48"/>
      <c r="H59" s="48"/>
      <c r="I59" s="48"/>
      <c r="J59" s="48"/>
      <c r="K59" s="48"/>
      <c r="L59" s="48"/>
      <c r="M59" s="48"/>
      <c r="N59" s="48"/>
      <c r="O59" s="48"/>
      <c r="P59" s="48"/>
      <c r="Q59" s="48"/>
      <c r="R59" s="48"/>
      <c r="S59" s="22"/>
      <c r="T59" s="22"/>
      <c r="U59" s="22"/>
      <c r="V59" s="22"/>
      <c r="W59" s="22"/>
      <c r="X59" s="22"/>
      <c r="Y59" s="22"/>
      <c r="Z59" s="22"/>
      <c r="AA59" s="22"/>
      <c r="AB59" s="22"/>
      <c r="AC59" s="22"/>
      <c r="AD59" s="22"/>
      <c r="AE59" s="22"/>
      <c r="AF59" s="22"/>
      <c r="AG59" s="22"/>
      <c r="AH59" s="22"/>
      <c r="AI59" s="22"/>
      <c r="AJ59" s="22"/>
    </row>
    <row r="60" spans="1:36" x14ac:dyDescent="0.2">
      <c r="A60" s="22"/>
      <c r="B60" s="48"/>
      <c r="C60" s="48"/>
      <c r="D60" s="48"/>
      <c r="E60" s="48"/>
      <c r="F60" s="48"/>
      <c r="G60" s="48"/>
      <c r="H60" s="48"/>
      <c r="I60" s="48"/>
      <c r="J60" s="48"/>
      <c r="K60" s="48"/>
      <c r="L60" s="48"/>
      <c r="M60" s="48"/>
      <c r="N60" s="48"/>
      <c r="O60" s="48"/>
      <c r="P60" s="48"/>
      <c r="Q60" s="48"/>
      <c r="R60" s="48"/>
      <c r="S60" s="22"/>
      <c r="T60" s="22"/>
      <c r="U60" s="22"/>
      <c r="V60" s="22"/>
      <c r="W60" s="22"/>
      <c r="X60" s="22"/>
      <c r="Y60" s="22"/>
      <c r="Z60" s="22"/>
      <c r="AA60" s="22"/>
      <c r="AB60" s="22"/>
      <c r="AC60" s="22"/>
      <c r="AD60" s="22"/>
      <c r="AE60" s="22"/>
      <c r="AF60" s="22"/>
      <c r="AG60" s="22"/>
      <c r="AH60" s="22"/>
      <c r="AI60" s="22"/>
      <c r="AJ60" s="22"/>
    </row>
    <row r="61" spans="1:36" x14ac:dyDescent="0.2">
      <c r="A61" s="22"/>
      <c r="B61" s="48"/>
      <c r="C61" s="48"/>
      <c r="D61" s="48"/>
      <c r="E61" s="48"/>
      <c r="F61" s="48"/>
      <c r="G61" s="48"/>
      <c r="H61" s="48"/>
      <c r="I61" s="48"/>
      <c r="J61" s="48"/>
      <c r="K61" s="48"/>
      <c r="L61" s="48"/>
      <c r="M61" s="48"/>
      <c r="N61" s="48"/>
      <c r="O61" s="48"/>
      <c r="P61" s="48"/>
      <c r="Q61" s="48"/>
      <c r="R61" s="48"/>
      <c r="S61" s="22"/>
      <c r="T61" s="22"/>
      <c r="U61" s="22"/>
      <c r="V61" s="22"/>
      <c r="W61" s="22"/>
      <c r="X61" s="22"/>
      <c r="Y61" s="22"/>
      <c r="Z61" s="22"/>
      <c r="AA61" s="22"/>
      <c r="AB61" s="22"/>
      <c r="AC61" s="22"/>
      <c r="AD61" s="22"/>
      <c r="AE61" s="22"/>
      <c r="AF61" s="22"/>
      <c r="AG61" s="22"/>
      <c r="AH61" s="22"/>
      <c r="AI61" s="22"/>
      <c r="AJ61" s="22"/>
    </row>
    <row r="62" spans="1:36" x14ac:dyDescent="0.2">
      <c r="A62" s="22"/>
      <c r="B62" s="48"/>
      <c r="C62" s="48"/>
      <c r="D62" s="48"/>
      <c r="E62" s="48"/>
      <c r="F62" s="48"/>
      <c r="G62" s="48"/>
      <c r="H62" s="48"/>
      <c r="I62" s="48"/>
      <c r="J62" s="48"/>
      <c r="K62" s="48"/>
      <c r="L62" s="48"/>
      <c r="M62" s="48"/>
      <c r="N62" s="48"/>
      <c r="O62" s="48"/>
      <c r="P62" s="48"/>
      <c r="Q62" s="48"/>
      <c r="R62" s="48"/>
      <c r="S62" s="22"/>
      <c r="T62" s="22"/>
      <c r="U62" s="22"/>
      <c r="V62" s="22"/>
      <c r="W62" s="22"/>
      <c r="X62" s="22"/>
      <c r="Y62" s="22"/>
      <c r="Z62" s="22"/>
      <c r="AA62" s="22"/>
      <c r="AB62" s="22"/>
      <c r="AC62" s="22"/>
      <c r="AD62" s="22"/>
      <c r="AE62" s="22"/>
      <c r="AF62" s="22"/>
      <c r="AG62" s="22"/>
      <c r="AH62" s="22"/>
      <c r="AI62" s="22"/>
      <c r="AJ62" s="22"/>
    </row>
    <row r="63" spans="1:36" x14ac:dyDescent="0.2">
      <c r="A63" s="22"/>
      <c r="B63" s="48"/>
      <c r="C63" s="48"/>
      <c r="D63" s="48"/>
      <c r="E63" s="48"/>
      <c r="F63" s="48"/>
      <c r="G63" s="48"/>
      <c r="H63" s="48"/>
      <c r="I63" s="48"/>
      <c r="J63" s="48"/>
      <c r="K63" s="48"/>
      <c r="L63" s="48"/>
      <c r="M63" s="48"/>
      <c r="N63" s="48"/>
      <c r="O63" s="48"/>
      <c r="P63" s="48"/>
      <c r="Q63" s="48"/>
      <c r="R63" s="48"/>
      <c r="S63" s="22"/>
      <c r="T63" s="22"/>
      <c r="U63" s="22"/>
      <c r="V63" s="22"/>
      <c r="W63" s="22"/>
      <c r="X63" s="22"/>
      <c r="Y63" s="22"/>
      <c r="Z63" s="22"/>
      <c r="AA63" s="22"/>
      <c r="AB63" s="22"/>
      <c r="AC63" s="22"/>
      <c r="AD63" s="22"/>
      <c r="AE63" s="22"/>
      <c r="AF63" s="22"/>
      <c r="AG63" s="22"/>
      <c r="AH63" s="22"/>
      <c r="AI63" s="22"/>
      <c r="AJ63" s="22"/>
    </row>
    <row r="64" spans="1:36" x14ac:dyDescent="0.2">
      <c r="A64" s="22"/>
      <c r="B64" s="48"/>
      <c r="C64" s="48"/>
      <c r="D64" s="48"/>
      <c r="E64" s="48"/>
      <c r="F64" s="48"/>
      <c r="G64" s="48"/>
      <c r="H64" s="48"/>
      <c r="I64" s="48"/>
      <c r="J64" s="48"/>
      <c r="K64" s="48"/>
      <c r="L64" s="48"/>
      <c r="M64" s="37"/>
      <c r="N64" s="37"/>
      <c r="O64" s="37"/>
      <c r="P64" s="48"/>
      <c r="Q64" s="48"/>
      <c r="R64" s="48"/>
      <c r="S64" s="22"/>
      <c r="T64" s="22"/>
      <c r="U64" s="22"/>
      <c r="V64" s="22"/>
      <c r="W64" s="22"/>
      <c r="X64" s="22"/>
      <c r="Y64" s="22"/>
      <c r="Z64" s="22"/>
      <c r="AA64" s="22"/>
      <c r="AB64" s="22"/>
      <c r="AC64" s="22"/>
      <c r="AD64" s="22"/>
      <c r="AE64" s="22"/>
      <c r="AF64" s="22"/>
      <c r="AG64" s="22"/>
      <c r="AH64" s="22"/>
      <c r="AI64" s="22"/>
      <c r="AJ64" s="22"/>
    </row>
    <row r="65" spans="1:36" x14ac:dyDescent="0.2">
      <c r="A65" s="22"/>
      <c r="B65" s="48"/>
      <c r="C65" s="48"/>
      <c r="D65" s="48"/>
      <c r="E65" s="48"/>
      <c r="F65" s="37"/>
      <c r="G65" s="37"/>
      <c r="H65" s="37"/>
      <c r="I65" s="37"/>
      <c r="J65" s="37"/>
      <c r="K65" s="37"/>
      <c r="L65" s="37"/>
      <c r="M65" s="48"/>
      <c r="N65" s="48"/>
      <c r="O65" s="48"/>
      <c r="P65" s="48"/>
      <c r="Q65" s="48"/>
      <c r="R65" s="48"/>
      <c r="S65" s="22"/>
      <c r="T65" s="22"/>
      <c r="U65" s="22"/>
      <c r="V65" s="22"/>
      <c r="W65" s="22"/>
      <c r="X65" s="22"/>
      <c r="Y65" s="22"/>
      <c r="Z65" s="22"/>
      <c r="AA65" s="22"/>
      <c r="AB65" s="22"/>
      <c r="AC65" s="22"/>
      <c r="AD65" s="22"/>
      <c r="AE65" s="22"/>
      <c r="AF65" s="22"/>
      <c r="AG65" s="22"/>
      <c r="AH65" s="22"/>
      <c r="AI65" s="22"/>
      <c r="AJ65" s="22"/>
    </row>
    <row r="66" spans="1:36" x14ac:dyDescent="0.2">
      <c r="A66" s="22"/>
      <c r="B66" s="48"/>
      <c r="C66" s="48"/>
      <c r="D66" s="48"/>
      <c r="E66" s="48"/>
      <c r="F66" s="48"/>
      <c r="G66" s="48"/>
      <c r="H66" s="48"/>
      <c r="I66" s="48"/>
      <c r="J66" s="48"/>
      <c r="K66" s="48"/>
      <c r="L66" s="48"/>
      <c r="M66" s="48"/>
      <c r="N66" s="48"/>
      <c r="O66" s="48"/>
      <c r="P66" s="48"/>
      <c r="Q66" s="48"/>
      <c r="R66" s="48"/>
      <c r="S66" s="22"/>
      <c r="T66" s="22"/>
      <c r="U66" s="22"/>
      <c r="V66" s="22"/>
      <c r="W66" s="22"/>
      <c r="X66" s="22"/>
      <c r="Y66" s="22"/>
      <c r="Z66" s="22"/>
      <c r="AA66" s="22"/>
      <c r="AB66" s="22"/>
      <c r="AC66" s="22"/>
      <c r="AD66" s="22"/>
      <c r="AE66" s="22"/>
      <c r="AF66" s="22"/>
      <c r="AG66" s="22"/>
      <c r="AH66" s="22"/>
      <c r="AI66" s="22"/>
      <c r="AJ66" s="22"/>
    </row>
    <row r="67" spans="1:36" x14ac:dyDescent="0.2">
      <c r="A67" s="22"/>
      <c r="B67" s="48"/>
      <c r="C67" s="48"/>
      <c r="D67" s="48"/>
      <c r="E67" s="48"/>
      <c r="F67" s="48"/>
      <c r="G67" s="48"/>
      <c r="H67" s="48"/>
      <c r="I67" s="48"/>
      <c r="J67" s="48"/>
      <c r="K67" s="48"/>
      <c r="L67" s="48"/>
      <c r="M67" s="48"/>
      <c r="N67" s="48"/>
      <c r="O67" s="48"/>
      <c r="P67" s="48"/>
      <c r="Q67" s="48"/>
      <c r="R67" s="48"/>
      <c r="S67" s="22"/>
      <c r="T67" s="22"/>
      <c r="U67" s="22"/>
      <c r="V67" s="22"/>
      <c r="W67" s="22"/>
      <c r="X67" s="22"/>
      <c r="Y67" s="22"/>
      <c r="Z67" s="22"/>
      <c r="AA67" s="22"/>
      <c r="AB67" s="22"/>
      <c r="AC67" s="22"/>
      <c r="AD67" s="22"/>
      <c r="AE67" s="22"/>
      <c r="AF67" s="22"/>
      <c r="AG67" s="22"/>
      <c r="AH67" s="22"/>
      <c r="AI67" s="22"/>
      <c r="AJ67" s="22"/>
    </row>
    <row r="68" spans="1:36" x14ac:dyDescent="0.2">
      <c r="A68" s="22"/>
      <c r="B68" s="48"/>
      <c r="C68" s="48"/>
      <c r="D68" s="48"/>
      <c r="E68" s="48"/>
      <c r="F68" s="48"/>
      <c r="G68" s="48"/>
      <c r="H68" s="48"/>
      <c r="I68" s="48"/>
      <c r="J68" s="48"/>
      <c r="K68" s="48"/>
      <c r="L68" s="48"/>
      <c r="M68" s="48"/>
      <c r="N68" s="48"/>
      <c r="O68" s="48"/>
      <c r="P68" s="48"/>
      <c r="Q68" s="48"/>
      <c r="R68" s="48"/>
      <c r="S68" s="22"/>
      <c r="T68" s="22"/>
      <c r="U68" s="22"/>
      <c r="V68" s="22"/>
      <c r="W68" s="22"/>
      <c r="X68" s="22"/>
      <c r="Y68" s="22"/>
      <c r="Z68" s="22"/>
      <c r="AA68" s="22"/>
      <c r="AB68" s="22"/>
      <c r="AC68" s="22"/>
      <c r="AD68" s="22"/>
      <c r="AE68" s="22"/>
      <c r="AF68" s="22"/>
      <c r="AG68" s="22"/>
      <c r="AH68" s="22"/>
      <c r="AI68" s="22"/>
      <c r="AJ68" s="22"/>
    </row>
    <row r="69" spans="1:36" x14ac:dyDescent="0.2">
      <c r="A69" s="22"/>
      <c r="B69" s="48"/>
      <c r="C69" s="48"/>
      <c r="D69" s="48"/>
      <c r="E69" s="48"/>
      <c r="F69" s="48"/>
      <c r="G69" s="48"/>
      <c r="H69" s="48"/>
      <c r="I69" s="48"/>
      <c r="J69" s="48"/>
      <c r="K69" s="48"/>
      <c r="L69" s="48"/>
      <c r="M69" s="48"/>
      <c r="N69" s="48"/>
      <c r="O69" s="48"/>
      <c r="P69" s="48"/>
      <c r="Q69" s="48"/>
      <c r="R69" s="48"/>
      <c r="S69" s="22"/>
      <c r="T69" s="22"/>
      <c r="U69" s="22"/>
      <c r="V69" s="22"/>
      <c r="W69" s="22"/>
      <c r="X69" s="22"/>
      <c r="Y69" s="22"/>
      <c r="Z69" s="22"/>
      <c r="AA69" s="22"/>
      <c r="AB69" s="22"/>
      <c r="AC69" s="22"/>
      <c r="AD69" s="22"/>
      <c r="AE69" s="22"/>
      <c r="AF69" s="22"/>
      <c r="AG69" s="22"/>
      <c r="AH69" s="22"/>
      <c r="AI69" s="22"/>
      <c r="AJ69" s="22"/>
    </row>
    <row r="70" spans="1:36" x14ac:dyDescent="0.2">
      <c r="A70" s="22"/>
      <c r="B70" s="48"/>
      <c r="C70" s="48"/>
      <c r="D70" s="48"/>
      <c r="E70" s="48"/>
      <c r="F70" s="48"/>
      <c r="G70" s="48"/>
      <c r="H70" s="48"/>
      <c r="I70" s="48"/>
      <c r="J70" s="48"/>
      <c r="K70" s="48"/>
      <c r="L70" s="48"/>
      <c r="M70" s="48"/>
      <c r="N70" s="48"/>
      <c r="O70" s="48"/>
      <c r="P70" s="48"/>
      <c r="Q70" s="48"/>
      <c r="R70" s="48"/>
      <c r="S70" s="22"/>
      <c r="T70" s="22"/>
      <c r="U70" s="22"/>
      <c r="V70" s="22"/>
      <c r="W70" s="22"/>
      <c r="X70" s="22"/>
      <c r="Y70" s="22"/>
      <c r="Z70" s="22"/>
      <c r="AA70" s="22"/>
      <c r="AB70" s="22"/>
      <c r="AC70" s="22"/>
      <c r="AD70" s="22"/>
      <c r="AE70" s="22"/>
      <c r="AF70" s="22"/>
      <c r="AG70" s="22"/>
      <c r="AH70" s="22"/>
      <c r="AI70" s="22"/>
      <c r="AJ70" s="22"/>
    </row>
    <row r="71" spans="1:36" x14ac:dyDescent="0.2">
      <c r="A71" s="22"/>
      <c r="B71" s="48"/>
      <c r="C71" s="48"/>
      <c r="D71" s="48"/>
      <c r="E71" s="48"/>
      <c r="F71" s="48"/>
      <c r="G71" s="48"/>
      <c r="H71" s="48"/>
      <c r="I71" s="48"/>
      <c r="J71" s="48"/>
      <c r="K71" s="48"/>
      <c r="L71" s="48"/>
      <c r="M71" s="48"/>
      <c r="N71" s="48"/>
      <c r="O71" s="48"/>
      <c r="P71" s="48"/>
      <c r="Q71" s="48"/>
      <c r="R71" s="48"/>
      <c r="S71" s="22"/>
      <c r="T71" s="22"/>
      <c r="U71" s="22"/>
      <c r="V71" s="22"/>
      <c r="W71" s="22"/>
      <c r="X71" s="22"/>
      <c r="Y71" s="22"/>
      <c r="Z71" s="22"/>
      <c r="AA71" s="22"/>
      <c r="AB71" s="22"/>
      <c r="AC71" s="22"/>
      <c r="AD71" s="22"/>
      <c r="AE71" s="22"/>
      <c r="AF71" s="22"/>
      <c r="AG71" s="22"/>
      <c r="AH71" s="22"/>
      <c r="AI71" s="22"/>
      <c r="AJ71" s="22"/>
    </row>
    <row r="72" spans="1:36" x14ac:dyDescent="0.2">
      <c r="A72" s="22"/>
      <c r="B72" s="48"/>
      <c r="C72" s="48"/>
      <c r="D72" s="48"/>
      <c r="E72" s="48"/>
      <c r="F72" s="48"/>
      <c r="G72" s="48"/>
      <c r="H72" s="48"/>
      <c r="I72" s="48"/>
      <c r="J72" s="48"/>
      <c r="K72" s="48"/>
      <c r="L72" s="48"/>
      <c r="M72" s="48"/>
      <c r="N72" s="48"/>
      <c r="O72" s="48"/>
      <c r="P72" s="48"/>
      <c r="Q72" s="48"/>
      <c r="R72" s="48"/>
      <c r="S72" s="22"/>
      <c r="T72" s="22"/>
      <c r="U72" s="22"/>
      <c r="V72" s="22"/>
      <c r="W72" s="22"/>
      <c r="X72" s="22"/>
      <c r="Y72" s="22"/>
      <c r="Z72" s="22"/>
      <c r="AA72" s="22"/>
      <c r="AB72" s="22"/>
      <c r="AC72" s="22"/>
      <c r="AD72" s="22"/>
      <c r="AE72" s="22"/>
      <c r="AF72" s="22"/>
      <c r="AG72" s="22"/>
      <c r="AH72" s="22"/>
      <c r="AI72" s="22"/>
      <c r="AJ72" s="22"/>
    </row>
    <row r="73" spans="1:36" x14ac:dyDescent="0.2">
      <c r="A73" s="22"/>
      <c r="B73" s="22"/>
      <c r="C73" s="22"/>
      <c r="D73" s="48"/>
      <c r="E73" s="48"/>
      <c r="F73" s="48"/>
      <c r="G73" s="48"/>
      <c r="H73" s="48"/>
      <c r="I73" s="48"/>
      <c r="J73" s="48"/>
      <c r="K73" s="48"/>
      <c r="L73" s="48"/>
      <c r="M73" s="48"/>
      <c r="N73" s="48"/>
      <c r="O73" s="48"/>
      <c r="P73" s="48"/>
      <c r="Q73" s="48"/>
      <c r="R73" s="48"/>
      <c r="S73" s="22"/>
      <c r="T73" s="22"/>
      <c r="U73" s="22"/>
      <c r="V73" s="22"/>
      <c r="W73" s="22"/>
      <c r="X73" s="22"/>
      <c r="Y73" s="22"/>
      <c r="Z73" s="22"/>
      <c r="AA73" s="22"/>
      <c r="AB73" s="22"/>
      <c r="AC73" s="22"/>
      <c r="AD73" s="22"/>
      <c r="AE73" s="22"/>
      <c r="AF73" s="22"/>
      <c r="AG73" s="22"/>
      <c r="AH73" s="22"/>
      <c r="AI73" s="22"/>
      <c r="AJ73" s="22"/>
    </row>
    <row r="74" spans="1:36" x14ac:dyDescent="0.2">
      <c r="A74" s="22"/>
      <c r="B74" s="22"/>
      <c r="C74" s="22"/>
      <c r="D74" s="48"/>
      <c r="E74" s="48"/>
      <c r="F74" s="48"/>
      <c r="G74" s="48"/>
      <c r="H74" s="48"/>
      <c r="I74" s="48"/>
      <c r="J74" s="48"/>
      <c r="K74" s="48"/>
      <c r="L74" s="48"/>
      <c r="M74" s="22"/>
      <c r="N74" s="22"/>
      <c r="O74" s="22"/>
      <c r="P74" s="22"/>
      <c r="Q74" s="22"/>
      <c r="R74" s="22"/>
      <c r="S74" s="22"/>
      <c r="T74" s="22"/>
      <c r="U74" s="22"/>
      <c r="V74" s="22"/>
      <c r="W74" s="22"/>
      <c r="X74" s="22"/>
      <c r="Y74" s="22"/>
      <c r="Z74" s="22"/>
      <c r="AA74" s="22"/>
      <c r="AB74" s="22"/>
      <c r="AC74" s="22"/>
      <c r="AD74" s="22"/>
      <c r="AE74" s="22"/>
      <c r="AF74" s="22"/>
      <c r="AG74" s="22"/>
      <c r="AH74" s="22"/>
      <c r="AI74" s="22"/>
      <c r="AJ74" s="22"/>
    </row>
    <row r="75" spans="1:36" x14ac:dyDescent="0.2">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row>
    <row r="76" spans="1:36" x14ac:dyDescent="0.2">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row>
    <row r="77" spans="1:36" x14ac:dyDescent="0.2">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row>
    <row r="78" spans="1:36" x14ac:dyDescent="0.2">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row>
    <row r="79" spans="1:36" x14ac:dyDescent="0.2">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row>
    <row r="80" spans="1:36" x14ac:dyDescent="0.2">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row>
    <row r="81" spans="1:36" x14ac:dyDescent="0.2">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row>
    <row r="82" spans="1:36" x14ac:dyDescent="0.2">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row>
    <row r="83" spans="1:36" x14ac:dyDescent="0.2">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row>
    <row r="84" spans="1:36" x14ac:dyDescent="0.2">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row>
    <row r="85" spans="1:36" x14ac:dyDescent="0.2">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row>
    <row r="86" spans="1:36" x14ac:dyDescent="0.2">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row>
    <row r="87" spans="1:36" x14ac:dyDescent="0.2">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row>
    <row r="88" spans="1:36" x14ac:dyDescent="0.2">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row>
    <row r="89" spans="1:36" x14ac:dyDescent="0.2">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row>
    <row r="90" spans="1:36" x14ac:dyDescent="0.2">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row>
    <row r="91" spans="1:36" x14ac:dyDescent="0.2">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row>
    <row r="92" spans="1:36" x14ac:dyDescent="0.2">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row>
    <row r="93" spans="1:36" x14ac:dyDescent="0.2">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row>
    <row r="94" spans="1:36" x14ac:dyDescent="0.2">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row>
    <row r="95" spans="1:36" x14ac:dyDescent="0.2">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row>
    <row r="96" spans="1:36" x14ac:dyDescent="0.2">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row>
    <row r="97" spans="1:36" x14ac:dyDescent="0.2">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row>
    <row r="98" spans="1:36" x14ac:dyDescent="0.2">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row>
    <row r="99" spans="1:36" x14ac:dyDescent="0.2">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row>
    <row r="100" spans="1:36" x14ac:dyDescent="0.2">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row>
    <row r="101" spans="1:36" x14ac:dyDescent="0.2">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row>
    <row r="102" spans="1:36" x14ac:dyDescent="0.2">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row>
    <row r="103" spans="1:36" x14ac:dyDescent="0.2">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row>
    <row r="104" spans="1:36" x14ac:dyDescent="0.2">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row>
    <row r="105" spans="1:36" x14ac:dyDescent="0.2">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row>
    <row r="106" spans="1:36" x14ac:dyDescent="0.2">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row>
    <row r="107" spans="1:36" x14ac:dyDescent="0.2">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row>
    <row r="108" spans="1:36" x14ac:dyDescent="0.2">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row>
    <row r="109" spans="1:36" x14ac:dyDescent="0.2">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row>
    <row r="110" spans="1:36" x14ac:dyDescent="0.2">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row>
    <row r="111" spans="1:36" x14ac:dyDescent="0.2">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row>
    <row r="112" spans="1:36" x14ac:dyDescent="0.2">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row>
    <row r="113" spans="1:36" x14ac:dyDescent="0.2">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row>
    <row r="114" spans="1:36" x14ac:dyDescent="0.2">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row>
    <row r="115" spans="1:36" x14ac:dyDescent="0.2">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row>
    <row r="116" spans="1:36" x14ac:dyDescent="0.2">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row>
    <row r="117" spans="1:36" x14ac:dyDescent="0.2">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row>
    <row r="118" spans="1:36" x14ac:dyDescent="0.2">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row>
    <row r="119" spans="1:36" x14ac:dyDescent="0.2">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row>
    <row r="120" spans="1:36" x14ac:dyDescent="0.2">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row>
    <row r="121" spans="1:36" x14ac:dyDescent="0.2">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row>
    <row r="122" spans="1:36" x14ac:dyDescent="0.2">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row>
    <row r="123" spans="1:36" x14ac:dyDescent="0.2">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row>
    <row r="124" spans="1:36" x14ac:dyDescent="0.2">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row>
    <row r="125" spans="1:36" x14ac:dyDescent="0.2">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row>
    <row r="126" spans="1:36" x14ac:dyDescent="0.2">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row>
    <row r="127" spans="1:36" x14ac:dyDescent="0.2">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row>
    <row r="128" spans="1:36" x14ac:dyDescent="0.2">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row>
    <row r="129" spans="1:36" x14ac:dyDescent="0.2">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row>
    <row r="130" spans="1:36" x14ac:dyDescent="0.2">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row>
    <row r="131" spans="1:36" x14ac:dyDescent="0.2">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row>
    <row r="132" spans="1:36" x14ac:dyDescent="0.2">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row>
    <row r="133" spans="1:36" x14ac:dyDescent="0.2">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row>
    <row r="134" spans="1:36" x14ac:dyDescent="0.2">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row>
    <row r="135" spans="1:36" x14ac:dyDescent="0.2">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row>
    <row r="136" spans="1:36" x14ac:dyDescent="0.2">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row>
    <row r="137" spans="1:36" x14ac:dyDescent="0.2">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row>
    <row r="138" spans="1:36" x14ac:dyDescent="0.2">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row>
    <row r="139" spans="1:36" x14ac:dyDescent="0.2">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row>
    <row r="140" spans="1:36" x14ac:dyDescent="0.2">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row>
    <row r="141" spans="1:36" x14ac:dyDescent="0.2">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row>
    <row r="142" spans="1:36" x14ac:dyDescent="0.2">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row>
    <row r="143" spans="1:36" x14ac:dyDescent="0.2">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row>
    <row r="144" spans="1:36" x14ac:dyDescent="0.2">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row>
    <row r="145" spans="1:36" x14ac:dyDescent="0.2">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row>
    <row r="146" spans="1:36" x14ac:dyDescent="0.2">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row>
    <row r="147" spans="1:36" x14ac:dyDescent="0.2">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row>
    <row r="148" spans="1:36" x14ac:dyDescent="0.2">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row>
    <row r="149" spans="1:36" x14ac:dyDescent="0.2">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row>
    <row r="150" spans="1:36" x14ac:dyDescent="0.2">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row>
    <row r="151" spans="1:36" x14ac:dyDescent="0.2">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row>
    <row r="152" spans="1:36" x14ac:dyDescent="0.2">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row>
    <row r="153" spans="1:36" x14ac:dyDescent="0.2">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row>
    <row r="154" spans="1:36" x14ac:dyDescent="0.2">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row>
    <row r="155" spans="1:36" x14ac:dyDescent="0.2">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row>
    <row r="156" spans="1:36" x14ac:dyDescent="0.2">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row>
    <row r="157" spans="1:36" x14ac:dyDescent="0.2">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row>
    <row r="158" spans="1:36" x14ac:dyDescent="0.2">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row>
    <row r="159" spans="1:36" x14ac:dyDescent="0.2">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row>
    <row r="160" spans="1:36" x14ac:dyDescent="0.2">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row>
    <row r="161" spans="1:36" x14ac:dyDescent="0.2">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row>
    <row r="162" spans="1:36" x14ac:dyDescent="0.2">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row>
    <row r="163" spans="1:36" x14ac:dyDescent="0.2">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row>
    <row r="164" spans="1:36" x14ac:dyDescent="0.2">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row>
    <row r="165" spans="1:36" x14ac:dyDescent="0.2">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row>
    <row r="166" spans="1:36" x14ac:dyDescent="0.2">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row>
    <row r="167" spans="1:36" x14ac:dyDescent="0.2">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row>
    <row r="168" spans="1:36" x14ac:dyDescent="0.2">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row>
    <row r="169" spans="1:36" x14ac:dyDescent="0.2">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row>
    <row r="170" spans="1:36" x14ac:dyDescent="0.2">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row>
    <row r="171" spans="1:36" x14ac:dyDescent="0.2">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row>
    <row r="172" spans="1:36" x14ac:dyDescent="0.2">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row>
    <row r="173" spans="1:36" x14ac:dyDescent="0.2">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row>
    <row r="174" spans="1:36" x14ac:dyDescent="0.2">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row>
    <row r="175" spans="1:36" x14ac:dyDescent="0.2">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row>
    <row r="176" spans="1:36" x14ac:dyDescent="0.2">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row>
    <row r="177" spans="1:36" x14ac:dyDescent="0.2">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row>
    <row r="178" spans="1:36" x14ac:dyDescent="0.2">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row>
    <row r="179" spans="1:36" x14ac:dyDescent="0.2">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row>
    <row r="180" spans="1:36" x14ac:dyDescent="0.2">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row>
    <row r="181" spans="1:36" x14ac:dyDescent="0.2">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row>
    <row r="182" spans="1:36" x14ac:dyDescent="0.2">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row>
    <row r="183" spans="1:36" x14ac:dyDescent="0.2">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row>
    <row r="184" spans="1:36" x14ac:dyDescent="0.2">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row>
    <row r="185" spans="1:36" x14ac:dyDescent="0.2">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row>
    <row r="186" spans="1:36" x14ac:dyDescent="0.2">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row>
    <row r="187" spans="1:36" x14ac:dyDescent="0.2">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row>
    <row r="188" spans="1:36" x14ac:dyDescent="0.2">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row>
    <row r="189" spans="1:36" x14ac:dyDescent="0.2">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row>
    <row r="190" spans="1:36" x14ac:dyDescent="0.2">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row>
    <row r="191" spans="1:36" x14ac:dyDescent="0.2">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row>
    <row r="192" spans="1:36" x14ac:dyDescent="0.2">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row>
    <row r="193" spans="1:36" x14ac:dyDescent="0.2">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row>
    <row r="194" spans="1:36" x14ac:dyDescent="0.2">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row>
    <row r="195" spans="1:36" x14ac:dyDescent="0.2">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row>
    <row r="196" spans="1:36" x14ac:dyDescent="0.2">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row>
    <row r="197" spans="1:36" x14ac:dyDescent="0.2">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row>
    <row r="198" spans="1:36" x14ac:dyDescent="0.2">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row>
    <row r="199" spans="1:36" x14ac:dyDescent="0.2">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row>
    <row r="200" spans="1:36" x14ac:dyDescent="0.2">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row>
    <row r="201" spans="1:36" x14ac:dyDescent="0.2">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row>
    <row r="202" spans="1:36" x14ac:dyDescent="0.2">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row>
    <row r="203" spans="1:36" x14ac:dyDescent="0.2">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row>
    <row r="204" spans="1:36" x14ac:dyDescent="0.2">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row>
    <row r="205" spans="1:36" x14ac:dyDescent="0.2">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row>
    <row r="206" spans="1:36" x14ac:dyDescent="0.2">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row>
    <row r="207" spans="1:36" x14ac:dyDescent="0.2">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row>
    <row r="208" spans="1:36" x14ac:dyDescent="0.2">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row>
    <row r="209" spans="1:36" x14ac:dyDescent="0.2">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row>
    <row r="210" spans="1:36" x14ac:dyDescent="0.2">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row>
    <row r="211" spans="1:36" x14ac:dyDescent="0.2">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row>
    <row r="212" spans="1:36" x14ac:dyDescent="0.2">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row>
    <row r="213" spans="1:36" x14ac:dyDescent="0.2">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row>
    <row r="214" spans="1:36" x14ac:dyDescent="0.2">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row>
    <row r="215" spans="1:36" x14ac:dyDescent="0.2">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row>
    <row r="216" spans="1:36" x14ac:dyDescent="0.2">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row>
    <row r="217" spans="1:36" x14ac:dyDescent="0.2">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row>
    <row r="218" spans="1:36" x14ac:dyDescent="0.2">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row>
    <row r="219" spans="1:36" x14ac:dyDescent="0.2">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row>
    <row r="220" spans="1:36" x14ac:dyDescent="0.2">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row>
    <row r="221" spans="1:36" x14ac:dyDescent="0.2">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row>
    <row r="222" spans="1:36" x14ac:dyDescent="0.2">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row>
    <row r="223" spans="1:36" x14ac:dyDescent="0.2">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row>
    <row r="224" spans="1:36" x14ac:dyDescent="0.2">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row>
    <row r="225" spans="1:36" x14ac:dyDescent="0.2">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row>
    <row r="226" spans="1:36" x14ac:dyDescent="0.2">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row>
    <row r="227" spans="1:36" x14ac:dyDescent="0.2">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row>
    <row r="228" spans="1:36" x14ac:dyDescent="0.2">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row>
    <row r="229" spans="1:36" x14ac:dyDescent="0.2">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row>
    <row r="230" spans="1:36" x14ac:dyDescent="0.2">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row>
    <row r="231" spans="1:36" x14ac:dyDescent="0.2">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row>
    <row r="232" spans="1:36" x14ac:dyDescent="0.2">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row>
    <row r="233" spans="1:36" x14ac:dyDescent="0.2">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row>
    <row r="234" spans="1:36" x14ac:dyDescent="0.2">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row>
    <row r="235" spans="1:36" x14ac:dyDescent="0.2">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row>
    <row r="236" spans="1:36" x14ac:dyDescent="0.2">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row>
    <row r="237" spans="1:36" x14ac:dyDescent="0.2">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row>
    <row r="238" spans="1:36" x14ac:dyDescent="0.2">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row>
    <row r="239" spans="1:36" x14ac:dyDescent="0.2">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row>
    <row r="240" spans="1:36" x14ac:dyDescent="0.2">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row>
    <row r="241" spans="1:36" x14ac:dyDescent="0.2">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row>
    <row r="242" spans="1:36" x14ac:dyDescent="0.2">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row>
    <row r="243" spans="1:36" x14ac:dyDescent="0.2">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row>
    <row r="244" spans="1:36" x14ac:dyDescent="0.2">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row>
    <row r="245" spans="1:36" x14ac:dyDescent="0.2">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row>
    <row r="246" spans="1:36" x14ac:dyDescent="0.2">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row>
    <row r="247" spans="1:36" x14ac:dyDescent="0.2">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row>
    <row r="248" spans="1:36" x14ac:dyDescent="0.2">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row>
    <row r="249" spans="1:36" x14ac:dyDescent="0.2">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row>
    <row r="250" spans="1:36" x14ac:dyDescent="0.2">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row>
    <row r="251" spans="1:36" x14ac:dyDescent="0.2">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row>
    <row r="252" spans="1:36" x14ac:dyDescent="0.2">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row>
    <row r="253" spans="1:36" x14ac:dyDescent="0.2">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row>
    <row r="254" spans="1:36" x14ac:dyDescent="0.2">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row>
    <row r="255" spans="1:36" x14ac:dyDescent="0.2">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row>
    <row r="256" spans="1:36" x14ac:dyDescent="0.2">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row>
    <row r="257" spans="1:36" x14ac:dyDescent="0.2">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row>
    <row r="258" spans="1:36" x14ac:dyDescent="0.2">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row>
    <row r="259" spans="1:36" x14ac:dyDescent="0.2">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row>
    <row r="260" spans="1:36" x14ac:dyDescent="0.2">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row>
    <row r="261" spans="1:36" x14ac:dyDescent="0.2">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row>
    <row r="262" spans="1:36" x14ac:dyDescent="0.2">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row>
    <row r="263" spans="1:36" x14ac:dyDescent="0.2">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row>
    <row r="264" spans="1:36" x14ac:dyDescent="0.2">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row>
    <row r="265" spans="1:36" x14ac:dyDescent="0.2">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row>
    <row r="266" spans="1:36" x14ac:dyDescent="0.2">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row>
    <row r="267" spans="1:36" x14ac:dyDescent="0.2">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row>
    <row r="268" spans="1:36" x14ac:dyDescent="0.2">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row>
    <row r="269" spans="1:36" x14ac:dyDescent="0.2">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row>
    <row r="270" spans="1:36" x14ac:dyDescent="0.2">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row>
    <row r="271" spans="1:36" x14ac:dyDescent="0.2">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row>
    <row r="272" spans="1:36" x14ac:dyDescent="0.2">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row>
    <row r="273" spans="1:36" x14ac:dyDescent="0.2">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row>
    <row r="274" spans="1:36" x14ac:dyDescent="0.2">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row>
    <row r="275" spans="1:36" x14ac:dyDescent="0.2">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row>
    <row r="276" spans="1:36" x14ac:dyDescent="0.2">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row>
    <row r="277" spans="1:36" x14ac:dyDescent="0.2">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row>
    <row r="278" spans="1:36" x14ac:dyDescent="0.2">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row>
    <row r="279" spans="1:36" x14ac:dyDescent="0.2">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row>
    <row r="280" spans="1:36" x14ac:dyDescent="0.2">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row>
    <row r="281" spans="1:36" x14ac:dyDescent="0.2">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row>
    <row r="282" spans="1:36" x14ac:dyDescent="0.2">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row>
    <row r="283" spans="1:36" x14ac:dyDescent="0.2">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row>
    <row r="284" spans="1:36" x14ac:dyDescent="0.2">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row>
    <row r="285" spans="1:36" x14ac:dyDescent="0.2">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row>
    <row r="286" spans="1:36" x14ac:dyDescent="0.2">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row>
    <row r="287" spans="1:36" x14ac:dyDescent="0.2">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row>
    <row r="288" spans="1:36" x14ac:dyDescent="0.2">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row>
    <row r="289" spans="1:36" x14ac:dyDescent="0.2">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row>
    <row r="290" spans="1:36" x14ac:dyDescent="0.2">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row>
    <row r="291" spans="1:36" x14ac:dyDescent="0.2">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row>
    <row r="292" spans="1:36" x14ac:dyDescent="0.2">
      <c r="A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row>
    <row r="293" spans="1:36" x14ac:dyDescent="0.2">
      <c r="D293" s="22"/>
      <c r="E293" s="22"/>
      <c r="F293" s="22"/>
      <c r="G293" s="22"/>
      <c r="H293" s="22"/>
      <c r="I293" s="22"/>
      <c r="J293" s="22"/>
      <c r="K293" s="22"/>
      <c r="L293" s="22"/>
    </row>
  </sheetData>
  <mergeCells count="18">
    <mergeCell ref="B33:C33"/>
    <mergeCell ref="E36:I36"/>
    <mergeCell ref="B32:C32"/>
    <mergeCell ref="E28:I28"/>
    <mergeCell ref="B29:C31"/>
    <mergeCell ref="B5:O5"/>
    <mergeCell ref="C9:D9"/>
    <mergeCell ref="E9:F9"/>
    <mergeCell ref="G9:I9"/>
    <mergeCell ref="C10:D10"/>
    <mergeCell ref="E10:F10"/>
    <mergeCell ref="G10:I10"/>
    <mergeCell ref="C11:D11"/>
    <mergeCell ref="E11:F11"/>
    <mergeCell ref="G11:I11"/>
    <mergeCell ref="C12:D12"/>
    <mergeCell ref="E12:F12"/>
    <mergeCell ref="G12:I12"/>
  </mergeCells>
  <dataValidations count="4">
    <dataValidation type="list" allowBlank="1" showInputMessage="1" showErrorMessage="1" sqref="G11:I11" xr:uid="{00000000-0002-0000-0100-000000000000}">
      <formula1>$M$10:$M$17</formula1>
    </dataValidation>
    <dataValidation type="list" allowBlank="1" showInputMessage="1" showErrorMessage="1" sqref="G9" xr:uid="{00000000-0002-0000-0100-000001000000}">
      <formula1>$P$3:$P$6</formula1>
    </dataValidation>
    <dataValidation type="decimal" operator="greaterThanOrEqual" allowBlank="1" showInputMessage="1" showErrorMessage="1" sqref="C19" xr:uid="{00000000-0002-0000-0100-000002000000}">
      <formula1>1.5</formula1>
    </dataValidation>
    <dataValidation type="decimal" allowBlank="1" showInputMessage="1" showErrorMessage="1" sqref="C23" xr:uid="{00000000-0002-0000-0100-000003000000}">
      <formula1>0</formula1>
      <formula2>10</formula2>
    </dataValidation>
  </dataValidations>
  <pageMargins left="0.75" right="0.75" top="1" bottom="1" header="0.4921259845" footer="0.4921259845"/>
  <pageSetup paperSize="9" scale="79" orientation="landscape" r:id="rId1"/>
  <headerFooter alignWithMargins="0"/>
  <rowBreaks count="1" manualBreakCount="1">
    <brk id="11" min="1" max="14" man="1"/>
  </row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6">
    <tabColor rgb="FF0070C0"/>
    <pageSetUpPr fitToPage="1"/>
  </sheetPr>
  <dimension ref="A1:BD109"/>
  <sheetViews>
    <sheetView showGridLines="0" view="pageBreakPreview" topLeftCell="A58" zoomScaleNormal="100" zoomScaleSheetLayoutView="100" workbookViewId="0">
      <selection activeCell="C25" sqref="C25"/>
    </sheetView>
  </sheetViews>
  <sheetFormatPr defaultColWidth="9.140625" defaultRowHeight="12.75" x14ac:dyDescent="0.2"/>
  <cols>
    <col min="1" max="1" width="8.7109375" style="1" customWidth="1"/>
    <col min="2" max="2" width="45.140625" style="1" customWidth="1"/>
    <col min="3" max="3" width="18.85546875" style="1" customWidth="1"/>
    <col min="4" max="4" width="20" style="1" customWidth="1"/>
    <col min="5" max="5" width="23" style="1" customWidth="1"/>
    <col min="6" max="8" width="18.5703125" style="1" customWidth="1"/>
    <col min="9" max="9" width="16.140625" style="1" customWidth="1"/>
    <col min="10" max="10" width="4.5703125" style="1" customWidth="1"/>
    <col min="11" max="11" width="7.5703125" style="1" customWidth="1"/>
    <col min="12" max="12" width="14.28515625" style="1" customWidth="1"/>
    <col min="13" max="13" width="2.42578125" style="1" customWidth="1"/>
    <col min="14" max="15" width="2.5703125" style="1" customWidth="1"/>
    <col min="16" max="32" width="2.85546875" style="1" customWidth="1"/>
    <col min="33" max="33" width="5.7109375" style="1" customWidth="1"/>
    <col min="34" max="50" width="2.85546875" style="1" customWidth="1"/>
    <col min="51" max="52" width="2.5703125" style="1" customWidth="1"/>
    <col min="53" max="53" width="7.140625" style="1" customWidth="1"/>
    <col min="54" max="54" width="3" style="1" customWidth="1"/>
    <col min="55" max="55" width="6.140625" style="1" customWidth="1"/>
    <col min="56" max="16384" width="9.140625" style="1"/>
  </cols>
  <sheetData>
    <row r="1" spans="2:56" ht="13.5" thickBot="1" x14ac:dyDescent="0.25"/>
    <row r="2" spans="2:56" ht="18" x14ac:dyDescent="0.25">
      <c r="B2" s="2" t="str">
        <f>'building data'!B2</f>
        <v>Mounting Systems GmbH</v>
      </c>
      <c r="C2" s="3"/>
      <c r="D2" s="4"/>
      <c r="E2" s="4"/>
      <c r="F2" s="4"/>
      <c r="G2" s="4"/>
      <c r="H2" s="4"/>
      <c r="I2" s="5"/>
      <c r="J2" s="176" t="str">
        <f>IF($F$9="Deutsch","Die gelben Felder sind projektabhängig auszufüllen.",IF($F$9="English","The yellow cells have to be filled out depending on the project.","Fehler"))</f>
        <v>The yellow cells have to be filled out depending on the project.</v>
      </c>
      <c r="K2" s="6"/>
      <c r="L2" s="3"/>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7"/>
      <c r="BD2" s="505"/>
    </row>
    <row r="3" spans="2:56" ht="18" x14ac:dyDescent="0.25">
      <c r="B3" s="9" t="str">
        <f>'building data'!B3</f>
        <v>Solar ballasted roof mount system</v>
      </c>
      <c r="C3" s="10"/>
      <c r="D3" s="11"/>
      <c r="E3" s="11"/>
      <c r="F3" s="11"/>
      <c r="G3" s="11"/>
      <c r="H3" s="11"/>
      <c r="I3" s="49"/>
      <c r="J3" s="177" t="str">
        <f>IF($F$9="Deutsch","Die türkisfarbenen Felder werden berechnet.",IF($F$9="English","The turquoise cells are calculated.","Fehler"))</f>
        <v>The turquoise cells are calculated.</v>
      </c>
      <c r="K3" s="13"/>
      <c r="L3" s="14"/>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5"/>
      <c r="BD3" s="26"/>
    </row>
    <row r="4" spans="2:56" ht="18" customHeight="1" x14ac:dyDescent="0.25">
      <c r="B4" s="9" t="str">
        <f>'building data'!B4</f>
        <v xml:space="preserve">Lambda Light EW+ </v>
      </c>
      <c r="C4" s="11"/>
      <c r="D4" s="11"/>
      <c r="E4" s="11"/>
      <c r="F4" s="11"/>
      <c r="G4" s="11"/>
      <c r="H4" s="11"/>
      <c r="I4" s="11"/>
      <c r="J4" s="11"/>
      <c r="K4" s="14"/>
      <c r="L4" s="11"/>
      <c r="M4" s="11"/>
      <c r="N4" s="11"/>
      <c r="O4" s="11"/>
      <c r="P4" s="50"/>
      <c r="Q4" s="50"/>
      <c r="R4" s="50"/>
      <c r="S4" s="50"/>
      <c r="T4" s="50"/>
      <c r="U4" s="50"/>
      <c r="V4" s="50"/>
      <c r="W4" s="50"/>
      <c r="X4" s="50"/>
      <c r="Y4" s="50"/>
      <c r="Z4" s="50"/>
      <c r="AA4" s="50"/>
      <c r="AB4" s="50"/>
      <c r="AC4" s="50"/>
      <c r="AD4" s="50"/>
      <c r="AE4" s="50"/>
      <c r="AF4" s="50"/>
      <c r="AG4" s="50"/>
      <c r="AH4" s="50"/>
      <c r="AI4" s="50"/>
      <c r="AJ4" s="50"/>
      <c r="AK4" s="50"/>
      <c r="AL4" s="50"/>
      <c r="AM4" s="50"/>
      <c r="AN4" s="50"/>
      <c r="AO4" s="11"/>
      <c r="AP4" s="11"/>
      <c r="AQ4" s="11"/>
      <c r="AR4" s="11"/>
      <c r="AS4" s="11"/>
      <c r="AT4" s="11"/>
      <c r="AU4" s="11"/>
      <c r="AV4" s="11"/>
      <c r="AW4" s="11"/>
      <c r="AX4" s="11"/>
      <c r="AY4" s="11"/>
      <c r="AZ4" s="11"/>
      <c r="BA4" s="11"/>
      <c r="BB4" s="11"/>
      <c r="BC4" s="15"/>
      <c r="BD4" s="26"/>
    </row>
    <row r="5" spans="2:56" ht="16.5" thickBot="1" x14ac:dyDescent="0.3">
      <c r="B5" s="949" t="str">
        <f>IF($F$9="Deutsch","Ballastberechnung",IF($F$9="English","Ballast design","Fehler"))</f>
        <v>Ballast design</v>
      </c>
      <c r="C5" s="1090"/>
      <c r="D5" s="1090"/>
      <c r="E5" s="1090"/>
      <c r="F5" s="1090"/>
      <c r="G5" s="1090"/>
      <c r="H5" s="1090"/>
      <c r="I5" s="1090"/>
      <c r="J5" s="1090"/>
      <c r="K5" s="1090"/>
      <c r="L5" s="1090"/>
      <c r="M5" s="1090"/>
      <c r="N5" s="1090"/>
      <c r="O5" s="1090"/>
      <c r="P5" s="1090"/>
      <c r="Q5" s="1090"/>
      <c r="R5" s="1090"/>
      <c r="S5" s="1090"/>
      <c r="T5" s="1090"/>
      <c r="U5" s="1090"/>
      <c r="V5" s="1090"/>
      <c r="W5" s="1090"/>
      <c r="X5" s="1090"/>
      <c r="Y5" s="1090"/>
      <c r="Z5" s="1090"/>
      <c r="AA5" s="1090"/>
      <c r="AB5" s="1090"/>
      <c r="AC5" s="1090"/>
      <c r="AD5" s="1090"/>
      <c r="AE5" s="1090"/>
      <c r="AF5" s="1090"/>
      <c r="AG5" s="1090"/>
      <c r="AH5" s="1090"/>
      <c r="AI5" s="1090"/>
      <c r="AJ5" s="1090"/>
      <c r="AK5" s="1090"/>
      <c r="AL5" s="1090"/>
      <c r="AM5" s="1090"/>
      <c r="AN5" s="1090"/>
      <c r="AO5" s="1090"/>
      <c r="AP5" s="1090"/>
      <c r="AQ5" s="1090"/>
      <c r="AR5" s="1090"/>
      <c r="AS5" s="1090"/>
      <c r="AT5" s="1090"/>
      <c r="AU5" s="1090"/>
      <c r="AV5" s="1090"/>
      <c r="AW5" s="1090"/>
      <c r="AX5" s="1090"/>
      <c r="AY5" s="1090"/>
      <c r="AZ5" s="1090"/>
      <c r="BA5" s="1090"/>
      <c r="BB5" s="1090"/>
      <c r="BC5" s="951"/>
      <c r="BD5" s="26"/>
    </row>
    <row r="6" spans="2:56" ht="13.5" customHeight="1" x14ac:dyDescent="0.2">
      <c r="B6" s="51"/>
      <c r="C6" s="51"/>
      <c r="P6" s="26"/>
      <c r="Q6" s="26"/>
      <c r="R6" s="507"/>
      <c r="S6" s="507"/>
      <c r="T6" s="507"/>
      <c r="U6" s="26"/>
      <c r="V6" s="26"/>
      <c r="W6" s="26"/>
      <c r="BD6" s="26"/>
    </row>
    <row r="7" spans="2:56" ht="13.5" customHeight="1" x14ac:dyDescent="0.2">
      <c r="B7" s="51"/>
      <c r="C7" s="51"/>
      <c r="P7" s="26"/>
      <c r="Q7" s="26"/>
      <c r="R7" s="332"/>
      <c r="S7" s="332"/>
      <c r="T7" s="332"/>
      <c r="U7" s="26"/>
      <c r="V7" s="26"/>
      <c r="W7" s="26"/>
    </row>
    <row r="8" spans="2:56" ht="13.5" customHeight="1" thickBot="1" x14ac:dyDescent="0.25">
      <c r="B8" s="18" t="str">
        <f>IF($F$9="Deutsch","Projektdaten",IF($F$9="English","Project data","Fehler"))</f>
        <v>Project data</v>
      </c>
      <c r="P8" s="26"/>
      <c r="Q8" s="26"/>
      <c r="R8" s="52"/>
      <c r="S8" s="26"/>
      <c r="T8" s="223"/>
      <c r="U8" s="26"/>
      <c r="V8" s="26"/>
      <c r="W8" s="26"/>
    </row>
    <row r="9" spans="2:56" ht="13.5" customHeight="1" x14ac:dyDescent="0.2">
      <c r="B9" s="19" t="str">
        <f>IF($F$9="Deutsch","Projekt:",IF($F$9="English","Project:","Fehler"))</f>
        <v>Project:</v>
      </c>
      <c r="C9" s="1091" t="str">
        <f>'building data'!C9</f>
        <v>EN15-</v>
      </c>
      <c r="D9" s="1092"/>
      <c r="E9" s="53" t="str">
        <f>IF($F$9="Deutsch","Sprache:",IF($F$9="English","Language:","Fehler"))</f>
        <v>Language:</v>
      </c>
      <c r="F9" s="198" t="str">
        <f>'building data'!G9</f>
        <v>English</v>
      </c>
      <c r="G9" s="26"/>
      <c r="H9" s="456"/>
      <c r="I9" s="456"/>
      <c r="O9" s="26"/>
      <c r="P9" s="26"/>
      <c r="Q9" s="52"/>
      <c r="R9" s="26"/>
      <c r="S9" s="223"/>
      <c r="T9" s="26"/>
      <c r="U9" s="26"/>
      <c r="V9" s="26"/>
    </row>
    <row r="10" spans="2:56" ht="13.5" customHeight="1" x14ac:dyDescent="0.2">
      <c r="B10" s="20" t="str">
        <f>IF($F$9="Deutsch","PLZ:",IF($F$9="English","Postal code:","Fehler"))</f>
        <v>Postal code:</v>
      </c>
      <c r="C10" s="54">
        <f>'building data'!C10</f>
        <v>2301</v>
      </c>
      <c r="D10" s="55"/>
      <c r="E10" s="56" t="str">
        <f>IF($F$9="Deutsch","Standort:",IF($F$9="English","Site:","Fehler"))</f>
        <v>Site:</v>
      </c>
      <c r="F10" s="57" t="str">
        <f>'building data'!G10</f>
        <v>Hortsfelde</v>
      </c>
      <c r="G10" s="26"/>
      <c r="H10" s="456"/>
      <c r="I10" s="456"/>
      <c r="O10" s="26"/>
      <c r="P10" s="26"/>
      <c r="Q10" s="52"/>
      <c r="R10" s="26"/>
      <c r="S10" s="223"/>
      <c r="T10" s="26"/>
      <c r="U10" s="26"/>
      <c r="V10" s="26"/>
    </row>
    <row r="11" spans="2:56" ht="13.5" customHeight="1" x14ac:dyDescent="0.2">
      <c r="B11" s="20" t="str">
        <f>IF($F$9="Deutsch","Bearbeiter:",IF($F$9="English","Person in charge:","Fehler"))</f>
        <v>Person in charge:</v>
      </c>
      <c r="C11" s="54" t="str">
        <f>'building data'!C11</f>
        <v>HGF</v>
      </c>
      <c r="D11" s="55"/>
      <c r="E11" s="56" t="str">
        <f>IF($F$9="Deutsch","Land:",IF($F$9="English","Country:","Fehler"))</f>
        <v>Country:</v>
      </c>
      <c r="F11" s="57" t="str">
        <f>'building data'!G11</f>
        <v>Germany</v>
      </c>
      <c r="G11" s="26"/>
      <c r="H11" s="456"/>
      <c r="I11" s="456"/>
      <c r="O11" s="26"/>
      <c r="P11" s="26"/>
      <c r="Q11" s="52"/>
      <c r="R11" s="26"/>
      <c r="S11" s="26"/>
      <c r="T11" s="26"/>
      <c r="U11" s="26"/>
      <c r="V11" s="26"/>
    </row>
    <row r="12" spans="2:56" ht="13.5" customHeight="1" thickBot="1" x14ac:dyDescent="0.25">
      <c r="B12" s="21" t="str">
        <f>IF($F$9="Deutsch","Datum:",IF($F$9="English","Date:","Fehler"))</f>
        <v>Date:</v>
      </c>
      <c r="C12" s="58">
        <f>'building data'!C12</f>
        <v>42272</v>
      </c>
      <c r="D12" s="59"/>
      <c r="E12" s="60" t="str">
        <f>IF($F$9="Deutsch","Norm:",IF($F$9="English","Standard:","Fehler"))</f>
        <v>Standard:</v>
      </c>
      <c r="F12" s="61" t="str">
        <f>'building data'!G12</f>
        <v>DIN EN 1991-1-4</v>
      </c>
      <c r="G12" s="26"/>
      <c r="H12" s="456"/>
      <c r="I12" s="456"/>
      <c r="O12" s="26"/>
      <c r="P12" s="26"/>
      <c r="Q12" s="52"/>
      <c r="R12" s="26"/>
      <c r="S12" s="26"/>
      <c r="T12" s="26"/>
      <c r="U12" s="26"/>
      <c r="V12" s="26"/>
    </row>
    <row r="13" spans="2:56" ht="13.5" customHeight="1" x14ac:dyDescent="0.2">
      <c r="B13" s="18"/>
      <c r="C13" s="26"/>
      <c r="D13" s="26"/>
      <c r="E13" s="26"/>
      <c r="F13" s="26"/>
      <c r="H13" s="171" t="str">
        <f>IF($F$9="English","The ridge gap has to be measured at the narrowest position.",IF($F$9="Deutsch","Der Firstspalt ist an der schmalsten Stelle zu messen.","Fehler"))</f>
        <v>The ridge gap has to be measured at the narrowest position.</v>
      </c>
      <c r="I13" s="26"/>
      <c r="J13" s="26"/>
      <c r="K13" s="62"/>
      <c r="L13" s="63"/>
      <c r="M13" s="63"/>
      <c r="O13" s="26"/>
      <c r="P13" s="26"/>
      <c r="Q13" s="26"/>
      <c r="R13" s="52"/>
      <c r="S13" s="26"/>
      <c r="T13" s="223"/>
    </row>
    <row r="14" spans="2:56" ht="13.5" customHeight="1" x14ac:dyDescent="0.2">
      <c r="B14" s="18"/>
      <c r="C14" s="26"/>
      <c r="D14" s="26"/>
      <c r="E14" s="26"/>
      <c r="F14" s="26"/>
      <c r="G14" s="26"/>
      <c r="H14" s="26"/>
      <c r="I14" s="26"/>
      <c r="J14" s="26"/>
      <c r="K14" s="62"/>
      <c r="L14" s="63"/>
      <c r="M14" s="63"/>
      <c r="O14" s="26"/>
      <c r="P14" s="26"/>
      <c r="Q14" s="26"/>
      <c r="R14" s="52"/>
      <c r="S14" s="26"/>
      <c r="T14" s="223"/>
    </row>
    <row r="15" spans="2:56" ht="18.75" customHeight="1" thickBot="1" x14ac:dyDescent="0.25">
      <c r="B15" s="64" t="str">
        <f>IF($F$9="English","Required parameters of the photovoltaic roofing system",IF($F$9="Deutsch","Notwendige Angaben zum eingesetzten PV-System","Fehler"))</f>
        <v>Required parameters of the photovoltaic roofing system</v>
      </c>
      <c r="C15" s="178"/>
      <c r="D15" s="178"/>
      <c r="E15" s="261"/>
      <c r="F15" s="178"/>
      <c r="G15" s="178"/>
      <c r="H15" s="178"/>
      <c r="I15" s="178"/>
      <c r="J15" s="178"/>
      <c r="K15" s="26"/>
      <c r="L15" s="26"/>
      <c r="M15" s="26"/>
      <c r="U15" s="65" t="str">
        <f>IF($F$9="Deutsch","Definition:",IF($F$9="English","Definition:","Fehler"))</f>
        <v>Definition:</v>
      </c>
    </row>
    <row r="16" spans="2:56" ht="13.5" customHeight="1" thickTop="1" thickBot="1" x14ac:dyDescent="0.25">
      <c r="B16" s="1093" t="str">
        <f>IF($F$9="English","Characteristics of the PV system",IF($F$9="Deutsch","Eigenschaften des PV-Systems","Fehler"))</f>
        <v>Characteristics of the PV system</v>
      </c>
      <c r="C16" s="1094"/>
      <c r="D16" s="1094"/>
      <c r="E16" s="1094"/>
      <c r="F16" s="1094"/>
      <c r="G16" s="1094"/>
      <c r="H16" s="1094"/>
      <c r="I16" s="1095"/>
      <c r="J16" s="175"/>
      <c r="K16" s="26"/>
      <c r="L16" s="26"/>
      <c r="M16" s="38"/>
      <c r="N16" s="22"/>
      <c r="O16" s="22"/>
      <c r="P16" s="22"/>
      <c r="Q16" s="22"/>
      <c r="R16" s="22"/>
      <c r="S16" s="22"/>
      <c r="T16" s="22"/>
      <c r="U16" s="1096" t="str">
        <f>IF($F$9="Deutsch","Nordwind bedeutet, dass der Wind die nördliche Fassade frontal anströmt.",IF($F$9="English","Wind direction north corresponds to wind blowing on the north façade of the flat-roofed building.","Fehler"))</f>
        <v>Wind direction north corresponds to wind blowing on the north façade of the flat-roofed building.</v>
      </c>
      <c r="V16" s="1096"/>
      <c r="W16" s="1096"/>
      <c r="X16" s="1096"/>
      <c r="Y16" s="1096"/>
      <c r="Z16" s="1096"/>
      <c r="AA16" s="1096"/>
      <c r="AB16" s="1096"/>
      <c r="AC16" s="1096"/>
      <c r="AD16" s="1096"/>
      <c r="AE16" s="1096"/>
      <c r="AF16" s="1096"/>
      <c r="AG16" s="1096"/>
      <c r="AH16" s="1096"/>
      <c r="AI16" s="1096"/>
      <c r="AJ16" s="1096"/>
      <c r="AK16" s="1096"/>
      <c r="AL16" s="1096"/>
      <c r="AM16" s="1096"/>
      <c r="AN16" s="1096"/>
      <c r="AO16" s="1096"/>
      <c r="AP16" s="1096"/>
      <c r="AQ16" s="1096"/>
      <c r="AR16" s="1096"/>
      <c r="AS16" s="1096"/>
      <c r="AT16" s="1096"/>
      <c r="AU16" s="22"/>
      <c r="AV16" s="22"/>
      <c r="AW16" s="22"/>
      <c r="AX16" s="22"/>
      <c r="BC16" s="22"/>
    </row>
    <row r="17" spans="2:55" ht="13.5" customHeight="1" x14ac:dyDescent="0.2">
      <c r="B17" s="1097"/>
      <c r="C17" s="1098"/>
      <c r="D17" s="1098"/>
      <c r="E17" s="1098"/>
      <c r="F17" s="1098"/>
      <c r="G17" s="1098"/>
      <c r="H17" s="1098"/>
      <c r="I17" s="1099"/>
      <c r="J17" s="66"/>
      <c r="K17" s="67"/>
      <c r="L17" s="26"/>
      <c r="M17" s="38"/>
      <c r="N17" s="22"/>
      <c r="O17" s="22"/>
      <c r="P17" s="22"/>
      <c r="Q17" s="22"/>
      <c r="R17" s="22"/>
      <c r="S17" s="22"/>
      <c r="T17" s="22"/>
      <c r="U17" s="1096"/>
      <c r="V17" s="1096"/>
      <c r="W17" s="1096"/>
      <c r="X17" s="1096"/>
      <c r="Y17" s="1096"/>
      <c r="Z17" s="1096"/>
      <c r="AA17" s="1096"/>
      <c r="AB17" s="1096"/>
      <c r="AC17" s="1096"/>
      <c r="AD17" s="1096"/>
      <c r="AE17" s="1096"/>
      <c r="AF17" s="1096"/>
      <c r="AG17" s="1096"/>
      <c r="AH17" s="1096"/>
      <c r="AI17" s="1096"/>
      <c r="AJ17" s="1096"/>
      <c r="AK17" s="1096"/>
      <c r="AL17" s="1096"/>
      <c r="AM17" s="1096"/>
      <c r="AN17" s="1096"/>
      <c r="AO17" s="1096"/>
      <c r="AP17" s="1096"/>
      <c r="AQ17" s="1096"/>
      <c r="AR17" s="1096"/>
      <c r="AS17" s="1096"/>
      <c r="AT17" s="1096"/>
      <c r="AU17" s="22"/>
      <c r="AV17" s="22"/>
      <c r="AW17" s="22"/>
      <c r="AX17" s="22"/>
      <c r="BC17" s="22"/>
    </row>
    <row r="18" spans="2:55" ht="13.5" customHeight="1" x14ac:dyDescent="0.2">
      <c r="B18" s="68" t="str">
        <f>IF($F$9="English","Module's weight / module's surface:",IF($F$9="Deutsch","Modulgewicht / Modulfläche:","Fehler"))</f>
        <v>Module's weight / module's surface:</v>
      </c>
      <c r="C18" s="922">
        <f>Eingabe!L23/'wind load calc'!G20</f>
        <v>11.561397103565778</v>
      </c>
      <c r="D18" s="69" t="s">
        <v>4</v>
      </c>
      <c r="E18" s="69"/>
      <c r="F18" s="70" t="str">
        <f>IF($F$9="English","Module's width:",IF($F$9="Deutsch","Modulbreite:","Fehler"))</f>
        <v>Module's width:</v>
      </c>
      <c r="G18" s="922">
        <f>Eingabe!L21/1000</f>
        <v>0.99</v>
      </c>
      <c r="H18" s="69" t="s">
        <v>1</v>
      </c>
      <c r="I18" s="71"/>
      <c r="J18" s="72"/>
      <c r="K18" s="73"/>
      <c r="L18" s="26"/>
      <c r="M18" s="38"/>
      <c r="N18" s="22"/>
      <c r="O18" s="22"/>
      <c r="P18" s="22"/>
      <c r="Q18" s="22"/>
      <c r="R18" s="22"/>
      <c r="S18" s="22"/>
      <c r="T18" s="22"/>
      <c r="U18" s="1096"/>
      <c r="V18" s="1096"/>
      <c r="W18" s="1096"/>
      <c r="X18" s="1096"/>
      <c r="Y18" s="1096"/>
      <c r="Z18" s="1096"/>
      <c r="AA18" s="1096"/>
      <c r="AB18" s="1096"/>
      <c r="AC18" s="1096"/>
      <c r="AD18" s="1096"/>
      <c r="AE18" s="1096"/>
      <c r="AF18" s="1096"/>
      <c r="AG18" s="1096"/>
      <c r="AH18" s="1096"/>
      <c r="AI18" s="1096"/>
      <c r="AJ18" s="1096"/>
      <c r="AK18" s="1096"/>
      <c r="AL18" s="1096"/>
      <c r="AM18" s="1096"/>
      <c r="AN18" s="1096"/>
      <c r="AO18" s="1096"/>
      <c r="AP18" s="1096"/>
      <c r="AQ18" s="1096"/>
      <c r="AR18" s="1096"/>
      <c r="AS18" s="1096"/>
      <c r="AT18" s="1096"/>
      <c r="AU18" s="22"/>
      <c r="AV18" s="22"/>
      <c r="AW18" s="22"/>
      <c r="AX18" s="22"/>
      <c r="BC18" s="22"/>
    </row>
    <row r="19" spans="2:55" ht="13.5" customHeight="1" x14ac:dyDescent="0.2">
      <c r="B19" s="68" t="str">
        <f>IF($F$9="English","Substructure's weight / module's surface:",IF($F$9="Deutsch","Gewicht Unterkonstruktion / Modulfläche:","Fehler"))</f>
        <v>Substructure's weight / module's surface:</v>
      </c>
      <c r="C19" s="922">
        <v>1.9</v>
      </c>
      <c r="D19" s="69" t="s">
        <v>4</v>
      </c>
      <c r="E19" s="69"/>
      <c r="F19" s="70" t="str">
        <f>IF($F$9="English","Module's length:",IF($F$9="Deutsch","Modullänge:","Fehler"))</f>
        <v>Module's length:</v>
      </c>
      <c r="G19" s="922">
        <f>Eingabe!L20/1000</f>
        <v>1.66</v>
      </c>
      <c r="H19" s="69" t="s">
        <v>1</v>
      </c>
      <c r="I19" s="71"/>
      <c r="J19" s="72"/>
      <c r="K19" s="73"/>
      <c r="L19" s="26"/>
      <c r="M19" s="38"/>
      <c r="N19" s="1105" t="str">
        <f>L27</f>
        <v>setback a</v>
      </c>
      <c r="O19" s="1106"/>
      <c r="P19" s="22"/>
      <c r="Q19" s="22"/>
      <c r="R19" s="22"/>
      <c r="S19" s="22"/>
      <c r="T19" s="22"/>
      <c r="U19" s="224"/>
      <c r="V19" s="224"/>
      <c r="W19" s="224"/>
      <c r="X19" s="224"/>
      <c r="Y19" s="224"/>
      <c r="Z19" s="224"/>
      <c r="AA19" s="224"/>
      <c r="AB19" s="224"/>
      <c r="AC19" s="224"/>
      <c r="AD19" s="224"/>
      <c r="AE19" s="224"/>
      <c r="AF19" s="224"/>
      <c r="AG19" s="224"/>
      <c r="AH19" s="224"/>
      <c r="AI19" s="224"/>
      <c r="AJ19" s="224"/>
      <c r="AK19" s="224"/>
      <c r="AL19" s="224"/>
      <c r="AM19" s="224"/>
      <c r="AN19" s="224"/>
      <c r="AO19" s="224"/>
      <c r="AP19" s="224"/>
      <c r="AQ19" s="224"/>
      <c r="AR19" s="224"/>
      <c r="AS19" s="22"/>
      <c r="AT19" s="22"/>
      <c r="AU19" s="22"/>
      <c r="AV19" s="22"/>
      <c r="AW19" s="22"/>
      <c r="AX19" s="22"/>
      <c r="AY19" s="1105" t="str">
        <f>L27</f>
        <v>setback a</v>
      </c>
      <c r="AZ19" s="1106"/>
      <c r="BC19" s="22"/>
    </row>
    <row r="20" spans="2:55" ht="13.5" customHeight="1" x14ac:dyDescent="0.2">
      <c r="B20" s="68" t="str">
        <f>IF($F$9="English","Dead weight / module's surface:",IF($F$9="Deutsch","Eigengewicht / Modulfläche:","Fehler"))</f>
        <v>Dead weight / module's surface:</v>
      </c>
      <c r="C20" s="30">
        <f>C18+C19</f>
        <v>13.461397103565778</v>
      </c>
      <c r="D20" s="69" t="s">
        <v>4</v>
      </c>
      <c r="E20" s="69"/>
      <c r="F20" s="70" t="str">
        <f>IF($F$9="English","Module's surface:",IF($F$9="Deutsch","Modulfläche:","Fehler"))</f>
        <v>Module's surface:</v>
      </c>
      <c r="G20" s="30">
        <f>G19*G18</f>
        <v>1.6434</v>
      </c>
      <c r="H20" s="69" t="s">
        <v>2</v>
      </c>
      <c r="I20" s="74"/>
      <c r="J20" s="75"/>
      <c r="K20" s="225"/>
      <c r="L20" s="26"/>
      <c r="M20" s="38"/>
      <c r="N20" s="1105"/>
      <c r="O20" s="1106"/>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1105"/>
      <c r="AZ20" s="1106"/>
      <c r="BC20" s="22"/>
    </row>
    <row r="21" spans="2:55" ht="13.5" customHeight="1" x14ac:dyDescent="0.2">
      <c r="B21" s="753" t="str">
        <f>IF($F$9="English","Module angled at:",IF($F$9="Deutsch","Modulanstellwinkel:","Fehler"))</f>
        <v>Module angled at:</v>
      </c>
      <c r="C21" s="924">
        <f>Eingabe!L10</f>
        <v>10</v>
      </c>
      <c r="D21" s="69" t="str">
        <f>IF($F$9="English","° to the roof surface",IF($F$9="Deutsch","Neigung zur Dachfläche","Fehler"))</f>
        <v>° to the roof surface</v>
      </c>
      <c r="E21" s="69"/>
      <c r="F21" s="70" t="str">
        <f>IF($F$9="English","Ridge gap:",IF($F$9="Deutsch","Firstspalt:","Fehler"))</f>
        <v>Ridge gap:</v>
      </c>
      <c r="G21" s="923">
        <v>94.3</v>
      </c>
      <c r="H21" s="69" t="s">
        <v>87</v>
      </c>
      <c r="I21" s="71"/>
      <c r="J21" s="72"/>
      <c r="K21" s="226"/>
      <c r="L21" s="26"/>
      <c r="M21" s="38"/>
      <c r="N21" s="1105"/>
      <c r="O21" s="1106"/>
      <c r="P21" s="1107" t="str">
        <f>IF($F$9="Deutsch","1. äußere Reihe",IF($F$9="English","1st outer row","Fehler"))</f>
        <v>1st outer row</v>
      </c>
      <c r="Q21" s="1108"/>
      <c r="R21" s="1108"/>
      <c r="S21" s="1108"/>
      <c r="T21" s="1112" t="str">
        <f>IF($F$9="Deutsch","2. äußere Reihe",IF($F$9="English","2nd outer row","Fehler"))</f>
        <v>2nd outer row</v>
      </c>
      <c r="U21" s="1112"/>
      <c r="V21" s="1112"/>
      <c r="W21" s="1112"/>
      <c r="X21" s="1112" t="str">
        <f>AF21</f>
        <v>Inner row</v>
      </c>
      <c r="Y21" s="1112"/>
      <c r="Z21" s="1112"/>
      <c r="AA21" s="1112"/>
      <c r="AB21" s="1113" t="str">
        <f>AF21</f>
        <v>Inner row</v>
      </c>
      <c r="AC21" s="1114"/>
      <c r="AD21" s="1114"/>
      <c r="AE21" s="1115"/>
      <c r="AF21" s="1112" t="str">
        <f>IF($F$9="Deutsch","Innere Reihe",IF($F$9="English","Inner row","Fehler"))</f>
        <v>Inner row</v>
      </c>
      <c r="AG21" s="1112"/>
      <c r="AH21" s="1112"/>
      <c r="AI21" s="1113" t="str">
        <f>AF21</f>
        <v>Inner row</v>
      </c>
      <c r="AJ21" s="1114"/>
      <c r="AK21" s="1114"/>
      <c r="AL21" s="1115"/>
      <c r="AM21" s="1112" t="str">
        <f>AF21</f>
        <v>Inner row</v>
      </c>
      <c r="AN21" s="1112"/>
      <c r="AO21" s="1112"/>
      <c r="AP21" s="1112"/>
      <c r="AQ21" s="1112" t="str">
        <f>T21</f>
        <v>2nd outer row</v>
      </c>
      <c r="AR21" s="1112"/>
      <c r="AS21" s="1112"/>
      <c r="AT21" s="1112"/>
      <c r="AU21" s="1112" t="str">
        <f>P21</f>
        <v>1st outer row</v>
      </c>
      <c r="AV21" s="1112"/>
      <c r="AW21" s="1112"/>
      <c r="AX21" s="1113"/>
      <c r="AY21" s="1105"/>
      <c r="AZ21" s="1106"/>
      <c r="BC21" s="22"/>
    </row>
    <row r="22" spans="2:55" ht="13.5" customHeight="1" thickBot="1" x14ac:dyDescent="0.25">
      <c r="B22" s="252"/>
      <c r="C22" s="754" t="s">
        <v>89</v>
      </c>
      <c r="D22" s="343" t="str">
        <f>IF($F$9="English","side deflector",IF($F$9="Deutsch","Seitenblech","Fehler"))</f>
        <v>side deflector</v>
      </c>
      <c r="E22" s="343"/>
      <c r="F22" s="344"/>
      <c r="G22" s="345"/>
      <c r="H22" s="345"/>
      <c r="I22" s="78"/>
      <c r="J22" s="72"/>
      <c r="K22" s="226"/>
      <c r="L22" s="26"/>
      <c r="M22" s="38"/>
      <c r="N22" s="1105"/>
      <c r="O22" s="1106"/>
      <c r="P22" s="1107"/>
      <c r="Q22" s="1108"/>
      <c r="R22" s="1108"/>
      <c r="S22" s="1108"/>
      <c r="T22" s="1112"/>
      <c r="U22" s="1112"/>
      <c r="V22" s="1112"/>
      <c r="W22" s="1112"/>
      <c r="X22" s="1112"/>
      <c r="Y22" s="1112"/>
      <c r="Z22" s="1112"/>
      <c r="AA22" s="1112"/>
      <c r="AB22" s="1113"/>
      <c r="AC22" s="1114"/>
      <c r="AD22" s="1114"/>
      <c r="AE22" s="1115"/>
      <c r="AF22" s="1112"/>
      <c r="AG22" s="1112"/>
      <c r="AH22" s="1112"/>
      <c r="AI22" s="1113"/>
      <c r="AJ22" s="1114"/>
      <c r="AK22" s="1114"/>
      <c r="AL22" s="1115"/>
      <c r="AM22" s="1112"/>
      <c r="AN22" s="1112"/>
      <c r="AO22" s="1112"/>
      <c r="AP22" s="1112"/>
      <c r="AQ22" s="1112"/>
      <c r="AR22" s="1112"/>
      <c r="AS22" s="1112"/>
      <c r="AT22" s="1112"/>
      <c r="AU22" s="1112"/>
      <c r="AV22" s="1112"/>
      <c r="AW22" s="1112"/>
      <c r="AX22" s="1113"/>
      <c r="AY22" s="1105"/>
      <c r="AZ22" s="1106"/>
      <c r="BC22" s="22"/>
    </row>
    <row r="23" spans="2:55" ht="13.5" customHeight="1" thickBot="1" x14ac:dyDescent="0.25">
      <c r="B23" s="79"/>
      <c r="C23" s="69"/>
      <c r="D23" s="72"/>
      <c r="E23" s="72"/>
      <c r="F23" s="69"/>
      <c r="G23" s="69"/>
      <c r="H23" s="69"/>
      <c r="I23" s="71"/>
      <c r="J23" s="72"/>
      <c r="K23" s="73"/>
      <c r="L23" s="26"/>
      <c r="M23" s="26"/>
      <c r="N23" s="1105"/>
      <c r="O23" s="1106"/>
      <c r="P23" s="1107"/>
      <c r="Q23" s="1108"/>
      <c r="R23" s="1108"/>
      <c r="S23" s="1108"/>
      <c r="T23" s="1112"/>
      <c r="U23" s="1112"/>
      <c r="V23" s="1112"/>
      <c r="W23" s="1112"/>
      <c r="X23" s="1112"/>
      <c r="Y23" s="1112"/>
      <c r="Z23" s="1112"/>
      <c r="AA23" s="1112"/>
      <c r="AB23" s="1113"/>
      <c r="AC23" s="1114"/>
      <c r="AD23" s="1114"/>
      <c r="AE23" s="1115"/>
      <c r="AF23" s="1112"/>
      <c r="AG23" s="1112"/>
      <c r="AH23" s="1112"/>
      <c r="AI23" s="1113"/>
      <c r="AJ23" s="1114"/>
      <c r="AK23" s="1114"/>
      <c r="AL23" s="1115"/>
      <c r="AM23" s="1112"/>
      <c r="AN23" s="1112"/>
      <c r="AO23" s="1112"/>
      <c r="AP23" s="1112"/>
      <c r="AQ23" s="1112"/>
      <c r="AR23" s="1112"/>
      <c r="AS23" s="1112"/>
      <c r="AT23" s="1112"/>
      <c r="AU23" s="1112"/>
      <c r="AV23" s="1112"/>
      <c r="AW23" s="1112"/>
      <c r="AX23" s="1113"/>
      <c r="AY23" s="1105"/>
      <c r="AZ23" s="1106"/>
      <c r="BA23" s="270"/>
      <c r="BB23" s="270"/>
    </row>
    <row r="24" spans="2:55" ht="13.5" customHeight="1" thickBot="1" x14ac:dyDescent="0.25">
      <c r="B24" s="1100" t="str">
        <f>IF($F$9="English","Wind profile at the site",IF($F$9="Deutsch","Windprofil am Aufstellort","Fehler"))</f>
        <v>Wind profile at the site</v>
      </c>
      <c r="C24" s="1101"/>
      <c r="D24" s="1101"/>
      <c r="E24" s="1101"/>
      <c r="F24" s="1101"/>
      <c r="G24" s="1101"/>
      <c r="H24" s="1101"/>
      <c r="I24" s="1102"/>
      <c r="J24" s="175"/>
      <c r="K24" s="73"/>
      <c r="L24" s="35"/>
      <c r="M24" s="35"/>
      <c r="N24" s="1105"/>
      <c r="O24" s="1106"/>
      <c r="P24" s="1107"/>
      <c r="Q24" s="1108"/>
      <c r="R24" s="1108"/>
      <c r="S24" s="1108"/>
      <c r="T24" s="1112"/>
      <c r="U24" s="1112"/>
      <c r="V24" s="1112"/>
      <c r="W24" s="1112"/>
      <c r="X24" s="1112"/>
      <c r="Y24" s="1112"/>
      <c r="Z24" s="1112"/>
      <c r="AA24" s="1112"/>
      <c r="AB24" s="1113"/>
      <c r="AC24" s="1114"/>
      <c r="AD24" s="1114"/>
      <c r="AE24" s="1115"/>
      <c r="AF24" s="1112"/>
      <c r="AG24" s="1112"/>
      <c r="AH24" s="1112"/>
      <c r="AI24" s="1113"/>
      <c r="AJ24" s="1114"/>
      <c r="AK24" s="1114"/>
      <c r="AL24" s="1115"/>
      <c r="AM24" s="1112"/>
      <c r="AN24" s="1112"/>
      <c r="AO24" s="1112"/>
      <c r="AP24" s="1112"/>
      <c r="AQ24" s="1112"/>
      <c r="AR24" s="1112"/>
      <c r="AS24" s="1112"/>
      <c r="AT24" s="1112"/>
      <c r="AU24" s="1112"/>
      <c r="AV24" s="1112"/>
      <c r="AW24" s="1112"/>
      <c r="AX24" s="1113"/>
      <c r="AY24" s="1105"/>
      <c r="AZ24" s="1106"/>
      <c r="BA24" s="270"/>
      <c r="BB24" s="270"/>
      <c r="BC24" s="22"/>
    </row>
    <row r="25" spans="2:55" ht="13.5" customHeight="1" x14ac:dyDescent="0.2">
      <c r="B25" s="81" t="str">
        <f>IF($F$9="English","Peak velocity pressure:",IF($F$9="Deutsch","Böenstaudruck:","Fehler"))</f>
        <v>Peak velocity pressure:</v>
      </c>
      <c r="C25" s="82">
        <f>VLOOKUP($F$11,$C$89:$F$98,3,FALSE)</f>
        <v>0.68128708098154223</v>
      </c>
      <c r="D25" s="83" t="s">
        <v>3</v>
      </c>
      <c r="E25" s="83"/>
      <c r="F25" s="83"/>
      <c r="G25" s="83"/>
      <c r="H25" s="83"/>
      <c r="I25" s="84"/>
      <c r="J25" s="72"/>
      <c r="K25" s="73"/>
      <c r="L25" s="26"/>
      <c r="M25" s="26"/>
      <c r="N25" s="1105"/>
      <c r="O25" s="1106"/>
      <c r="P25" s="1107"/>
      <c r="Q25" s="1108"/>
      <c r="R25" s="1108"/>
      <c r="S25" s="1108"/>
      <c r="T25" s="1112"/>
      <c r="U25" s="1112"/>
      <c r="V25" s="1112"/>
      <c r="W25" s="1112"/>
      <c r="X25" s="1112"/>
      <c r="Y25" s="1112"/>
      <c r="Z25" s="1112"/>
      <c r="AA25" s="1112"/>
      <c r="AB25" s="1113"/>
      <c r="AC25" s="1114"/>
      <c r="AD25" s="1114"/>
      <c r="AE25" s="1115"/>
      <c r="AF25" s="1112"/>
      <c r="AG25" s="1112"/>
      <c r="AH25" s="1112"/>
      <c r="AI25" s="1113"/>
      <c r="AJ25" s="1114"/>
      <c r="AK25" s="1114"/>
      <c r="AL25" s="1115"/>
      <c r="AM25" s="1112"/>
      <c r="AN25" s="1112"/>
      <c r="AO25" s="1112"/>
      <c r="AP25" s="1112"/>
      <c r="AQ25" s="1112"/>
      <c r="AR25" s="1112"/>
      <c r="AS25" s="1112"/>
      <c r="AT25" s="1112"/>
      <c r="AU25" s="1112"/>
      <c r="AV25" s="1112"/>
      <c r="AW25" s="1112"/>
      <c r="AX25" s="1113"/>
      <c r="AY25" s="1105"/>
      <c r="AZ25" s="1106"/>
      <c r="BA25" s="270"/>
      <c r="BB25" s="270"/>
      <c r="BC25" s="22"/>
    </row>
    <row r="26" spans="2:55" ht="13.5" customHeight="1" thickBot="1" x14ac:dyDescent="0.25">
      <c r="B26" s="77" t="str">
        <f>IF($F$9="English","Terrain category:",IF($F$9="Deutsch","Geländekategorie:","Fehler"))</f>
        <v>Terrain category:</v>
      </c>
      <c r="C26" s="85" t="str">
        <f>VLOOKUP($F$11,$C$89:$F$98,4,FALSE)</f>
        <v>II</v>
      </c>
      <c r="D26" s="346" t="s">
        <v>5</v>
      </c>
      <c r="E26" s="346"/>
      <c r="F26" s="343"/>
      <c r="G26" s="343"/>
      <c r="H26" s="343"/>
      <c r="I26" s="78"/>
      <c r="J26" s="72"/>
      <c r="K26" s="73"/>
      <c r="L26" s="86"/>
      <c r="M26" s="86"/>
      <c r="P26" s="179"/>
      <c r="Q26" s="179"/>
      <c r="R26" s="179"/>
      <c r="S26" s="179"/>
      <c r="T26" s="227"/>
      <c r="U26" s="227"/>
      <c r="V26" s="227"/>
      <c r="W26" s="227"/>
      <c r="X26" s="179"/>
      <c r="Y26" s="179"/>
      <c r="Z26" s="179"/>
      <c r="AA26" s="179"/>
      <c r="AB26" s="179"/>
      <c r="AC26" s="179"/>
      <c r="AD26" s="179"/>
      <c r="AE26" s="179"/>
      <c r="AF26" s="227"/>
      <c r="AG26" s="227"/>
      <c r="AH26" s="227"/>
      <c r="AI26" s="179"/>
      <c r="AJ26" s="179"/>
      <c r="AK26" s="179"/>
      <c r="AL26" s="179"/>
      <c r="AM26" s="179"/>
      <c r="AN26" s="179"/>
      <c r="AO26" s="179"/>
      <c r="AP26" s="179"/>
      <c r="AQ26" s="179"/>
      <c r="AR26" s="179"/>
      <c r="AS26" s="179"/>
      <c r="AT26" s="179"/>
      <c r="AU26" s="227"/>
      <c r="AV26" s="227"/>
      <c r="AW26" s="227"/>
      <c r="AX26" s="227"/>
      <c r="BA26" s="270"/>
      <c r="BB26" s="270"/>
      <c r="BC26" s="22"/>
    </row>
    <row r="27" spans="2:55" ht="13.5" customHeight="1" thickBot="1" x14ac:dyDescent="0.25">
      <c r="B27" s="87"/>
      <c r="C27" s="62"/>
      <c r="D27" s="38"/>
      <c r="E27" s="38"/>
      <c r="F27" s="37"/>
      <c r="G27" s="37"/>
      <c r="H27" s="62"/>
      <c r="I27" s="88"/>
      <c r="J27" s="38"/>
      <c r="K27" s="26"/>
      <c r="L27" s="1103" t="str">
        <f>IF($F$9="Deutsch","Randabstand a",IF($F$9="English","setback a","Fehler"))</f>
        <v>setback a</v>
      </c>
      <c r="M27" s="86"/>
      <c r="N27" s="264"/>
      <c r="O27" s="265"/>
      <c r="P27" s="986" t="str">
        <f>IF($F$9="Deutsch","Nordrand",IF($F$9="English","North edge","Fehler"))</f>
        <v>North edge</v>
      </c>
      <c r="Q27" s="987"/>
      <c r="R27" s="987"/>
      <c r="S27" s="987"/>
      <c r="T27" s="987"/>
      <c r="U27" s="987"/>
      <c r="V27" s="987"/>
      <c r="W27" s="987"/>
      <c r="X27" s="987"/>
      <c r="Y27" s="987"/>
      <c r="Z27" s="987"/>
      <c r="AA27" s="987"/>
      <c r="AB27" s="987"/>
      <c r="AC27" s="987"/>
      <c r="AD27" s="988"/>
      <c r="AE27" s="988"/>
      <c r="AF27" s="988"/>
      <c r="AG27" s="988"/>
      <c r="AH27" s="988"/>
      <c r="AI27" s="988"/>
      <c r="AJ27" s="988"/>
      <c r="AK27" s="988"/>
      <c r="AL27" s="988"/>
      <c r="AM27" s="988"/>
      <c r="AN27" s="988"/>
      <c r="AO27" s="988"/>
      <c r="AP27" s="988"/>
      <c r="AQ27" s="988"/>
      <c r="AR27" s="988"/>
      <c r="AS27" s="988"/>
      <c r="AT27" s="988"/>
      <c r="AU27" s="988"/>
      <c r="AV27" s="988"/>
      <c r="AW27" s="988"/>
      <c r="AX27" s="989"/>
      <c r="AY27" s="25"/>
      <c r="AZ27" s="266"/>
      <c r="BA27" s="983">
        <f>IF(MAX(15,1.5*'building data'!C16)&gt;('building data'!C21/2),('building data'!C21/2),MAX(15,1.5*'building data'!C16))</f>
        <v>3</v>
      </c>
      <c r="BB27" s="979" t="s">
        <v>1</v>
      </c>
      <c r="BC27" s="982" t="s">
        <v>62</v>
      </c>
    </row>
    <row r="28" spans="2:55" ht="13.5" customHeight="1" thickBot="1" x14ac:dyDescent="0.25">
      <c r="B28" s="1100" t="str">
        <f>IF($F$9="English","Roof properties",IF($F$9="Deutsch","Dacheigenschaften","Fehler"))</f>
        <v>Roof properties</v>
      </c>
      <c r="C28" s="1101"/>
      <c r="D28" s="1101"/>
      <c r="E28" s="1101"/>
      <c r="F28" s="1101"/>
      <c r="G28" s="1101"/>
      <c r="H28" s="1101"/>
      <c r="I28" s="1102"/>
      <c r="J28" s="38"/>
      <c r="L28" s="1104"/>
      <c r="M28" s="86"/>
      <c r="N28" s="262"/>
      <c r="O28" s="228"/>
      <c r="P28" s="990"/>
      <c r="Q28" s="990"/>
      <c r="R28" s="990"/>
      <c r="S28" s="990"/>
      <c r="T28" s="990"/>
      <c r="U28" s="990"/>
      <c r="V28" s="990"/>
      <c r="W28" s="990"/>
      <c r="X28" s="990"/>
      <c r="Y28" s="990"/>
      <c r="Z28" s="990"/>
      <c r="AA28" s="990"/>
      <c r="AB28" s="990"/>
      <c r="AC28" s="990"/>
      <c r="AD28" s="990"/>
      <c r="AE28" s="990"/>
      <c r="AF28" s="990"/>
      <c r="AG28" s="990"/>
      <c r="AH28" s="990"/>
      <c r="AI28" s="990"/>
      <c r="AJ28" s="990"/>
      <c r="AK28" s="990"/>
      <c r="AL28" s="990"/>
      <c r="AM28" s="990"/>
      <c r="AN28" s="990"/>
      <c r="AO28" s="990"/>
      <c r="AP28" s="990"/>
      <c r="AQ28" s="990"/>
      <c r="AR28" s="990"/>
      <c r="AS28" s="990"/>
      <c r="AT28" s="990"/>
      <c r="AU28" s="990"/>
      <c r="AV28" s="990"/>
      <c r="AW28" s="990"/>
      <c r="AX28" s="991"/>
      <c r="AY28" s="80"/>
      <c r="AZ28" s="267"/>
      <c r="BA28" s="984"/>
      <c r="BB28" s="980"/>
      <c r="BC28" s="973"/>
    </row>
    <row r="29" spans="2:55" ht="13.5" customHeight="1" thickBot="1" x14ac:dyDescent="0.25">
      <c r="B29" s="89" t="str">
        <f>IF($F$9="English","Coefficient of static friction",IF($F$9="Deutsch","Haftreibungsbeiwert:","Fehler"))</f>
        <v>Coefficient of static friction</v>
      </c>
      <c r="C29" s="925">
        <f>Eingabe!L26</f>
        <v>0.5</v>
      </c>
      <c r="D29" s="229" t="s">
        <v>5</v>
      </c>
      <c r="E29" s="90"/>
      <c r="F29" s="90"/>
      <c r="G29" s="83"/>
      <c r="H29" s="90"/>
      <c r="I29" s="91"/>
      <c r="J29" s="38"/>
      <c r="L29" s="524"/>
      <c r="M29" s="86"/>
      <c r="N29" s="1109" t="str">
        <f>IF($F$9="Deutsch","Westrand",IF($F$9="English","West edge","Fehler"))</f>
        <v>West edge</v>
      </c>
      <c r="O29" s="1013"/>
      <c r="P29" s="992" t="str">
        <f>E52</f>
        <v>Outer zone</v>
      </c>
      <c r="Q29" s="992"/>
      <c r="R29" s="992"/>
      <c r="S29" s="992"/>
      <c r="T29" s="992" t="str">
        <f>P29</f>
        <v>Outer zone</v>
      </c>
      <c r="U29" s="992"/>
      <c r="V29" s="992"/>
      <c r="W29" s="992"/>
      <c r="X29" s="992" t="str">
        <f>E55</f>
        <v>Outer zone</v>
      </c>
      <c r="Y29" s="992"/>
      <c r="Z29" s="992"/>
      <c r="AA29" s="992"/>
      <c r="AB29" s="995" t="str">
        <f>X29</f>
        <v>Outer zone</v>
      </c>
      <c r="AC29" s="996"/>
      <c r="AD29" s="996"/>
      <c r="AE29" s="997"/>
      <c r="AF29" s="992" t="str">
        <f>X29</f>
        <v>Outer zone</v>
      </c>
      <c r="AG29" s="992"/>
      <c r="AH29" s="992"/>
      <c r="AI29" s="1004" t="str">
        <f>X29</f>
        <v>Outer zone</v>
      </c>
      <c r="AJ29" s="1005"/>
      <c r="AK29" s="1005"/>
      <c r="AL29" s="1006"/>
      <c r="AM29" s="977" t="str">
        <f>X29</f>
        <v>Outer zone</v>
      </c>
      <c r="AN29" s="977"/>
      <c r="AO29" s="977"/>
      <c r="AP29" s="977"/>
      <c r="AQ29" s="977" t="str">
        <f>X29</f>
        <v>Outer zone</v>
      </c>
      <c r="AR29" s="977"/>
      <c r="AS29" s="977"/>
      <c r="AT29" s="977"/>
      <c r="AU29" s="977" t="str">
        <f>X29</f>
        <v>Outer zone</v>
      </c>
      <c r="AV29" s="977"/>
      <c r="AW29" s="977"/>
      <c r="AX29" s="977"/>
      <c r="AY29" s="1013" t="str">
        <f>IF($F$9="Deutsch","Ostrand",IF($F$9="English","East edge","Fehler"))</f>
        <v>East edge</v>
      </c>
      <c r="AZ29" s="1014"/>
      <c r="BA29" s="984"/>
      <c r="BB29" s="980"/>
      <c r="BC29" s="973"/>
    </row>
    <row r="30" spans="2:55" ht="13.5" customHeight="1" thickBot="1" x14ac:dyDescent="0.25">
      <c r="B30" s="87" t="str">
        <f>IF($F$9="English","Roof slope:",IF($F$9="Deutsch","Dachneigung:","Fehler"))</f>
        <v>Roof slope:</v>
      </c>
      <c r="C30" s="76">
        <f>'building data'!C23</f>
        <v>5</v>
      </c>
      <c r="D30" s="151" t="s">
        <v>6</v>
      </c>
      <c r="E30" s="151"/>
      <c r="F30" s="69"/>
      <c r="G30" s="69"/>
      <c r="H30" s="69"/>
      <c r="I30" s="92"/>
      <c r="J30" s="38"/>
      <c r="K30" s="230"/>
      <c r="L30" s="525"/>
      <c r="M30" s="93"/>
      <c r="N30" s="1110"/>
      <c r="O30" s="1015"/>
      <c r="P30" s="992"/>
      <c r="Q30" s="992"/>
      <c r="R30" s="992"/>
      <c r="S30" s="992"/>
      <c r="T30" s="992"/>
      <c r="U30" s="992"/>
      <c r="V30" s="992"/>
      <c r="W30" s="992"/>
      <c r="X30" s="992"/>
      <c r="Y30" s="992"/>
      <c r="Z30" s="992"/>
      <c r="AA30" s="992"/>
      <c r="AB30" s="998"/>
      <c r="AC30" s="999"/>
      <c r="AD30" s="999"/>
      <c r="AE30" s="1000"/>
      <c r="AF30" s="992"/>
      <c r="AG30" s="992"/>
      <c r="AH30" s="992"/>
      <c r="AI30" s="1007"/>
      <c r="AJ30" s="1008"/>
      <c r="AK30" s="1008"/>
      <c r="AL30" s="1009"/>
      <c r="AM30" s="977"/>
      <c r="AN30" s="977"/>
      <c r="AO30" s="977"/>
      <c r="AP30" s="977"/>
      <c r="AQ30" s="977"/>
      <c r="AR30" s="977"/>
      <c r="AS30" s="977"/>
      <c r="AT30" s="977"/>
      <c r="AU30" s="977"/>
      <c r="AV30" s="977"/>
      <c r="AW30" s="977"/>
      <c r="AX30" s="977"/>
      <c r="AY30" s="1015"/>
      <c r="AZ30" s="1016"/>
      <c r="BA30" s="984"/>
      <c r="BB30" s="980"/>
      <c r="BC30" s="973"/>
    </row>
    <row r="31" spans="2:55" ht="13.5" customHeight="1" thickBot="1" x14ac:dyDescent="0.25">
      <c r="B31" s="1117" t="str">
        <f>IF($F$9="Deutsch",CONCATENATE("Bei geneigten Dachflächen muss die Hangabtriebskraft kompensiert werden."," Bei beidseitig geneigten Flachdächern können sich die Hangabtriebskräfte auf beiden Dachflächen bis zu einer Dachneigung von 5° kompensieren, wenn das aufgestellte System über den Hoch- oder Tiefpunkt statisch verbunden ist",", wenn zusätzlich das System als steif betrachtet werden kann, so dass keine lokalen Verschiebungen aufgrund des Hangabtriebs auftreten können",", und wenn alle Systemeigenschaften (Gesamtgewicht, Haftreibungsbeiwert ≥0,5, Feldgröße, Feldaufteilung, Modulfläche, etc.) auf beiden geneigten Dachflächen identisch sind."," Ist die Hangabtriebskraft aus den oben genannten Gründen vernachlässigbar?"),IF($F$9="English",CONCATENATE("On inclined roofs the downhill-slope force of the PV-system has to be compensated for by additional ballast. ","On duopitch roofs the downhill-slope force can be compensated for on both roof sides if the roof slope is lower than 5° ","and if the installed system is statically connected over the high or low point of the roof. ","Furthermore, the system has to be sufficiently rigid in such a way that no local displacement ","of the system due to the downhill-slope force can occur and that all system properties ","(overall weight, static friction coefficient ≥0,5, array size, distribution within an array, module area, etc.) are identical on both inclined roof sides. ","Is the downhill-slope force negligible due to the above mentioned reasons?"),"Fehler"))</f>
        <v>On inclined roofs the downhill-slope force of the PV-system has to be compensated for by additional ballast. On duopitch roofs the downhill-slope force can be compensated for on both roof sides if the roof slope is lower than 5° and if the installed system is statically connected over the high or low point of the roof. Furthermore, the system has to be sufficiently rigid in such a way that no local displacement of the system due to the downhill-slope force can occur and that all system properties (overall weight, static friction coefficient ≥0,5, array size, distribution within an array, module area, etc.) are identical on both inclined roof sides. Is the downhill-slope force negligible due to the above mentioned reasons?</v>
      </c>
      <c r="C31" s="1118"/>
      <c r="D31" s="1118"/>
      <c r="E31" s="1118"/>
      <c r="F31" s="1118"/>
      <c r="G31" s="1118"/>
      <c r="H31" s="1118"/>
      <c r="I31" s="1121" t="s">
        <v>29</v>
      </c>
      <c r="J31" s="38"/>
      <c r="K31" s="231"/>
      <c r="L31" s="525"/>
      <c r="M31" s="93"/>
      <c r="N31" s="1110"/>
      <c r="O31" s="1015"/>
      <c r="P31" s="992"/>
      <c r="Q31" s="992"/>
      <c r="R31" s="992"/>
      <c r="S31" s="992"/>
      <c r="T31" s="992"/>
      <c r="U31" s="992"/>
      <c r="V31" s="992"/>
      <c r="W31" s="992"/>
      <c r="X31" s="992"/>
      <c r="Y31" s="992"/>
      <c r="Z31" s="992"/>
      <c r="AA31" s="992"/>
      <c r="AB31" s="998"/>
      <c r="AC31" s="999"/>
      <c r="AD31" s="999"/>
      <c r="AE31" s="1000"/>
      <c r="AF31" s="992"/>
      <c r="AG31" s="992"/>
      <c r="AH31" s="992"/>
      <c r="AI31" s="1007"/>
      <c r="AJ31" s="1008"/>
      <c r="AK31" s="1008"/>
      <c r="AL31" s="1009"/>
      <c r="AM31" s="977"/>
      <c r="AN31" s="977"/>
      <c r="AO31" s="977"/>
      <c r="AP31" s="977"/>
      <c r="AQ31" s="977"/>
      <c r="AR31" s="977"/>
      <c r="AS31" s="977"/>
      <c r="AT31" s="977"/>
      <c r="AU31" s="977"/>
      <c r="AV31" s="977"/>
      <c r="AW31" s="977"/>
      <c r="AX31" s="977"/>
      <c r="AY31" s="1015"/>
      <c r="AZ31" s="1016"/>
      <c r="BA31" s="984"/>
      <c r="BB31" s="980"/>
      <c r="BC31" s="973"/>
    </row>
    <row r="32" spans="2:55" ht="24" customHeight="1" thickBot="1" x14ac:dyDescent="0.25">
      <c r="B32" s="1117"/>
      <c r="C32" s="1118"/>
      <c r="D32" s="1118"/>
      <c r="E32" s="1118"/>
      <c r="F32" s="1118"/>
      <c r="G32" s="1118"/>
      <c r="H32" s="1118"/>
      <c r="I32" s="1122"/>
      <c r="J32" s="38"/>
      <c r="K32" s="182"/>
      <c r="L32" s="525"/>
      <c r="M32" s="93"/>
      <c r="N32" s="1110"/>
      <c r="O32" s="1015"/>
      <c r="P32" s="992"/>
      <c r="Q32" s="992"/>
      <c r="R32" s="992"/>
      <c r="S32" s="992"/>
      <c r="T32" s="992"/>
      <c r="U32" s="992"/>
      <c r="V32" s="992"/>
      <c r="W32" s="992"/>
      <c r="X32" s="992"/>
      <c r="Y32" s="992"/>
      <c r="Z32" s="992"/>
      <c r="AA32" s="992"/>
      <c r="AB32" s="998"/>
      <c r="AC32" s="999"/>
      <c r="AD32" s="999"/>
      <c r="AE32" s="1000"/>
      <c r="AF32" s="992"/>
      <c r="AG32" s="992"/>
      <c r="AH32" s="992"/>
      <c r="AI32" s="1007"/>
      <c r="AJ32" s="1008"/>
      <c r="AK32" s="1008"/>
      <c r="AL32" s="1009"/>
      <c r="AM32" s="977"/>
      <c r="AN32" s="977"/>
      <c r="AO32" s="977"/>
      <c r="AP32" s="977"/>
      <c r="AQ32" s="977"/>
      <c r="AR32" s="977"/>
      <c r="AS32" s="977"/>
      <c r="AT32" s="977"/>
      <c r="AU32" s="977"/>
      <c r="AV32" s="977"/>
      <c r="AW32" s="977"/>
      <c r="AX32" s="977"/>
      <c r="AY32" s="1015"/>
      <c r="AZ32" s="1016"/>
      <c r="BA32" s="984"/>
      <c r="BB32" s="980"/>
      <c r="BC32" s="973"/>
    </row>
    <row r="33" spans="1:55" ht="25.5" customHeight="1" thickBot="1" x14ac:dyDescent="0.25">
      <c r="B33" s="1119"/>
      <c r="C33" s="1120"/>
      <c r="D33" s="1120"/>
      <c r="E33" s="1120"/>
      <c r="F33" s="1120"/>
      <c r="G33" s="1120"/>
      <c r="H33" s="1120"/>
      <c r="I33" s="1123"/>
      <c r="K33" s="232"/>
      <c r="L33" s="528"/>
      <c r="M33" s="93"/>
      <c r="N33" s="1110"/>
      <c r="O33" s="1015"/>
      <c r="P33" s="992"/>
      <c r="Q33" s="992"/>
      <c r="R33" s="992"/>
      <c r="S33" s="992"/>
      <c r="T33" s="992"/>
      <c r="U33" s="992"/>
      <c r="V33" s="992"/>
      <c r="W33" s="992"/>
      <c r="X33" s="992"/>
      <c r="Y33" s="992"/>
      <c r="Z33" s="992"/>
      <c r="AA33" s="992"/>
      <c r="AB33" s="998"/>
      <c r="AC33" s="999"/>
      <c r="AD33" s="999"/>
      <c r="AE33" s="1000"/>
      <c r="AF33" s="992"/>
      <c r="AG33" s="992"/>
      <c r="AH33" s="992"/>
      <c r="AI33" s="1007"/>
      <c r="AJ33" s="1008"/>
      <c r="AK33" s="1008"/>
      <c r="AL33" s="1009"/>
      <c r="AM33" s="977"/>
      <c r="AN33" s="977"/>
      <c r="AO33" s="977"/>
      <c r="AP33" s="977"/>
      <c r="AQ33" s="977"/>
      <c r="AR33" s="977"/>
      <c r="AS33" s="977"/>
      <c r="AT33" s="977"/>
      <c r="AU33" s="977"/>
      <c r="AV33" s="977"/>
      <c r="AW33" s="977"/>
      <c r="AX33" s="977"/>
      <c r="AY33" s="1015"/>
      <c r="AZ33" s="1016"/>
      <c r="BA33" s="984"/>
      <c r="BB33" s="980"/>
      <c r="BC33" s="973"/>
    </row>
    <row r="34" spans="1:55" ht="13.5" customHeight="1" thickBot="1" x14ac:dyDescent="0.25">
      <c r="B34" s="347"/>
      <c r="C34" s="26"/>
      <c r="D34" s="38"/>
      <c r="E34" s="38"/>
      <c r="F34" s="348"/>
      <c r="G34" s="37"/>
      <c r="H34" s="37"/>
      <c r="I34" s="329"/>
      <c r="K34" s="232"/>
      <c r="L34" s="526"/>
      <c r="M34" s="93"/>
      <c r="N34" s="1110"/>
      <c r="O34" s="1015"/>
      <c r="P34" s="992"/>
      <c r="Q34" s="992"/>
      <c r="R34" s="992"/>
      <c r="S34" s="992"/>
      <c r="T34" s="992"/>
      <c r="U34" s="992"/>
      <c r="V34" s="992"/>
      <c r="W34" s="992"/>
      <c r="X34" s="992"/>
      <c r="Y34" s="992"/>
      <c r="Z34" s="992"/>
      <c r="AA34" s="992"/>
      <c r="AB34" s="998"/>
      <c r="AC34" s="999"/>
      <c r="AD34" s="999"/>
      <c r="AE34" s="1000"/>
      <c r="AF34" s="992"/>
      <c r="AG34" s="992"/>
      <c r="AH34" s="992"/>
      <c r="AI34" s="1007"/>
      <c r="AJ34" s="1008"/>
      <c r="AK34" s="1008"/>
      <c r="AL34" s="1009"/>
      <c r="AM34" s="977"/>
      <c r="AN34" s="977"/>
      <c r="AO34" s="977"/>
      <c r="AP34" s="977"/>
      <c r="AQ34" s="977"/>
      <c r="AR34" s="977"/>
      <c r="AS34" s="977"/>
      <c r="AT34" s="977"/>
      <c r="AU34" s="977"/>
      <c r="AV34" s="977"/>
      <c r="AW34" s="977"/>
      <c r="AX34" s="977"/>
      <c r="AY34" s="1015"/>
      <c r="AZ34" s="1016"/>
      <c r="BA34" s="984"/>
      <c r="BB34" s="980"/>
      <c r="BC34" s="973"/>
    </row>
    <row r="35" spans="1:55" ht="13.5" customHeight="1" thickBot="1" x14ac:dyDescent="0.25">
      <c r="B35" s="1100" t="str">
        <f>IF($F$9="English","Loaded area of the PV array",IF($F$9="Deutsch","Lasteinflussfläche der PV-Anordnung","Fehler"))</f>
        <v>Loaded area of the PV array</v>
      </c>
      <c r="C35" s="1101"/>
      <c r="D35" s="1101"/>
      <c r="E35" s="1101"/>
      <c r="F35" s="1101"/>
      <c r="G35" s="1101"/>
      <c r="H35" s="1101"/>
      <c r="I35" s="1102"/>
      <c r="K35" s="232"/>
      <c r="L35" s="526"/>
      <c r="M35" s="93"/>
      <c r="N35" s="1110"/>
      <c r="O35" s="1015"/>
      <c r="P35" s="992"/>
      <c r="Q35" s="992"/>
      <c r="R35" s="992"/>
      <c r="S35" s="992"/>
      <c r="T35" s="992"/>
      <c r="U35" s="992"/>
      <c r="V35" s="992"/>
      <c r="W35" s="992"/>
      <c r="X35" s="992"/>
      <c r="Y35" s="992"/>
      <c r="Z35" s="992"/>
      <c r="AA35" s="992"/>
      <c r="AB35" s="998"/>
      <c r="AC35" s="999"/>
      <c r="AD35" s="999"/>
      <c r="AE35" s="1000"/>
      <c r="AF35" s="992"/>
      <c r="AG35" s="992"/>
      <c r="AH35" s="992"/>
      <c r="AI35" s="1007"/>
      <c r="AJ35" s="1008"/>
      <c r="AK35" s="1008"/>
      <c r="AL35" s="1009"/>
      <c r="AM35" s="977"/>
      <c r="AN35" s="977"/>
      <c r="AO35" s="977"/>
      <c r="AP35" s="977"/>
      <c r="AQ35" s="977"/>
      <c r="AR35" s="977"/>
      <c r="AS35" s="977"/>
      <c r="AT35" s="977"/>
      <c r="AU35" s="977"/>
      <c r="AV35" s="977"/>
      <c r="AW35" s="977"/>
      <c r="AX35" s="977"/>
      <c r="AY35" s="1015"/>
      <c r="AZ35" s="1016"/>
      <c r="BA35" s="984"/>
      <c r="BB35" s="980"/>
      <c r="BC35" s="973"/>
    </row>
    <row r="36" spans="1:55" ht="13.5" customHeight="1" thickBot="1" x14ac:dyDescent="0.25">
      <c r="B36" s="1124" t="str">
        <f>IF($F$9="English","With the loaded area the structural interconnection of the system is taken into account.",IF($F$9="Deutsch","Die Lasteinflussfläche berücksichtigt den statischen Systemverbund","Fehler"))</f>
        <v>With the loaded area the structural interconnection of the system is taken into account.</v>
      </c>
      <c r="C36" s="1125"/>
      <c r="D36" s="1125"/>
      <c r="E36" s="1125"/>
      <c r="F36" s="1125"/>
      <c r="G36" s="1125"/>
      <c r="H36" s="1125"/>
      <c r="I36" s="1126"/>
      <c r="J36" s="234"/>
      <c r="K36" s="232"/>
      <c r="L36" s="526"/>
      <c r="M36" s="93"/>
      <c r="N36" s="1110"/>
      <c r="O36" s="1015"/>
      <c r="P36" s="992"/>
      <c r="Q36" s="992"/>
      <c r="R36" s="992"/>
      <c r="S36" s="992"/>
      <c r="T36" s="992"/>
      <c r="U36" s="992"/>
      <c r="V36" s="992"/>
      <c r="W36" s="992"/>
      <c r="X36" s="992"/>
      <c r="Y36" s="992"/>
      <c r="Z36" s="992"/>
      <c r="AA36" s="992"/>
      <c r="AB36" s="998"/>
      <c r="AC36" s="999"/>
      <c r="AD36" s="999"/>
      <c r="AE36" s="1000"/>
      <c r="AF36" s="992"/>
      <c r="AG36" s="992"/>
      <c r="AH36" s="992"/>
      <c r="AI36" s="1007"/>
      <c r="AJ36" s="1008"/>
      <c r="AK36" s="1008"/>
      <c r="AL36" s="1009"/>
      <c r="AM36" s="977"/>
      <c r="AN36" s="977"/>
      <c r="AO36" s="977"/>
      <c r="AP36" s="977"/>
      <c r="AQ36" s="977"/>
      <c r="AR36" s="977"/>
      <c r="AS36" s="977"/>
      <c r="AT36" s="977"/>
      <c r="AU36" s="977"/>
      <c r="AV36" s="977"/>
      <c r="AW36" s="977"/>
      <c r="AX36" s="977"/>
      <c r="AY36" s="1015"/>
      <c r="AZ36" s="1016"/>
      <c r="BA36" s="984"/>
      <c r="BB36" s="980"/>
      <c r="BC36" s="973"/>
    </row>
    <row r="37" spans="1:55" ht="13.5" customHeight="1" thickBot="1" x14ac:dyDescent="0.25">
      <c r="B37" s="545"/>
      <c r="C37" s="546"/>
      <c r="D37" s="546"/>
      <c r="E37" s="546"/>
      <c r="F37" s="546"/>
      <c r="G37" s="546"/>
      <c r="H37" s="546"/>
      <c r="I37" s="558"/>
      <c r="J37" s="234"/>
      <c r="K37" s="232"/>
      <c r="L37" s="525"/>
      <c r="M37" s="93"/>
      <c r="N37" s="1110"/>
      <c r="O37" s="1015"/>
      <c r="P37" s="992"/>
      <c r="Q37" s="992"/>
      <c r="R37" s="992"/>
      <c r="S37" s="992"/>
      <c r="T37" s="992"/>
      <c r="U37" s="992"/>
      <c r="V37" s="992"/>
      <c r="W37" s="992"/>
      <c r="X37" s="992"/>
      <c r="Y37" s="992"/>
      <c r="Z37" s="992"/>
      <c r="AA37" s="992"/>
      <c r="AB37" s="998"/>
      <c r="AC37" s="999"/>
      <c r="AD37" s="999"/>
      <c r="AE37" s="1000"/>
      <c r="AF37" s="992"/>
      <c r="AG37" s="992"/>
      <c r="AH37" s="992"/>
      <c r="AI37" s="1007"/>
      <c r="AJ37" s="1008"/>
      <c r="AK37" s="1008"/>
      <c r="AL37" s="1009"/>
      <c r="AM37" s="977"/>
      <c r="AN37" s="977"/>
      <c r="AO37" s="977"/>
      <c r="AP37" s="977"/>
      <c r="AQ37" s="977"/>
      <c r="AR37" s="977"/>
      <c r="AS37" s="977"/>
      <c r="AT37" s="977"/>
      <c r="AU37" s="977"/>
      <c r="AV37" s="977"/>
      <c r="AW37" s="977"/>
      <c r="AX37" s="977"/>
      <c r="AY37" s="1015"/>
      <c r="AZ37" s="1016"/>
      <c r="BA37" s="984"/>
      <c r="BB37" s="980"/>
      <c r="BC37" s="973"/>
    </row>
    <row r="38" spans="1:55" ht="13.5" customHeight="1" thickBot="1" x14ac:dyDescent="0.25">
      <c r="B38" s="349" t="str">
        <f>IF($F$9="Deutsch","Lastfall 'Abheben'",IF($F$9="English","Load case 'Uplift'","Fehler"))</f>
        <v>Load case 'Uplift'</v>
      </c>
      <c r="C38" s="26"/>
      <c r="D38" s="26"/>
      <c r="E38" s="26"/>
      <c r="F38" s="26"/>
      <c r="G38" s="26"/>
      <c r="H38" s="33" t="str">
        <f>IF($F$9="Deutsch","für große Felder",IF($F$9="English","for large arrays","Fehler"))</f>
        <v>for large arrays</v>
      </c>
      <c r="I38" s="558"/>
      <c r="J38" s="234"/>
      <c r="K38" s="232"/>
      <c r="L38" s="525"/>
      <c r="M38" s="93"/>
      <c r="N38" s="1110"/>
      <c r="O38" s="1015"/>
      <c r="P38" s="992"/>
      <c r="Q38" s="992"/>
      <c r="R38" s="992"/>
      <c r="S38" s="992"/>
      <c r="T38" s="992"/>
      <c r="U38" s="992"/>
      <c r="V38" s="992"/>
      <c r="W38" s="992"/>
      <c r="X38" s="992"/>
      <c r="Y38" s="992"/>
      <c r="Z38" s="992"/>
      <c r="AA38" s="992"/>
      <c r="AB38" s="1001"/>
      <c r="AC38" s="1002"/>
      <c r="AD38" s="1002"/>
      <c r="AE38" s="1003"/>
      <c r="AF38" s="992"/>
      <c r="AG38" s="992"/>
      <c r="AH38" s="992"/>
      <c r="AI38" s="1010"/>
      <c r="AJ38" s="1011"/>
      <c r="AK38" s="1011"/>
      <c r="AL38" s="1012"/>
      <c r="AM38" s="977"/>
      <c r="AN38" s="977"/>
      <c r="AO38" s="977"/>
      <c r="AP38" s="977"/>
      <c r="AQ38" s="977"/>
      <c r="AR38" s="977"/>
      <c r="AS38" s="977"/>
      <c r="AT38" s="977"/>
      <c r="AU38" s="977"/>
      <c r="AV38" s="977"/>
      <c r="AW38" s="977"/>
      <c r="AX38" s="977"/>
      <c r="AY38" s="1015"/>
      <c r="AZ38" s="1016"/>
      <c r="BA38" s="985"/>
      <c r="BB38" s="981"/>
      <c r="BC38" s="974"/>
    </row>
    <row r="39" spans="1:55" ht="13.5" customHeight="1" x14ac:dyDescent="0.2">
      <c r="B39" s="68" t="str">
        <f>IF($F$9="Deutsch","Anzahl der Doppelmodule pro Reihe, die Lasten teilen",IF($F$9="English","Number of double modules per row which share loads:","Fehler"))</f>
        <v>Number of double modules per row which share loads:</v>
      </c>
      <c r="C39" s="330">
        <v>2</v>
      </c>
      <c r="D39" s="72"/>
      <c r="E39" s="70"/>
      <c r="F39" s="70" t="str">
        <f>IF($F$9="Deutsch","Angesetzte Anzahl der Doppelmodule pro Reihe, die Lasten teilen",IF($F$9="English","Applied number of double modules per row which share loads:","Fehler"))</f>
        <v>Applied number of double modules per row which share loads:</v>
      </c>
      <c r="G39" s="331">
        <f>IF(C39&gt;4,4,C39)</f>
        <v>2</v>
      </c>
      <c r="H39" s="331">
        <f>IF(C39&gt;8,8,C39)</f>
        <v>2</v>
      </c>
      <c r="I39" s="559"/>
      <c r="J39" s="235"/>
      <c r="K39" s="232"/>
      <c r="L39" s="525"/>
      <c r="M39" s="93"/>
      <c r="N39" s="1110"/>
      <c r="O39" s="1015"/>
      <c r="P39" s="1129" t="str">
        <f>E53</f>
        <v>1st module in Inner zone</v>
      </c>
      <c r="Q39" s="1130"/>
      <c r="R39" s="1130"/>
      <c r="S39" s="1131"/>
      <c r="T39" s="1129" t="str">
        <f>$P$39</f>
        <v>1st module in Inner zone</v>
      </c>
      <c r="U39" s="1130"/>
      <c r="V39" s="1130"/>
      <c r="W39" s="1131"/>
      <c r="X39" s="1129" t="str">
        <f>$P$39</f>
        <v>1st module in Inner zone</v>
      </c>
      <c r="Y39" s="1130"/>
      <c r="Z39" s="1130"/>
      <c r="AA39" s="1131"/>
      <c r="AB39" s="1129" t="str">
        <f>$P$39</f>
        <v>1st module in Inner zone</v>
      </c>
      <c r="AC39" s="1130"/>
      <c r="AD39" s="1130"/>
      <c r="AE39" s="1131"/>
      <c r="AF39" s="1129" t="str">
        <f>$P$39</f>
        <v>1st module in Inner zone</v>
      </c>
      <c r="AG39" s="1139"/>
      <c r="AH39" s="1140"/>
      <c r="AI39" s="1129" t="str">
        <f>$P$39</f>
        <v>1st module in Inner zone</v>
      </c>
      <c r="AJ39" s="1130"/>
      <c r="AK39" s="1130"/>
      <c r="AL39" s="1131"/>
      <c r="AM39" s="1129" t="str">
        <f>$P$39</f>
        <v>1st module in Inner zone</v>
      </c>
      <c r="AN39" s="1130"/>
      <c r="AO39" s="1130"/>
      <c r="AP39" s="1131"/>
      <c r="AQ39" s="1129" t="str">
        <f>$P$39</f>
        <v>1st module in Inner zone</v>
      </c>
      <c r="AR39" s="1130"/>
      <c r="AS39" s="1130"/>
      <c r="AT39" s="1131"/>
      <c r="AU39" s="1129" t="str">
        <f>$P$39</f>
        <v>1st module in Inner zone</v>
      </c>
      <c r="AV39" s="1130"/>
      <c r="AW39" s="1130"/>
      <c r="AX39" s="1131"/>
      <c r="AY39" s="1015"/>
      <c r="AZ39" s="1016"/>
      <c r="BA39" s="983">
        <f>IF(('building data'!C21-2*BA27)&lt;0,0,'building data'!C21-2*BA27)</f>
        <v>0</v>
      </c>
      <c r="BB39" s="979" t="s">
        <v>1</v>
      </c>
      <c r="BC39" s="970" t="s">
        <v>63</v>
      </c>
    </row>
    <row r="40" spans="1:55" ht="13.5" customHeight="1" x14ac:dyDescent="0.2">
      <c r="B40" s="68" t="str">
        <f>IF($F$9="Deutsch","Anzahl der Reihen, die Lasten teilen",IF($F$9="English","Number of rows which share loads:","Fehler"))</f>
        <v>Number of rows which share loads:</v>
      </c>
      <c r="C40" s="330">
        <v>3</v>
      </c>
      <c r="D40" s="72"/>
      <c r="E40" s="70"/>
      <c r="F40" s="70" t="str">
        <f>IF($F$9="Deutsch","Angesetzte Anzahl der Reihen, die Lasten teilen",IF($F$9="English","Applied number of rows which share loads:","Fehler"))</f>
        <v>Applied number of rows which share loads:</v>
      </c>
      <c r="G40" s="331">
        <f>IF(C40&gt;4,4,C40)</f>
        <v>3</v>
      </c>
      <c r="H40" s="331">
        <f>IF(C40&gt;8,8,C40)</f>
        <v>3</v>
      </c>
      <c r="I40" s="560"/>
      <c r="J40" s="235"/>
      <c r="K40" s="313"/>
      <c r="L40" s="525"/>
      <c r="M40" s="93"/>
      <c r="N40" s="1110"/>
      <c r="O40" s="1015"/>
      <c r="P40" s="1132"/>
      <c r="Q40" s="1133"/>
      <c r="R40" s="1133"/>
      <c r="S40" s="1134"/>
      <c r="T40" s="1136"/>
      <c r="U40" s="1137"/>
      <c r="V40" s="1137"/>
      <c r="W40" s="1138"/>
      <c r="X40" s="1136"/>
      <c r="Y40" s="1137"/>
      <c r="Z40" s="1137"/>
      <c r="AA40" s="1138"/>
      <c r="AB40" s="1136"/>
      <c r="AC40" s="1137"/>
      <c r="AD40" s="1137"/>
      <c r="AE40" s="1138"/>
      <c r="AF40" s="1141"/>
      <c r="AG40" s="1142"/>
      <c r="AH40" s="1143"/>
      <c r="AI40" s="1136"/>
      <c r="AJ40" s="1137"/>
      <c r="AK40" s="1137"/>
      <c r="AL40" s="1138"/>
      <c r="AM40" s="1136"/>
      <c r="AN40" s="1137"/>
      <c r="AO40" s="1137"/>
      <c r="AP40" s="1138"/>
      <c r="AQ40" s="1136"/>
      <c r="AR40" s="1137"/>
      <c r="AS40" s="1137"/>
      <c r="AT40" s="1138"/>
      <c r="AU40" s="1136"/>
      <c r="AV40" s="1137"/>
      <c r="AW40" s="1137"/>
      <c r="AX40" s="1138"/>
      <c r="AY40" s="1015"/>
      <c r="AZ40" s="1016"/>
      <c r="BA40" s="984"/>
      <c r="BB40" s="980"/>
      <c r="BC40" s="971"/>
    </row>
    <row r="41" spans="1:55" ht="13.5" customHeight="1" x14ac:dyDescent="0.25">
      <c r="B41" s="349" t="str">
        <f>IF($F$9="Deutsch","Lastfall 'Verschieben'",IF($F$9="English","Load case 'Sliding'","Fehler"))</f>
        <v>Load case 'Sliding'</v>
      </c>
      <c r="C41" s="26"/>
      <c r="D41" s="38"/>
      <c r="E41" s="38"/>
      <c r="F41" s="348"/>
      <c r="G41" s="72"/>
      <c r="H41" s="127"/>
      <c r="I41" s="547"/>
      <c r="J41" s="236"/>
      <c r="K41" s="314"/>
      <c r="L41" s="525"/>
      <c r="M41" s="93"/>
      <c r="N41" s="1110"/>
      <c r="O41" s="1015"/>
      <c r="P41" s="1022" t="str">
        <f>E54</f>
        <v>from 2nd module in Inner zone</v>
      </c>
      <c r="Q41" s="1023"/>
      <c r="R41" s="1023"/>
      <c r="S41" s="1024"/>
      <c r="T41" s="1022" t="str">
        <f>$P$41</f>
        <v>from 2nd module in Inner zone</v>
      </c>
      <c r="U41" s="1023"/>
      <c r="V41" s="1023"/>
      <c r="W41" s="1024"/>
      <c r="X41" s="1022" t="str">
        <f>$P$41</f>
        <v>from 2nd module in Inner zone</v>
      </c>
      <c r="Y41" s="1023"/>
      <c r="Z41" s="1023"/>
      <c r="AA41" s="1024"/>
      <c r="AB41" s="1022" t="str">
        <f>$P$41</f>
        <v>from 2nd module in Inner zone</v>
      </c>
      <c r="AC41" s="1023"/>
      <c r="AD41" s="1023"/>
      <c r="AE41" s="1024"/>
      <c r="AF41" s="1022" t="str">
        <f>$P$41</f>
        <v>from 2nd module in Inner zone</v>
      </c>
      <c r="AG41" s="1144"/>
      <c r="AH41" s="1145"/>
      <c r="AI41" s="1022" t="str">
        <f>$P$41</f>
        <v>from 2nd module in Inner zone</v>
      </c>
      <c r="AJ41" s="1023"/>
      <c r="AK41" s="1023"/>
      <c r="AL41" s="1024"/>
      <c r="AM41" s="1022" t="str">
        <f>$P$41</f>
        <v>from 2nd module in Inner zone</v>
      </c>
      <c r="AN41" s="1023"/>
      <c r="AO41" s="1023"/>
      <c r="AP41" s="1024"/>
      <c r="AQ41" s="1022" t="str">
        <f>$P$41</f>
        <v>from 2nd module in Inner zone</v>
      </c>
      <c r="AR41" s="1023"/>
      <c r="AS41" s="1023"/>
      <c r="AT41" s="1024"/>
      <c r="AU41" s="1022" t="str">
        <f>$P$41</f>
        <v>from 2nd module in Inner zone</v>
      </c>
      <c r="AV41" s="1023"/>
      <c r="AW41" s="1023"/>
      <c r="AX41" s="1024"/>
      <c r="AY41" s="1015"/>
      <c r="AZ41" s="1016"/>
      <c r="BA41" s="984"/>
      <c r="BB41" s="980"/>
      <c r="BC41" s="971"/>
    </row>
    <row r="42" spans="1:55" ht="13.5" customHeight="1" x14ac:dyDescent="0.2">
      <c r="B42" s="68" t="str">
        <f>IF($F$9="Deutsch","Anzahl der Doppelmodule pro Reihe, die Lasten teilen",IF($F$9="English","Number of double modules per row which share loads:","Fehler"))</f>
        <v>Number of double modules per row which share loads:</v>
      </c>
      <c r="C42" s="330">
        <v>2</v>
      </c>
      <c r="D42" s="72"/>
      <c r="E42" s="70"/>
      <c r="F42" s="70" t="str">
        <f>IF($F$9="Deutsch","Angesetzte Anzahl der Doppelmodule pro Reihe, die Lasten teilen",IF($F$9="English","Applied number of double modules per row which share loads:","Fehler"))</f>
        <v>Applied number of double modules per row which share loads:</v>
      </c>
      <c r="G42" s="331">
        <f>IF(C42&gt;4,4,C42)</f>
        <v>2</v>
      </c>
      <c r="H42" s="331">
        <f>IF(C42&gt;8,8,C42)</f>
        <v>2</v>
      </c>
      <c r="I42" s="559"/>
      <c r="J42" s="240"/>
      <c r="K42" s="313"/>
      <c r="L42" s="525"/>
      <c r="M42" s="93"/>
      <c r="N42" s="1110"/>
      <c r="O42" s="1015"/>
      <c r="P42" s="1025"/>
      <c r="Q42" s="1026"/>
      <c r="R42" s="1026"/>
      <c r="S42" s="1027"/>
      <c r="T42" s="1025"/>
      <c r="U42" s="1026"/>
      <c r="V42" s="1026"/>
      <c r="W42" s="1027"/>
      <c r="X42" s="1025"/>
      <c r="Y42" s="1026"/>
      <c r="Z42" s="1026"/>
      <c r="AA42" s="1027"/>
      <c r="AB42" s="1025"/>
      <c r="AC42" s="1026"/>
      <c r="AD42" s="1026"/>
      <c r="AE42" s="1027"/>
      <c r="AF42" s="1146"/>
      <c r="AG42" s="1147"/>
      <c r="AH42" s="1148"/>
      <c r="AI42" s="1025"/>
      <c r="AJ42" s="1026"/>
      <c r="AK42" s="1026"/>
      <c r="AL42" s="1027"/>
      <c r="AM42" s="1025"/>
      <c r="AN42" s="1026"/>
      <c r="AO42" s="1026"/>
      <c r="AP42" s="1027"/>
      <c r="AQ42" s="1025"/>
      <c r="AR42" s="1026"/>
      <c r="AS42" s="1026"/>
      <c r="AT42" s="1027"/>
      <c r="AU42" s="1025"/>
      <c r="AV42" s="1026"/>
      <c r="AW42" s="1026"/>
      <c r="AX42" s="1027"/>
      <c r="AY42" s="1015"/>
      <c r="AZ42" s="1016"/>
      <c r="BA42" s="984"/>
      <c r="BB42" s="980"/>
      <c r="BC42" s="971"/>
    </row>
    <row r="43" spans="1:55" ht="13.5" customHeight="1" thickBot="1" x14ac:dyDescent="0.25">
      <c r="B43" s="470" t="str">
        <f>IF($F$9="Deutsch","Anzahl der Reihen, die Lasten teilen",IF($F$9="English","Number of rows which share loads:","Fehler"))</f>
        <v>Number of rows which share loads:</v>
      </c>
      <c r="C43" s="350">
        <v>3</v>
      </c>
      <c r="D43" s="351"/>
      <c r="E43" s="352"/>
      <c r="F43" s="469" t="str">
        <f>IF($F$9="Deutsch","Angesetzte Anzahl der Reihen, die Lasten teilen",IF($F$9="English","Applied number of rows which share loads:","Fehler"))</f>
        <v>Applied number of rows which share loads:</v>
      </c>
      <c r="G43" s="353">
        <f>IF(C43&gt;4,4,C43)</f>
        <v>3</v>
      </c>
      <c r="H43" s="353">
        <f>IF(C43&gt;8,8,C43)</f>
        <v>3</v>
      </c>
      <c r="I43" s="561"/>
      <c r="J43" s="240"/>
      <c r="K43" s="313"/>
      <c r="L43" s="525"/>
      <c r="M43" s="93"/>
      <c r="N43" s="1110"/>
      <c r="O43" s="1015"/>
      <c r="P43" s="1025"/>
      <c r="Q43" s="1026"/>
      <c r="R43" s="1026"/>
      <c r="S43" s="1027"/>
      <c r="T43" s="1025"/>
      <c r="U43" s="1026"/>
      <c r="V43" s="1026"/>
      <c r="W43" s="1027"/>
      <c r="X43" s="1025"/>
      <c r="Y43" s="1026"/>
      <c r="Z43" s="1026"/>
      <c r="AA43" s="1027"/>
      <c r="AB43" s="1025"/>
      <c r="AC43" s="1026"/>
      <c r="AD43" s="1026"/>
      <c r="AE43" s="1027"/>
      <c r="AF43" s="1146"/>
      <c r="AG43" s="1147"/>
      <c r="AH43" s="1148"/>
      <c r="AI43" s="1025"/>
      <c r="AJ43" s="1026"/>
      <c r="AK43" s="1026"/>
      <c r="AL43" s="1027"/>
      <c r="AM43" s="1025"/>
      <c r="AN43" s="1026"/>
      <c r="AO43" s="1026"/>
      <c r="AP43" s="1027"/>
      <c r="AQ43" s="1025"/>
      <c r="AR43" s="1026"/>
      <c r="AS43" s="1026"/>
      <c r="AT43" s="1027"/>
      <c r="AU43" s="1025"/>
      <c r="AV43" s="1026"/>
      <c r="AW43" s="1026"/>
      <c r="AX43" s="1027"/>
      <c r="AY43" s="1015"/>
      <c r="AZ43" s="1016"/>
      <c r="BA43" s="984"/>
      <c r="BB43" s="980"/>
      <c r="BC43" s="971"/>
    </row>
    <row r="44" spans="1:55" ht="13.5" customHeight="1" thickTop="1" x14ac:dyDescent="0.2">
      <c r="A44" s="41"/>
      <c r="D44" s="22"/>
      <c r="E44" s="22"/>
      <c r="F44" s="233"/>
      <c r="G44" s="37"/>
      <c r="H44" s="37"/>
      <c r="I44" s="22"/>
      <c r="J44" s="240"/>
      <c r="K44" s="313"/>
      <c r="L44" s="525"/>
      <c r="M44" s="93"/>
      <c r="N44" s="1110"/>
      <c r="O44" s="1015"/>
      <c r="P44" s="1025"/>
      <c r="Q44" s="1026"/>
      <c r="R44" s="1026"/>
      <c r="S44" s="1027"/>
      <c r="T44" s="1025"/>
      <c r="U44" s="1026"/>
      <c r="V44" s="1026"/>
      <c r="W44" s="1027"/>
      <c r="X44" s="1025"/>
      <c r="Y44" s="1026"/>
      <c r="Z44" s="1026"/>
      <c r="AA44" s="1027"/>
      <c r="AB44" s="1025"/>
      <c r="AC44" s="1026"/>
      <c r="AD44" s="1026"/>
      <c r="AE44" s="1027"/>
      <c r="AF44" s="1146"/>
      <c r="AG44" s="1147"/>
      <c r="AH44" s="1148"/>
      <c r="AI44" s="1025"/>
      <c r="AJ44" s="1026"/>
      <c r="AK44" s="1026"/>
      <c r="AL44" s="1027"/>
      <c r="AM44" s="1025"/>
      <c r="AN44" s="1026"/>
      <c r="AO44" s="1026"/>
      <c r="AP44" s="1027"/>
      <c r="AQ44" s="1025"/>
      <c r="AR44" s="1026"/>
      <c r="AS44" s="1026"/>
      <c r="AT44" s="1027"/>
      <c r="AU44" s="1025"/>
      <c r="AV44" s="1026"/>
      <c r="AW44" s="1026"/>
      <c r="AX44" s="1027"/>
      <c r="AY44" s="1015"/>
      <c r="AZ44" s="1016"/>
      <c r="BA44" s="984"/>
      <c r="BB44" s="980"/>
      <c r="BC44" s="971"/>
    </row>
    <row r="45" spans="1:55" ht="13.5" customHeight="1" thickBot="1" x14ac:dyDescent="0.25">
      <c r="A45" s="41"/>
      <c r="D45" s="22"/>
      <c r="E45" s="22"/>
      <c r="F45" s="233"/>
      <c r="G45" s="37"/>
      <c r="H45" s="37"/>
      <c r="I45" s="22"/>
      <c r="J45" s="240"/>
      <c r="K45" s="313"/>
      <c r="L45" s="525"/>
      <c r="M45" s="93"/>
      <c r="N45" s="1110"/>
      <c r="O45" s="1015"/>
      <c r="P45" s="1028"/>
      <c r="Q45" s="1029"/>
      <c r="R45" s="1029"/>
      <c r="S45" s="1030"/>
      <c r="T45" s="1028"/>
      <c r="U45" s="1029"/>
      <c r="V45" s="1029"/>
      <c r="W45" s="1030"/>
      <c r="X45" s="1028"/>
      <c r="Y45" s="1029"/>
      <c r="Z45" s="1029"/>
      <c r="AA45" s="1030"/>
      <c r="AB45" s="1028"/>
      <c r="AC45" s="1029"/>
      <c r="AD45" s="1029"/>
      <c r="AE45" s="1030"/>
      <c r="AF45" s="1149"/>
      <c r="AG45" s="1150"/>
      <c r="AH45" s="1151"/>
      <c r="AI45" s="1028"/>
      <c r="AJ45" s="1029"/>
      <c r="AK45" s="1029"/>
      <c r="AL45" s="1030"/>
      <c r="AM45" s="1028"/>
      <c r="AN45" s="1029"/>
      <c r="AO45" s="1029"/>
      <c r="AP45" s="1030"/>
      <c r="AQ45" s="1028"/>
      <c r="AR45" s="1029"/>
      <c r="AS45" s="1029"/>
      <c r="AT45" s="1030"/>
      <c r="AU45" s="1028"/>
      <c r="AV45" s="1029"/>
      <c r="AW45" s="1029"/>
      <c r="AX45" s="1030"/>
      <c r="AY45" s="1015"/>
      <c r="AZ45" s="1016"/>
      <c r="BA45" s="984"/>
      <c r="BB45" s="980"/>
      <c r="BC45" s="971"/>
    </row>
    <row r="46" spans="1:55" ht="13.5" customHeight="1" thickTop="1" thickBot="1" x14ac:dyDescent="0.25">
      <c r="A46" s="41"/>
      <c r="B46" s="1059" t="str">
        <f>IF($F$9="English","Ballast design for wind loads",IF($F$9="Deutsch","Ermittlung des Ballasts aus den Windlasten zur Lagesicherung","Fehler"))</f>
        <v>Ballast design for wind loads</v>
      </c>
      <c r="C46" s="1060"/>
      <c r="D46" s="1060"/>
      <c r="E46" s="1061"/>
      <c r="F46" s="1042" t="str">
        <f>IF($F$9="English","Load factors for wind and dead load:",IF($F$9="Deutsch","Sicherheitsbeiwerte für Windlasten und ständige Lasten","Fehler"))</f>
        <v>Load factors for wind and dead load:</v>
      </c>
      <c r="G46" s="1043"/>
      <c r="H46" s="1043"/>
      <c r="I46" s="1044"/>
      <c r="J46" s="240"/>
      <c r="K46" s="313"/>
      <c r="L46" s="525"/>
      <c r="M46" s="93"/>
      <c r="N46" s="1110"/>
      <c r="O46" s="1015"/>
      <c r="P46" s="1132" t="str">
        <f>$P$39</f>
        <v>1st module in Inner zone</v>
      </c>
      <c r="Q46" s="1133"/>
      <c r="R46" s="1133"/>
      <c r="S46" s="1134"/>
      <c r="T46" s="1132" t="str">
        <f>$P$39</f>
        <v>1st module in Inner zone</v>
      </c>
      <c r="U46" s="1133"/>
      <c r="V46" s="1133"/>
      <c r="W46" s="1134"/>
      <c r="X46" s="1132" t="str">
        <f>$P$39</f>
        <v>1st module in Inner zone</v>
      </c>
      <c r="Y46" s="1133"/>
      <c r="Z46" s="1133"/>
      <c r="AA46" s="1134"/>
      <c r="AB46" s="1031" t="str">
        <f>$P$39</f>
        <v>1st module in Inner zone</v>
      </c>
      <c r="AC46" s="1032"/>
      <c r="AD46" s="1032"/>
      <c r="AE46" s="1033"/>
      <c r="AF46" s="1132" t="str">
        <f>$P$39</f>
        <v>1st module in Inner zone</v>
      </c>
      <c r="AG46" s="1142"/>
      <c r="AH46" s="1143"/>
      <c r="AI46" s="1031" t="str">
        <f>$P$39</f>
        <v>1st module in Inner zone</v>
      </c>
      <c r="AJ46" s="1032"/>
      <c r="AK46" s="1032"/>
      <c r="AL46" s="1033"/>
      <c r="AM46" s="1132" t="str">
        <f>$P$39</f>
        <v>1st module in Inner zone</v>
      </c>
      <c r="AN46" s="1133"/>
      <c r="AO46" s="1133"/>
      <c r="AP46" s="1134"/>
      <c r="AQ46" s="1132" t="str">
        <f>$P$39</f>
        <v>1st module in Inner zone</v>
      </c>
      <c r="AR46" s="1133"/>
      <c r="AS46" s="1133"/>
      <c r="AT46" s="1134"/>
      <c r="AU46" s="1132" t="str">
        <f>$P$39</f>
        <v>1st module in Inner zone</v>
      </c>
      <c r="AV46" s="1133"/>
      <c r="AW46" s="1133"/>
      <c r="AX46" s="1134"/>
      <c r="AY46" s="1015"/>
      <c r="AZ46" s="1016"/>
      <c r="BA46" s="984"/>
      <c r="BB46" s="980"/>
      <c r="BC46" s="971"/>
    </row>
    <row r="47" spans="1:55" ht="13.5" customHeight="1" thickBot="1" x14ac:dyDescent="0.25">
      <c r="A47" s="41"/>
      <c r="B47" s="1062"/>
      <c r="C47" s="1063"/>
      <c r="D47" s="1063"/>
      <c r="E47" s="1064"/>
      <c r="F47" s="1045" t="str">
        <f>IF($F$9="English","Load factor for                   uplift [-]:",IF($F$9="Deutsch","Sicherheitsbeiwert für Abheben [-]","Fehler"))</f>
        <v>Load factor for                   uplift [-]:</v>
      </c>
      <c r="G47" s="1047" t="str">
        <f>IF($F$9="English","Load factor for                   sliding [-]:",IF($F$9="Deutsch","Sicherheitsbeiwert für Verschieben [-]","Fehler"))</f>
        <v>Load factor for                   sliding [-]:</v>
      </c>
      <c r="H47" s="1047" t="str">
        <f>IF($F$9="English","Load factor for                    dead load [-]:",IF($F$9="Deutsch","Sicherheitsbeiwert für ständige Lasten [-]","Fehler"))</f>
        <v>Load factor for                    dead load [-]:</v>
      </c>
      <c r="I47" s="1049" t="str">
        <f>IF($F$9="English","according to ",IF($F$9="Deutsch","gemäß ","Fehler"))&amp;F12</f>
        <v>according to DIN EN 1991-1-4</v>
      </c>
      <c r="J47" s="240"/>
      <c r="K47" s="313"/>
      <c r="L47" s="525"/>
      <c r="M47" s="93"/>
      <c r="N47" s="1110"/>
      <c r="O47" s="1015"/>
      <c r="P47" s="1034"/>
      <c r="Q47" s="1135"/>
      <c r="R47" s="1135"/>
      <c r="S47" s="1036"/>
      <c r="T47" s="1034"/>
      <c r="U47" s="1135"/>
      <c r="V47" s="1135"/>
      <c r="W47" s="1036"/>
      <c r="X47" s="1034"/>
      <c r="Y47" s="1135"/>
      <c r="Z47" s="1135"/>
      <c r="AA47" s="1036"/>
      <c r="AB47" s="1034"/>
      <c r="AC47" s="1035"/>
      <c r="AD47" s="1035"/>
      <c r="AE47" s="1036"/>
      <c r="AF47" s="1152"/>
      <c r="AG47" s="1153"/>
      <c r="AH47" s="1154"/>
      <c r="AI47" s="1034"/>
      <c r="AJ47" s="1035"/>
      <c r="AK47" s="1035"/>
      <c r="AL47" s="1036"/>
      <c r="AM47" s="1034"/>
      <c r="AN47" s="1135"/>
      <c r="AO47" s="1135"/>
      <c r="AP47" s="1036"/>
      <c r="AQ47" s="1034"/>
      <c r="AR47" s="1135"/>
      <c r="AS47" s="1135"/>
      <c r="AT47" s="1036"/>
      <c r="AU47" s="1034"/>
      <c r="AV47" s="1135"/>
      <c r="AW47" s="1135"/>
      <c r="AX47" s="1036"/>
      <c r="AY47" s="1015"/>
      <c r="AZ47" s="1016"/>
      <c r="BA47" s="985"/>
      <c r="BB47" s="981"/>
      <c r="BC47" s="972"/>
    </row>
    <row r="48" spans="1:55" ht="13.5" customHeight="1" thickBot="1" x14ac:dyDescent="0.25">
      <c r="A48" s="41"/>
      <c r="B48" s="1062"/>
      <c r="C48" s="1063"/>
      <c r="D48" s="1063"/>
      <c r="E48" s="1064"/>
      <c r="F48" s="1046"/>
      <c r="G48" s="1048"/>
      <c r="H48" s="1048"/>
      <c r="I48" s="1050"/>
      <c r="J48" s="240"/>
      <c r="K48" s="237"/>
      <c r="L48" s="526"/>
      <c r="M48" s="93"/>
      <c r="N48" s="1110"/>
      <c r="O48" s="1015"/>
      <c r="P48" s="992" t="str">
        <f>P29</f>
        <v>Outer zone</v>
      </c>
      <c r="Q48" s="1116"/>
      <c r="R48" s="1116"/>
      <c r="S48" s="1116"/>
      <c r="T48" s="992" t="str">
        <f>P29</f>
        <v>Outer zone</v>
      </c>
      <c r="U48" s="1116"/>
      <c r="V48" s="1116"/>
      <c r="W48" s="1116"/>
      <c r="X48" s="992" t="str">
        <f>X29</f>
        <v>Outer zone</v>
      </c>
      <c r="Y48" s="1116"/>
      <c r="Z48" s="1116"/>
      <c r="AA48" s="1116"/>
      <c r="AB48" s="995" t="str">
        <f>X29</f>
        <v>Outer zone</v>
      </c>
      <c r="AC48" s="996"/>
      <c r="AD48" s="996"/>
      <c r="AE48" s="997"/>
      <c r="AF48" s="977" t="str">
        <f>X29</f>
        <v>Outer zone</v>
      </c>
      <c r="AG48" s="978"/>
      <c r="AH48" s="978"/>
      <c r="AI48" s="1004" t="str">
        <f>X29</f>
        <v>Outer zone</v>
      </c>
      <c r="AJ48" s="1005"/>
      <c r="AK48" s="1005"/>
      <c r="AL48" s="1006"/>
      <c r="AM48" s="977" t="str">
        <f>X29</f>
        <v>Outer zone</v>
      </c>
      <c r="AN48" s="978"/>
      <c r="AO48" s="978"/>
      <c r="AP48" s="978"/>
      <c r="AQ48" s="977" t="str">
        <f>X29</f>
        <v>Outer zone</v>
      </c>
      <c r="AR48" s="978"/>
      <c r="AS48" s="978"/>
      <c r="AT48" s="978"/>
      <c r="AU48" s="977" t="str">
        <f>X29</f>
        <v>Outer zone</v>
      </c>
      <c r="AV48" s="978"/>
      <c r="AW48" s="978"/>
      <c r="AX48" s="978"/>
      <c r="AY48" s="1015"/>
      <c r="AZ48" s="1016"/>
      <c r="BA48" s="993">
        <f>BA27</f>
        <v>3</v>
      </c>
      <c r="BB48" s="975" t="s">
        <v>1</v>
      </c>
      <c r="BC48" s="973" t="s">
        <v>62</v>
      </c>
    </row>
    <row r="49" spans="1:55" ht="13.5" customHeight="1" thickBot="1" x14ac:dyDescent="0.25">
      <c r="A49" s="41"/>
      <c r="B49" s="1065"/>
      <c r="C49" s="1066"/>
      <c r="D49" s="1066"/>
      <c r="E49" s="1067"/>
      <c r="F49" s="253">
        <f>VLOOKUP(F11,C89:I98,5,FALSE)</f>
        <v>1.5</v>
      </c>
      <c r="G49" s="254">
        <f>VLOOKUP(F11,C89:I98,6,FALSE)</f>
        <v>1.5</v>
      </c>
      <c r="H49" s="254">
        <f>VLOOKUP(F11,C89:I98,7,FALSE)</f>
        <v>0.9</v>
      </c>
      <c r="I49" s="1051"/>
      <c r="J49" s="99"/>
      <c r="L49" s="526"/>
      <c r="M49" s="93"/>
      <c r="N49" s="1110"/>
      <c r="O49" s="1015"/>
      <c r="P49" s="1116"/>
      <c r="Q49" s="1116"/>
      <c r="R49" s="1116"/>
      <c r="S49" s="1116"/>
      <c r="T49" s="1116"/>
      <c r="U49" s="1116"/>
      <c r="V49" s="1116"/>
      <c r="W49" s="1116"/>
      <c r="X49" s="1116"/>
      <c r="Y49" s="1116"/>
      <c r="Z49" s="1116"/>
      <c r="AA49" s="1116"/>
      <c r="AB49" s="998"/>
      <c r="AC49" s="999"/>
      <c r="AD49" s="999"/>
      <c r="AE49" s="1000"/>
      <c r="AF49" s="978"/>
      <c r="AG49" s="978"/>
      <c r="AH49" s="978"/>
      <c r="AI49" s="1007"/>
      <c r="AJ49" s="1008"/>
      <c r="AK49" s="1008"/>
      <c r="AL49" s="1009"/>
      <c r="AM49" s="978"/>
      <c r="AN49" s="978"/>
      <c r="AO49" s="978"/>
      <c r="AP49" s="978"/>
      <c r="AQ49" s="978"/>
      <c r="AR49" s="978"/>
      <c r="AS49" s="978"/>
      <c r="AT49" s="978"/>
      <c r="AU49" s="978"/>
      <c r="AV49" s="978"/>
      <c r="AW49" s="978"/>
      <c r="AX49" s="978"/>
      <c r="AY49" s="1015"/>
      <c r="AZ49" s="1016"/>
      <c r="BA49" s="993"/>
      <c r="BB49" s="975"/>
      <c r="BC49" s="973"/>
    </row>
    <row r="50" spans="1:55" ht="27" customHeight="1" thickBot="1" x14ac:dyDescent="0.25">
      <c r="A50" s="41"/>
      <c r="B50" s="1056"/>
      <c r="C50" s="1057"/>
      <c r="D50" s="1058"/>
      <c r="E50" s="508"/>
      <c r="F50" s="272"/>
      <c r="G50" s="327"/>
      <c r="H50" s="1127"/>
      <c r="I50" s="1128"/>
      <c r="J50" s="99"/>
      <c r="L50" s="526"/>
      <c r="M50" s="99"/>
      <c r="N50" s="1110"/>
      <c r="O50" s="1015"/>
      <c r="P50" s="1116"/>
      <c r="Q50" s="1116"/>
      <c r="R50" s="1116"/>
      <c r="S50" s="1116"/>
      <c r="T50" s="1116"/>
      <c r="U50" s="1116"/>
      <c r="V50" s="1116"/>
      <c r="W50" s="1116"/>
      <c r="X50" s="1116"/>
      <c r="Y50" s="1116"/>
      <c r="Z50" s="1116"/>
      <c r="AA50" s="1116"/>
      <c r="AB50" s="998"/>
      <c r="AC50" s="999"/>
      <c r="AD50" s="999"/>
      <c r="AE50" s="1000"/>
      <c r="AF50" s="978"/>
      <c r="AG50" s="978"/>
      <c r="AH50" s="978"/>
      <c r="AI50" s="1007"/>
      <c r="AJ50" s="1008"/>
      <c r="AK50" s="1008"/>
      <c r="AL50" s="1009"/>
      <c r="AM50" s="978"/>
      <c r="AN50" s="978"/>
      <c r="AO50" s="978"/>
      <c r="AP50" s="978"/>
      <c r="AQ50" s="978"/>
      <c r="AR50" s="978"/>
      <c r="AS50" s="978"/>
      <c r="AT50" s="978"/>
      <c r="AU50" s="978"/>
      <c r="AV50" s="978"/>
      <c r="AW50" s="978"/>
      <c r="AX50" s="978"/>
      <c r="AY50" s="1015"/>
      <c r="AZ50" s="1016"/>
      <c r="BA50" s="993"/>
      <c r="BB50" s="975"/>
      <c r="BC50" s="973"/>
    </row>
    <row r="51" spans="1:55" ht="27" customHeight="1" thickBot="1" x14ac:dyDescent="0.25">
      <c r="A51" s="41"/>
      <c r="B51" s="1071" t="str">
        <f>IF($F$9="English","Array zone",IF($F$9="Deutsch","Feldzone","Fehler"))</f>
        <v>Array zone</v>
      </c>
      <c r="C51" s="1072"/>
      <c r="D51" s="1073"/>
      <c r="E51" s="271" t="str">
        <f>IF($F$9="English","Roof zone",IF($F$9="Deutsch","Dachzone","Fehler"))</f>
        <v>Roof zone</v>
      </c>
      <c r="F51" s="94" t="str">
        <f>IF($F$9="Deutsch","Ballast gegen Abheben",IF($F$9="English","Design ballast for uplift","Fehler"))</f>
        <v>Design ballast for uplift</v>
      </c>
      <c r="G51" s="504" t="str">
        <f>IF($F$9="Deutsch","Ballast gegen Verschieben",IF($F$9="English","Design ballast for sliding","Fehler"))</f>
        <v>Design ballast for sliding</v>
      </c>
      <c r="H51" s="1052" t="str">
        <f>IF($F$9="English","Required ballast",IF($F$9="Deutsch","Ballastanforderung","Fehler"))</f>
        <v>Required ballast</v>
      </c>
      <c r="I51" s="1053"/>
      <c r="J51" s="99"/>
      <c r="L51" s="526"/>
      <c r="M51" s="22"/>
      <c r="N51" s="1110"/>
      <c r="O51" s="1015"/>
      <c r="P51" s="1116"/>
      <c r="Q51" s="1116"/>
      <c r="R51" s="1116"/>
      <c r="S51" s="1116"/>
      <c r="T51" s="1116"/>
      <c r="U51" s="1116"/>
      <c r="V51" s="1116"/>
      <c r="W51" s="1116"/>
      <c r="X51" s="1116"/>
      <c r="Y51" s="1116"/>
      <c r="Z51" s="1116"/>
      <c r="AA51" s="1116"/>
      <c r="AB51" s="998"/>
      <c r="AC51" s="999"/>
      <c r="AD51" s="999"/>
      <c r="AE51" s="1000"/>
      <c r="AF51" s="978"/>
      <c r="AG51" s="978"/>
      <c r="AH51" s="978"/>
      <c r="AI51" s="1007"/>
      <c r="AJ51" s="1008"/>
      <c r="AK51" s="1008"/>
      <c r="AL51" s="1009"/>
      <c r="AM51" s="978"/>
      <c r="AN51" s="978"/>
      <c r="AO51" s="978"/>
      <c r="AP51" s="978"/>
      <c r="AQ51" s="978"/>
      <c r="AR51" s="978"/>
      <c r="AS51" s="978"/>
      <c r="AT51" s="978"/>
      <c r="AU51" s="978"/>
      <c r="AV51" s="978"/>
      <c r="AW51" s="978"/>
      <c r="AX51" s="978"/>
      <c r="AY51" s="1015"/>
      <c r="AZ51" s="1016"/>
      <c r="BA51" s="993"/>
      <c r="BB51" s="975"/>
      <c r="BC51" s="973"/>
    </row>
    <row r="52" spans="1:55" ht="13.5" customHeight="1" thickBot="1" x14ac:dyDescent="0.25">
      <c r="A52" s="41"/>
      <c r="B52" s="1074" t="str">
        <f>'internal presets fc'!B28</f>
        <v>1st and 2nd outer row</v>
      </c>
      <c r="C52" s="1075"/>
      <c r="D52" s="1076"/>
      <c r="E52" s="720" t="str">
        <f>'internal presets fc'!C28</f>
        <v>Outer zone</v>
      </c>
      <c r="F52" s="238">
        <f>$F$49*$C$25*1000*$G$20*2*'internal presets fc'!H28*$D$86/$H$49/9.81-$C$20*$G$20*2</f>
        <v>66.7195231072821</v>
      </c>
      <c r="G52" s="239">
        <f>$G$49*$C$25*1000*$G$20*2*('internal presets fc'!G28/$C$29+'internal presets fc'!F28)*$F$86/$H$49/9.81-$C$20*$G$20*2</f>
        <v>110.60643494354284</v>
      </c>
      <c r="H52" s="95">
        <f>IF(MAX(F52,G52)&gt;0,MAX(F52,G52),0)</f>
        <v>110.60643494354284</v>
      </c>
      <c r="I52" s="96" t="str">
        <f t="shared" ref="I52:I57" si="0">IF($F$9="Deutsch","kg/Doppelmodul",IF($F$9="English","kg/double module","Fehler"))</f>
        <v>kg/double module</v>
      </c>
      <c r="J52" s="99"/>
      <c r="K52" s="237"/>
      <c r="L52" s="526"/>
      <c r="M52" s="22"/>
      <c r="N52" s="1110"/>
      <c r="O52" s="1015"/>
      <c r="P52" s="1116"/>
      <c r="Q52" s="1116"/>
      <c r="R52" s="1116"/>
      <c r="S52" s="1116"/>
      <c r="T52" s="1116"/>
      <c r="U52" s="1116"/>
      <c r="V52" s="1116"/>
      <c r="W52" s="1116"/>
      <c r="X52" s="1116"/>
      <c r="Y52" s="1116"/>
      <c r="Z52" s="1116"/>
      <c r="AA52" s="1116"/>
      <c r="AB52" s="998"/>
      <c r="AC52" s="999"/>
      <c r="AD52" s="999"/>
      <c r="AE52" s="1000"/>
      <c r="AF52" s="978"/>
      <c r="AG52" s="978"/>
      <c r="AH52" s="978"/>
      <c r="AI52" s="1007"/>
      <c r="AJ52" s="1008"/>
      <c r="AK52" s="1008"/>
      <c r="AL52" s="1009"/>
      <c r="AM52" s="978"/>
      <c r="AN52" s="978"/>
      <c r="AO52" s="978"/>
      <c r="AP52" s="978"/>
      <c r="AQ52" s="978"/>
      <c r="AR52" s="978"/>
      <c r="AS52" s="978"/>
      <c r="AT52" s="978"/>
      <c r="AU52" s="978"/>
      <c r="AV52" s="978"/>
      <c r="AW52" s="978"/>
      <c r="AX52" s="978"/>
      <c r="AY52" s="1015"/>
      <c r="AZ52" s="1016"/>
      <c r="BA52" s="993"/>
      <c r="BB52" s="975"/>
      <c r="BC52" s="973"/>
    </row>
    <row r="53" spans="1:55" ht="13.5" customHeight="1" thickBot="1" x14ac:dyDescent="0.25">
      <c r="A53" s="41"/>
      <c r="B53" s="1077"/>
      <c r="C53" s="1078"/>
      <c r="D53" s="1079"/>
      <c r="E53" s="717" t="str">
        <f>'internal presets fc'!C29</f>
        <v>1st module in Inner zone</v>
      </c>
      <c r="F53" s="238">
        <f>$F$49*$C$25*1000*$G$20*2*'internal presets fc'!H29*$D$86/$H$49/9.81-$C$20*$G$20*2</f>
        <v>66.7195231072821</v>
      </c>
      <c r="G53" s="239">
        <f>$G$49*$C$25*1000*$G$20*2*('internal presets fc'!G29/$C$29+'internal presets fc'!F29)*$F$86/$H$49/9.81-$C$20*$G$20*2</f>
        <v>105.03706495956425</v>
      </c>
      <c r="H53" s="711">
        <f t="shared" ref="H53:H57" si="1">IF(MAX(F53,G53)&gt;0,MAX(F53,G53),0)</f>
        <v>105.03706495956425</v>
      </c>
      <c r="I53" s="712" t="str">
        <f t="shared" si="0"/>
        <v>kg/double module</v>
      </c>
      <c r="J53" s="99"/>
      <c r="K53" s="237"/>
      <c r="L53" s="526"/>
      <c r="M53" s="28"/>
      <c r="N53" s="1110"/>
      <c r="O53" s="1015"/>
      <c r="P53" s="1116"/>
      <c r="Q53" s="1116"/>
      <c r="R53" s="1116"/>
      <c r="S53" s="1116"/>
      <c r="T53" s="1116"/>
      <c r="U53" s="1116"/>
      <c r="V53" s="1116"/>
      <c r="W53" s="1116"/>
      <c r="X53" s="1116"/>
      <c r="Y53" s="1116"/>
      <c r="Z53" s="1116"/>
      <c r="AA53" s="1116"/>
      <c r="AB53" s="998"/>
      <c r="AC53" s="999"/>
      <c r="AD53" s="999"/>
      <c r="AE53" s="1000"/>
      <c r="AF53" s="978"/>
      <c r="AG53" s="978"/>
      <c r="AH53" s="978"/>
      <c r="AI53" s="1007"/>
      <c r="AJ53" s="1008"/>
      <c r="AK53" s="1008"/>
      <c r="AL53" s="1009"/>
      <c r="AM53" s="978"/>
      <c r="AN53" s="978"/>
      <c r="AO53" s="978"/>
      <c r="AP53" s="978"/>
      <c r="AQ53" s="978"/>
      <c r="AR53" s="978"/>
      <c r="AS53" s="978"/>
      <c r="AT53" s="978"/>
      <c r="AU53" s="978"/>
      <c r="AV53" s="978"/>
      <c r="AW53" s="978"/>
      <c r="AX53" s="978"/>
      <c r="AY53" s="1015"/>
      <c r="AZ53" s="1016"/>
      <c r="BA53" s="993"/>
      <c r="BB53" s="975"/>
      <c r="BC53" s="973"/>
    </row>
    <row r="54" spans="1:55" ht="13.5" customHeight="1" thickBot="1" x14ac:dyDescent="0.25">
      <c r="A54" s="41"/>
      <c r="B54" s="1080"/>
      <c r="C54" s="1081"/>
      <c r="D54" s="1082"/>
      <c r="E54" s="718" t="str">
        <f>'internal presets fc'!C30</f>
        <v>from 2nd module in Inner zone</v>
      </c>
      <c r="F54" s="328">
        <f>$F$49*$C$25*1000*$G$20*2*'internal presets fc'!H30*$D$86/$H$49/9.81-$C$20*$G$20*2</f>
        <v>49.272677067076835</v>
      </c>
      <c r="G54" s="241">
        <f>$G$49*$C$25*1000*$G$20*2*('internal presets fc'!G30/$C$29+'internal presets fc'!F30)*$F$86/$H$49/9.81-$C$20*$G$20*2</f>
        <v>105.03706495956425</v>
      </c>
      <c r="H54" s="273">
        <f t="shared" si="1"/>
        <v>105.03706495956425</v>
      </c>
      <c r="I54" s="98" t="str">
        <f t="shared" si="0"/>
        <v>kg/double module</v>
      </c>
      <c r="J54" s="99"/>
      <c r="K54" s="38"/>
      <c r="L54" s="526"/>
      <c r="M54" s="33"/>
      <c r="N54" s="1110"/>
      <c r="O54" s="1015"/>
      <c r="P54" s="1116"/>
      <c r="Q54" s="1116"/>
      <c r="R54" s="1116"/>
      <c r="S54" s="1116"/>
      <c r="T54" s="1116"/>
      <c r="U54" s="1116"/>
      <c r="V54" s="1116"/>
      <c r="W54" s="1116"/>
      <c r="X54" s="1116"/>
      <c r="Y54" s="1116"/>
      <c r="Z54" s="1116"/>
      <c r="AA54" s="1116"/>
      <c r="AB54" s="998"/>
      <c r="AC54" s="999"/>
      <c r="AD54" s="999"/>
      <c r="AE54" s="1000"/>
      <c r="AF54" s="978"/>
      <c r="AG54" s="978"/>
      <c r="AH54" s="978"/>
      <c r="AI54" s="1007"/>
      <c r="AJ54" s="1008"/>
      <c r="AK54" s="1008"/>
      <c r="AL54" s="1009"/>
      <c r="AM54" s="978"/>
      <c r="AN54" s="978"/>
      <c r="AO54" s="978"/>
      <c r="AP54" s="978"/>
      <c r="AQ54" s="978"/>
      <c r="AR54" s="978"/>
      <c r="AS54" s="978"/>
      <c r="AT54" s="978"/>
      <c r="AU54" s="978"/>
      <c r="AV54" s="978"/>
      <c r="AW54" s="978"/>
      <c r="AX54" s="978"/>
      <c r="AY54" s="1015"/>
      <c r="AZ54" s="1016"/>
      <c r="BA54" s="993"/>
      <c r="BB54" s="975"/>
      <c r="BC54" s="973"/>
    </row>
    <row r="55" spans="1:55" ht="13.5" customHeight="1" thickBot="1" x14ac:dyDescent="0.25">
      <c r="A55" s="41"/>
      <c r="B55" s="1074" t="str">
        <f>'internal presets fc'!B31</f>
        <v>Inner rows</v>
      </c>
      <c r="C55" s="1075"/>
      <c r="D55" s="1076"/>
      <c r="E55" s="720" t="str">
        <f>'internal presets fc'!C31</f>
        <v>Outer zone</v>
      </c>
      <c r="F55" s="238">
        <f>$F$49*$C$25*1000*$G$20*2*'internal presets fc'!H31*$D$86/$H$49/9.81-$C$20*$G$20*2</f>
        <v>60.076891316480804</v>
      </c>
      <c r="G55" s="327">
        <f>$G$49*$C$25*1000*$G$20*2*('internal presets fc'!G31/$C$29+'internal presets fc'!F31)*$F$86/$H$49/9.81-$C$20*$G$20*2</f>
        <v>91.014827183485977</v>
      </c>
      <c r="H55" s="95">
        <f t="shared" si="1"/>
        <v>91.014827183485977</v>
      </c>
      <c r="I55" s="96" t="str">
        <f t="shared" si="0"/>
        <v>kg/double module</v>
      </c>
      <c r="J55" s="99"/>
      <c r="K55" s="38"/>
      <c r="L55" s="526"/>
      <c r="M55" s="33"/>
      <c r="N55" s="1110"/>
      <c r="O55" s="1015"/>
      <c r="P55" s="1116"/>
      <c r="Q55" s="1116"/>
      <c r="R55" s="1116"/>
      <c r="S55" s="1116"/>
      <c r="T55" s="1116"/>
      <c r="U55" s="1116"/>
      <c r="V55" s="1116"/>
      <c r="W55" s="1116"/>
      <c r="X55" s="1116"/>
      <c r="Y55" s="1116"/>
      <c r="Z55" s="1116"/>
      <c r="AA55" s="1116"/>
      <c r="AB55" s="998"/>
      <c r="AC55" s="999"/>
      <c r="AD55" s="999"/>
      <c r="AE55" s="1000"/>
      <c r="AF55" s="978"/>
      <c r="AG55" s="978"/>
      <c r="AH55" s="978"/>
      <c r="AI55" s="1007"/>
      <c r="AJ55" s="1008"/>
      <c r="AK55" s="1008"/>
      <c r="AL55" s="1009"/>
      <c r="AM55" s="978"/>
      <c r="AN55" s="978"/>
      <c r="AO55" s="978"/>
      <c r="AP55" s="978"/>
      <c r="AQ55" s="978"/>
      <c r="AR55" s="978"/>
      <c r="AS55" s="978"/>
      <c r="AT55" s="978"/>
      <c r="AU55" s="978"/>
      <c r="AV55" s="978"/>
      <c r="AW55" s="978"/>
      <c r="AX55" s="978"/>
      <c r="AY55" s="1015"/>
      <c r="AZ55" s="1016"/>
      <c r="BA55" s="993"/>
      <c r="BB55" s="975"/>
      <c r="BC55" s="973"/>
    </row>
    <row r="56" spans="1:55" ht="13.5" customHeight="1" thickBot="1" x14ac:dyDescent="0.25">
      <c r="A56" s="41"/>
      <c r="B56" s="1077"/>
      <c r="C56" s="1078"/>
      <c r="D56" s="1079"/>
      <c r="E56" s="717" t="str">
        <f>'internal presets fc'!C32</f>
        <v>1st module in Inner zone</v>
      </c>
      <c r="F56" s="238">
        <f>$F$49*$C$25*1000*$G$20*2*'internal presets fc'!H32*$D$86/$H$49/9.81-$C$20*$G$20*2</f>
        <v>60.076891316480804</v>
      </c>
      <c r="G56" s="239">
        <f>$G$49*$C$25*1000*$G$20*2*('internal presets fc'!G32/$C$29+'internal presets fc'!F32)*$F$86/$H$49/9.81-$C$20*$G$20*2</f>
        <v>95.251626247872366</v>
      </c>
      <c r="H56" s="711">
        <f t="shared" si="1"/>
        <v>95.251626247872366</v>
      </c>
      <c r="I56" s="712" t="str">
        <f t="shared" si="0"/>
        <v>kg/double module</v>
      </c>
      <c r="J56" s="99"/>
      <c r="K56" s="38"/>
      <c r="L56" s="526"/>
      <c r="M56" s="33"/>
      <c r="N56" s="1110"/>
      <c r="O56" s="1015"/>
      <c r="P56" s="1116"/>
      <c r="Q56" s="1116"/>
      <c r="R56" s="1116"/>
      <c r="S56" s="1116"/>
      <c r="T56" s="1116"/>
      <c r="U56" s="1116"/>
      <c r="V56" s="1116"/>
      <c r="W56" s="1116"/>
      <c r="X56" s="1116"/>
      <c r="Y56" s="1116"/>
      <c r="Z56" s="1116"/>
      <c r="AA56" s="1116"/>
      <c r="AB56" s="998"/>
      <c r="AC56" s="999"/>
      <c r="AD56" s="999"/>
      <c r="AE56" s="1000"/>
      <c r="AF56" s="978"/>
      <c r="AG56" s="978"/>
      <c r="AH56" s="978"/>
      <c r="AI56" s="1007"/>
      <c r="AJ56" s="1008"/>
      <c r="AK56" s="1008"/>
      <c r="AL56" s="1009"/>
      <c r="AM56" s="978"/>
      <c r="AN56" s="978"/>
      <c r="AO56" s="978"/>
      <c r="AP56" s="978"/>
      <c r="AQ56" s="978"/>
      <c r="AR56" s="978"/>
      <c r="AS56" s="978"/>
      <c r="AT56" s="978"/>
      <c r="AU56" s="978"/>
      <c r="AV56" s="978"/>
      <c r="AW56" s="978"/>
      <c r="AX56" s="978"/>
      <c r="AY56" s="1015"/>
      <c r="AZ56" s="1016"/>
      <c r="BA56" s="993"/>
      <c r="BB56" s="975"/>
      <c r="BC56" s="973"/>
    </row>
    <row r="57" spans="1:55" ht="13.5" customHeight="1" thickBot="1" x14ac:dyDescent="0.25">
      <c r="A57" s="41"/>
      <c r="B57" s="1083"/>
      <c r="C57" s="1084"/>
      <c r="D57" s="1085"/>
      <c r="E57" s="719" t="str">
        <f>'internal presets fc'!C33</f>
        <v>from 2nd module in Inner zone</v>
      </c>
      <c r="F57" s="549">
        <f>$F$49*$C$25*1000*$G$20*2*'internal presets fc'!H33*$D$86/$H$49/9.81-$C$20*$G$20*2</f>
        <v>45.324780788780664</v>
      </c>
      <c r="G57" s="550">
        <f>$G$49*$C$25*1000*$G$20*2*('internal presets fc'!G33/$C$29+'internal presets fc'!F33)*$F$86/$H$49/9.81-$C$20*$G$20*2</f>
        <v>67.661066529525471</v>
      </c>
      <c r="H57" s="551">
        <f t="shared" si="1"/>
        <v>67.661066529525471</v>
      </c>
      <c r="I57" s="552" t="str">
        <f t="shared" si="0"/>
        <v>kg/double module</v>
      </c>
      <c r="J57" s="99"/>
      <c r="K57" s="38"/>
      <c r="L57" s="527"/>
      <c r="M57" s="33"/>
      <c r="N57" s="1111"/>
      <c r="O57" s="1017"/>
      <c r="P57" s="1116"/>
      <c r="Q57" s="1116"/>
      <c r="R57" s="1116"/>
      <c r="S57" s="1116"/>
      <c r="T57" s="1116"/>
      <c r="U57" s="1116"/>
      <c r="V57" s="1116"/>
      <c r="W57" s="1116"/>
      <c r="X57" s="1116"/>
      <c r="Y57" s="1116"/>
      <c r="Z57" s="1116"/>
      <c r="AA57" s="1116"/>
      <c r="AB57" s="1001"/>
      <c r="AC57" s="1002"/>
      <c r="AD57" s="1002"/>
      <c r="AE57" s="1003"/>
      <c r="AF57" s="978"/>
      <c r="AG57" s="978"/>
      <c r="AH57" s="978"/>
      <c r="AI57" s="1010"/>
      <c r="AJ57" s="1011"/>
      <c r="AK57" s="1011"/>
      <c r="AL57" s="1012"/>
      <c r="AM57" s="978"/>
      <c r="AN57" s="978"/>
      <c r="AO57" s="978"/>
      <c r="AP57" s="978"/>
      <c r="AQ57" s="978"/>
      <c r="AR57" s="978"/>
      <c r="AS57" s="978"/>
      <c r="AT57" s="978"/>
      <c r="AU57" s="978"/>
      <c r="AV57" s="978"/>
      <c r="AW57" s="978"/>
      <c r="AX57" s="978"/>
      <c r="AY57" s="1017"/>
      <c r="AZ57" s="1018"/>
      <c r="BA57" s="993"/>
      <c r="BB57" s="975"/>
      <c r="BC57" s="973"/>
    </row>
    <row r="58" spans="1:55" ht="13.5" customHeight="1" thickTop="1" x14ac:dyDescent="0.2">
      <c r="B58" s="242"/>
      <c r="C58" s="181"/>
      <c r="D58" s="127"/>
      <c r="E58" s="127"/>
      <c r="F58" s="128"/>
      <c r="G58" s="128"/>
      <c r="H58" s="243"/>
      <c r="J58" s="126"/>
      <c r="K58" s="38"/>
      <c r="L58" s="1155" t="str">
        <f>L27</f>
        <v>setback a</v>
      </c>
      <c r="M58" s="26"/>
      <c r="N58" s="263"/>
      <c r="O58" s="269"/>
      <c r="P58" s="1019" t="str">
        <f>IF($F$9="Deutsch","Südrand",IF($F$9="English","South edge","Fehler"))</f>
        <v>South edge</v>
      </c>
      <c r="Q58" s="980"/>
      <c r="R58" s="980"/>
      <c r="S58" s="980"/>
      <c r="T58" s="980"/>
      <c r="U58" s="980"/>
      <c r="V58" s="980"/>
      <c r="W58" s="980"/>
      <c r="X58" s="980"/>
      <c r="Y58" s="980"/>
      <c r="Z58" s="980"/>
      <c r="AA58" s="980"/>
      <c r="AB58" s="980"/>
      <c r="AC58" s="980"/>
      <c r="AD58" s="990"/>
      <c r="AE58" s="990"/>
      <c r="AF58" s="990"/>
      <c r="AG58" s="990"/>
      <c r="AH58" s="990"/>
      <c r="AI58" s="990"/>
      <c r="AJ58" s="990"/>
      <c r="AK58" s="990"/>
      <c r="AL58" s="990"/>
      <c r="AM58" s="990"/>
      <c r="AN58" s="990"/>
      <c r="AO58" s="990"/>
      <c r="AP58" s="990"/>
      <c r="AQ58" s="990"/>
      <c r="AR58" s="990"/>
      <c r="AS58" s="990"/>
      <c r="AT58" s="990"/>
      <c r="AU58" s="990"/>
      <c r="AV58" s="990"/>
      <c r="AW58" s="990"/>
      <c r="AX58" s="991"/>
      <c r="AY58" s="26"/>
      <c r="AZ58" s="29"/>
      <c r="BA58" s="993"/>
      <c r="BB58" s="975"/>
      <c r="BC58" s="973"/>
    </row>
    <row r="59" spans="1:55" ht="13.5" customHeight="1" thickBot="1" x14ac:dyDescent="0.25">
      <c r="B59" s="397" t="str">
        <f>IF($F$9="Deutsch","Maßgebend ist, ob ein Modul bzw. sein Gestell die vorgenannten Dach- und Feldzonen auch anteilig belegt.",IF($F$9="English","Authoritative for the required ballast is if a module or its substructure are situated partly in the aforementioned roof zones or array zones.","Fehler"))</f>
        <v>Authoritative for the required ballast is if a module or its substructure are situated partly in the aforementioned roof zones or array zones.</v>
      </c>
      <c r="C59" s="181"/>
      <c r="D59" s="127"/>
      <c r="E59" s="127"/>
      <c r="F59" s="128"/>
      <c r="G59" s="128"/>
      <c r="I59" s="548" t="str">
        <f>IF($F$9="Deutsch","Ein Doppelmodul besteht aus zwei Modulen.",IF($F$9="English","One double module consists of two modules.","Fehler"))</f>
        <v>One double module consists of two modules.</v>
      </c>
      <c r="J59" s="126"/>
      <c r="K59" s="38"/>
      <c r="L59" s="1156"/>
      <c r="M59" s="26"/>
      <c r="N59" s="183"/>
      <c r="O59" s="268"/>
      <c r="P59" s="1020"/>
      <c r="Q59" s="1020"/>
      <c r="R59" s="1020"/>
      <c r="S59" s="1020"/>
      <c r="T59" s="1020"/>
      <c r="U59" s="1020"/>
      <c r="V59" s="1020"/>
      <c r="W59" s="1020"/>
      <c r="X59" s="1020"/>
      <c r="Y59" s="1020"/>
      <c r="Z59" s="1020"/>
      <c r="AA59" s="1020"/>
      <c r="AB59" s="1020"/>
      <c r="AC59" s="1020"/>
      <c r="AD59" s="1020"/>
      <c r="AE59" s="1020"/>
      <c r="AF59" s="1020"/>
      <c r="AG59" s="1020"/>
      <c r="AH59" s="1020"/>
      <c r="AI59" s="1020"/>
      <c r="AJ59" s="1020"/>
      <c r="AK59" s="1020"/>
      <c r="AL59" s="1020"/>
      <c r="AM59" s="1020"/>
      <c r="AN59" s="1020"/>
      <c r="AO59" s="1020"/>
      <c r="AP59" s="1020"/>
      <c r="AQ59" s="1020"/>
      <c r="AR59" s="1020"/>
      <c r="AS59" s="1020"/>
      <c r="AT59" s="1020"/>
      <c r="AU59" s="1020"/>
      <c r="AV59" s="1020"/>
      <c r="AW59" s="1020"/>
      <c r="AX59" s="1021"/>
      <c r="AY59" s="31"/>
      <c r="AZ59" s="115"/>
      <c r="BA59" s="994"/>
      <c r="BB59" s="976"/>
      <c r="BC59" s="974"/>
    </row>
    <row r="60" spans="1:55" ht="13.5" customHeight="1" x14ac:dyDescent="0.2">
      <c r="A60" s="41"/>
      <c r="B60" s="397"/>
      <c r="C60" s="181"/>
      <c r="D60" s="127"/>
      <c r="E60" s="127"/>
      <c r="F60" s="128"/>
      <c r="G60" s="128"/>
      <c r="I60" s="548"/>
      <c r="J60" s="244"/>
      <c r="K60" s="38"/>
      <c r="L60" s="245"/>
      <c r="M60" s="33"/>
      <c r="N60" s="557"/>
      <c r="O60" s="553"/>
      <c r="P60" s="553"/>
      <c r="Q60" s="553"/>
      <c r="R60" s="553"/>
      <c r="S60" s="553"/>
      <c r="T60" s="553"/>
      <c r="U60" s="553"/>
      <c r="V60" s="553"/>
      <c r="W60" s="553"/>
      <c r="X60" s="553"/>
      <c r="Y60" s="553"/>
      <c r="Z60" s="553"/>
      <c r="AA60" s="553"/>
      <c r="AB60" s="553"/>
      <c r="AC60" s="553"/>
      <c r="AD60" s="553"/>
      <c r="AE60" s="553"/>
      <c r="AF60" s="553"/>
      <c r="AG60" s="553"/>
      <c r="AH60" s="556"/>
      <c r="AI60" s="229"/>
      <c r="AJ60" s="229"/>
      <c r="AK60" s="229"/>
      <c r="AL60" s="229"/>
      <c r="AM60" s="229"/>
      <c r="AN60" s="229"/>
      <c r="AO60" s="229"/>
      <c r="AP60" s="229"/>
      <c r="AQ60" s="229"/>
      <c r="AR60" s="229"/>
      <c r="AS60" s="229"/>
      <c r="AT60" s="229"/>
      <c r="AU60" s="229"/>
      <c r="AV60" s="229"/>
      <c r="AW60" s="229"/>
      <c r="AX60" s="229"/>
      <c r="AY60" s="229"/>
      <c r="AZ60" s="229"/>
      <c r="BA60" s="63"/>
      <c r="BB60" s="22"/>
      <c r="BC60" s="22"/>
    </row>
    <row r="61" spans="1:55" ht="13.5" customHeight="1" x14ac:dyDescent="0.2">
      <c r="A61" s="41"/>
      <c r="B61" s="397"/>
      <c r="C61" s="181"/>
      <c r="D61" s="127"/>
      <c r="E61" s="127"/>
      <c r="F61" s="128"/>
      <c r="G61" s="128"/>
      <c r="I61" s="548"/>
      <c r="J61" s="33"/>
      <c r="K61" s="38"/>
      <c r="L61" s="33"/>
      <c r="M61" s="33"/>
      <c r="N61" s="554"/>
      <c r="O61" s="554"/>
      <c r="P61" s="554"/>
      <c r="Q61" s="554"/>
      <c r="R61" s="554"/>
      <c r="S61" s="554"/>
      <c r="T61" s="554"/>
      <c r="U61" s="554"/>
      <c r="V61" s="554"/>
      <c r="W61" s="554"/>
      <c r="X61" s="554"/>
      <c r="Y61" s="554"/>
      <c r="Z61" s="554"/>
      <c r="AA61" s="554"/>
      <c r="AB61" s="554"/>
      <c r="AC61" s="554"/>
      <c r="AD61" s="554"/>
      <c r="AE61" s="554"/>
      <c r="AF61" s="554"/>
      <c r="AG61" s="554"/>
      <c r="AH61" s="554"/>
      <c r="AI61" s="554"/>
      <c r="AJ61" s="554"/>
      <c r="AK61" s="554"/>
      <c r="AL61" s="554"/>
      <c r="AM61" s="554"/>
      <c r="AN61" s="554"/>
      <c r="AO61" s="554"/>
      <c r="AP61" s="554"/>
      <c r="AQ61" s="554"/>
      <c r="AR61" s="554"/>
      <c r="AS61" s="554"/>
      <c r="AT61" s="554"/>
      <c r="AU61" s="554"/>
      <c r="AV61" s="554"/>
      <c r="AW61" s="554"/>
      <c r="AX61" s="554"/>
      <c r="AY61" s="554"/>
      <c r="AZ61" s="554"/>
      <c r="BA61" s="22"/>
      <c r="BB61" s="22"/>
      <c r="BC61" s="22"/>
    </row>
    <row r="62" spans="1:55" ht="13.5" customHeight="1" x14ac:dyDescent="0.2">
      <c r="A62" s="41"/>
      <c r="B62" s="397"/>
      <c r="C62" s="181"/>
      <c r="D62" s="127"/>
      <c r="E62" s="127"/>
      <c r="F62" s="128"/>
      <c r="G62" s="128"/>
      <c r="I62" s="548"/>
      <c r="J62" s="33"/>
      <c r="K62" s="38"/>
      <c r="L62" s="33"/>
      <c r="M62" s="33"/>
      <c r="N62" s="555"/>
      <c r="O62" s="555"/>
      <c r="P62" s="555"/>
      <c r="Q62" s="555"/>
      <c r="R62" s="555"/>
      <c r="S62" s="555"/>
      <c r="T62" s="555"/>
      <c r="U62" s="555"/>
      <c r="V62" s="555"/>
      <c r="W62" s="555"/>
      <c r="X62" s="555"/>
      <c r="Y62" s="555"/>
      <c r="Z62" s="555"/>
      <c r="AA62" s="555"/>
      <c r="AB62" s="555"/>
      <c r="AC62" s="555"/>
      <c r="AD62" s="555"/>
      <c r="AE62" s="555"/>
      <c r="AF62" s="555"/>
      <c r="AG62" s="555"/>
      <c r="AH62" s="101"/>
      <c r="AI62" s="101"/>
      <c r="AJ62" s="101"/>
      <c r="AK62" s="101"/>
      <c r="AL62" s="101"/>
      <c r="AM62" s="101"/>
      <c r="AN62" s="101"/>
      <c r="AO62" s="101"/>
      <c r="AP62" s="101"/>
      <c r="AQ62" s="101"/>
      <c r="AR62" s="101"/>
      <c r="AS62" s="101"/>
      <c r="AT62" s="101"/>
      <c r="AU62" s="101"/>
      <c r="AV62" s="101"/>
      <c r="AW62" s="101"/>
      <c r="AX62" s="101"/>
      <c r="AY62" s="101"/>
      <c r="AZ62" s="101"/>
      <c r="BA62" s="22"/>
      <c r="BB62" s="22"/>
      <c r="BC62" s="22"/>
    </row>
    <row r="63" spans="1:55" ht="13.5" customHeight="1" x14ac:dyDescent="0.2">
      <c r="A63" s="41"/>
      <c r="B63" s="397"/>
      <c r="C63" s="181"/>
      <c r="D63" s="127"/>
      <c r="E63" s="127"/>
      <c r="F63" s="128"/>
      <c r="G63" s="128"/>
      <c r="I63" s="548"/>
      <c r="J63" s="33"/>
      <c r="K63" s="38"/>
      <c r="L63" s="33"/>
      <c r="M63" s="33"/>
      <c r="BA63" s="22"/>
      <c r="BB63" s="22"/>
      <c r="BC63" s="22"/>
    </row>
    <row r="64" spans="1:55" ht="13.5" customHeight="1" x14ac:dyDescent="0.2">
      <c r="A64" s="41"/>
      <c r="B64" s="397"/>
      <c r="C64" s="181"/>
      <c r="D64" s="127"/>
      <c r="E64" s="127"/>
      <c r="F64" s="128"/>
      <c r="G64" s="128"/>
      <c r="I64" s="548"/>
      <c r="J64" s="33"/>
      <c r="K64" s="38"/>
      <c r="L64" s="33"/>
      <c r="M64" s="33"/>
      <c r="BA64" s="22"/>
      <c r="BB64" s="22"/>
      <c r="BC64" s="22"/>
    </row>
    <row r="65" spans="1:55" ht="13.5" customHeight="1" x14ac:dyDescent="0.2">
      <c r="A65" s="41"/>
      <c r="B65" s="397"/>
      <c r="C65" s="181"/>
      <c r="D65" s="127"/>
      <c r="E65" s="127"/>
      <c r="F65" s="128"/>
      <c r="G65" s="128"/>
      <c r="I65" s="548"/>
      <c r="J65" s="33"/>
      <c r="K65" s="38"/>
      <c r="L65" s="33"/>
      <c r="M65" s="33"/>
      <c r="BA65" s="22"/>
      <c r="BB65" s="22"/>
      <c r="BC65" s="22"/>
    </row>
    <row r="66" spans="1:55" ht="13.5" customHeight="1" x14ac:dyDescent="0.2">
      <c r="A66" s="41"/>
      <c r="B66" s="242"/>
      <c r="C66" s="181"/>
      <c r="D66" s="127"/>
      <c r="E66" s="127"/>
      <c r="F66" s="128"/>
      <c r="G66" s="128"/>
      <c r="H66" s="243"/>
      <c r="J66" s="33"/>
      <c r="K66" s="38"/>
      <c r="L66" s="33"/>
      <c r="M66" s="33"/>
      <c r="N66" s="38"/>
      <c r="O66" s="44"/>
      <c r="P66" s="101"/>
      <c r="Q66" s="101"/>
      <c r="R66" s="101"/>
      <c r="S66" s="101"/>
      <c r="T66" s="101"/>
      <c r="U66" s="101"/>
      <c r="V66" s="101"/>
      <c r="W66" s="101"/>
      <c r="X66" s="101"/>
      <c r="Y66" s="101"/>
      <c r="Z66" s="174"/>
      <c r="AA66" s="174"/>
      <c r="AB66" s="174"/>
      <c r="AC66" s="174"/>
      <c r="AD66" s="174"/>
      <c r="AE66" s="174"/>
      <c r="AF66" s="174"/>
      <c r="AG66" s="174"/>
      <c r="AH66" s="174"/>
      <c r="AI66" s="174"/>
      <c r="AJ66" s="174"/>
      <c r="AK66" s="174"/>
      <c r="AL66" s="174"/>
      <c r="AM66" s="174"/>
      <c r="AN66" s="101"/>
      <c r="AO66" s="101"/>
      <c r="AP66" s="101"/>
      <c r="AQ66" s="101"/>
      <c r="AR66" s="101"/>
      <c r="AS66" s="101"/>
      <c r="AT66" s="101"/>
      <c r="AU66" s="101"/>
      <c r="AV66" s="101"/>
      <c r="AW66" s="101"/>
      <c r="AX66" s="101"/>
      <c r="AY66" s="22"/>
      <c r="AZ66" s="22"/>
      <c r="BA66" s="22"/>
      <c r="BB66" s="22"/>
      <c r="BC66" s="22"/>
    </row>
    <row r="67" spans="1:55" ht="13.5" customHeight="1" x14ac:dyDescent="0.2">
      <c r="A67" s="41"/>
      <c r="B67" s="242"/>
      <c r="C67" s="181"/>
      <c r="D67" s="127"/>
      <c r="E67" s="127"/>
      <c r="F67" s="128"/>
      <c r="G67" s="128"/>
      <c r="H67" s="243"/>
      <c r="J67" s="33"/>
      <c r="K67" s="38"/>
      <c r="L67" s="33"/>
      <c r="M67" s="33"/>
      <c r="N67" s="38"/>
      <c r="O67" s="44"/>
      <c r="P67" s="101"/>
      <c r="Q67" s="101"/>
      <c r="R67" s="101"/>
      <c r="S67" s="101"/>
      <c r="T67" s="101"/>
      <c r="U67" s="101"/>
      <c r="V67" s="101"/>
      <c r="W67" s="101"/>
      <c r="X67" s="101"/>
      <c r="Y67" s="101"/>
      <c r="Z67" s="174"/>
      <c r="AA67" s="174"/>
      <c r="AB67" s="174"/>
      <c r="AC67" s="174"/>
      <c r="AD67" s="174"/>
      <c r="AE67" s="174"/>
      <c r="AF67" s="174"/>
      <c r="AG67" s="174"/>
      <c r="AH67" s="174"/>
      <c r="AI67" s="174"/>
      <c r="AJ67" s="174"/>
      <c r="AK67" s="174"/>
      <c r="AL67" s="174"/>
      <c r="AM67" s="174"/>
      <c r="AN67" s="101"/>
      <c r="AO67" s="101"/>
      <c r="AP67" s="101"/>
      <c r="AQ67" s="101"/>
      <c r="AR67" s="101"/>
      <c r="AS67" s="101"/>
      <c r="AT67" s="101"/>
      <c r="AU67" s="101"/>
      <c r="AV67" s="101"/>
      <c r="AW67" s="101"/>
      <c r="AX67" s="101"/>
      <c r="AY67" s="22"/>
      <c r="AZ67" s="22"/>
      <c r="BA67" s="22"/>
      <c r="BB67" s="22"/>
      <c r="BC67" s="22"/>
    </row>
    <row r="68" spans="1:55" ht="13.5" customHeight="1" x14ac:dyDescent="0.2">
      <c r="A68" s="41"/>
      <c r="B68" s="242"/>
      <c r="C68" s="181"/>
      <c r="D68" s="127"/>
      <c r="E68" s="127"/>
      <c r="F68" s="128"/>
      <c r="G68" s="128"/>
      <c r="H68" s="243"/>
      <c r="J68" s="38"/>
      <c r="K68" s="33"/>
      <c r="L68" s="33"/>
      <c r="M68" s="38"/>
      <c r="N68" s="44"/>
      <c r="O68" s="101"/>
      <c r="P68" s="101"/>
      <c r="Q68" s="101"/>
      <c r="R68" s="101"/>
      <c r="S68" s="101"/>
      <c r="T68" s="101"/>
      <c r="U68" s="101"/>
      <c r="V68" s="101"/>
      <c r="W68" s="101"/>
      <c r="X68" s="101"/>
      <c r="Y68" s="174"/>
      <c r="Z68" s="174"/>
      <c r="AA68" s="174"/>
      <c r="AB68" s="174"/>
      <c r="AC68" s="174"/>
      <c r="AD68" s="174"/>
      <c r="AE68" s="174"/>
      <c r="AF68" s="174"/>
      <c r="AG68" s="174"/>
      <c r="AH68" s="174"/>
      <c r="AI68" s="174"/>
      <c r="AJ68" s="174"/>
      <c r="AK68" s="174"/>
      <c r="AL68" s="174"/>
      <c r="AM68" s="101"/>
      <c r="AN68" s="101"/>
      <c r="AO68" s="101"/>
      <c r="AP68" s="101"/>
      <c r="AQ68" s="101"/>
      <c r="AR68" s="101"/>
      <c r="AS68" s="101"/>
      <c r="AT68" s="101"/>
      <c r="AU68" s="101"/>
      <c r="AV68" s="101"/>
      <c r="AW68" s="101"/>
      <c r="AX68" s="22"/>
      <c r="AY68" s="22"/>
      <c r="AZ68" s="22"/>
      <c r="BA68" s="22"/>
      <c r="BB68" s="22"/>
    </row>
    <row r="69" spans="1:55" ht="13.5" customHeight="1" thickBot="1" x14ac:dyDescent="0.25">
      <c r="A69" s="41"/>
      <c r="B69" s="242"/>
      <c r="C69" s="181"/>
      <c r="D69" s="127"/>
      <c r="E69" s="127"/>
      <c r="F69" s="128"/>
      <c r="G69" s="128"/>
      <c r="H69" s="243"/>
      <c r="J69" s="38"/>
      <c r="K69" s="33"/>
      <c r="O69" s="101"/>
      <c r="P69" s="101"/>
      <c r="Q69" s="101"/>
      <c r="R69" s="101"/>
      <c r="S69" s="101"/>
      <c r="T69" s="101"/>
      <c r="U69" s="101"/>
      <c r="V69" s="101"/>
      <c r="W69" s="101"/>
      <c r="X69" s="101"/>
      <c r="Y69" s="174"/>
      <c r="Z69" s="174"/>
      <c r="AA69" s="174"/>
      <c r="AB69" s="174"/>
      <c r="AC69" s="174"/>
      <c r="AD69" s="174"/>
      <c r="AE69" s="174"/>
      <c r="AF69" s="174"/>
      <c r="AG69" s="174"/>
      <c r="AH69" s="174"/>
      <c r="AI69" s="174"/>
      <c r="AJ69" s="174"/>
      <c r="AK69" s="174"/>
      <c r="AL69" s="174"/>
      <c r="AM69" s="101"/>
      <c r="AN69" s="101"/>
      <c r="AO69" s="101"/>
      <c r="AP69" s="101"/>
      <c r="AQ69" s="101"/>
      <c r="AR69" s="101"/>
      <c r="AS69" s="101"/>
      <c r="AT69" s="101"/>
      <c r="AU69" s="101"/>
      <c r="AV69" s="101"/>
      <c r="AW69" s="101"/>
      <c r="AX69" s="22"/>
      <c r="AY69" s="22"/>
      <c r="AZ69" s="22"/>
      <c r="BA69" s="22"/>
      <c r="BB69" s="22"/>
    </row>
    <row r="70" spans="1:55" ht="13.5" customHeight="1" x14ac:dyDescent="0.2">
      <c r="A70" s="41"/>
      <c r="B70" s="242"/>
      <c r="C70" s="181"/>
      <c r="D70" s="127"/>
      <c r="E70" s="127"/>
      <c r="F70" s="490" t="str">
        <f>IF($F$9="English","Load case 'Uplift'",IF($F$9="Deutsch","Lastfall Abheben","Fehler"))</f>
        <v>Load case 'Uplift'</v>
      </c>
      <c r="G70" s="521" t="str">
        <f>IF($F$9="English","Load case 'Sliding'",IF($F$9="Deutsch","Lastfall Verschieben","Fehler"))</f>
        <v>Load case 'Sliding'</v>
      </c>
      <c r="I70" s="33"/>
      <c r="O70" s="101"/>
      <c r="P70" s="101"/>
      <c r="Q70" s="101"/>
      <c r="R70" s="101"/>
      <c r="S70" s="101"/>
      <c r="T70" s="101"/>
      <c r="U70" s="101"/>
      <c r="V70" s="101"/>
      <c r="W70" s="101"/>
      <c r="X70" s="101"/>
      <c r="Y70" s="174"/>
      <c r="Z70" s="174"/>
      <c r="AA70" s="174"/>
      <c r="AB70" s="174"/>
      <c r="AC70" s="174"/>
      <c r="AD70" s="174"/>
      <c r="AE70" s="174"/>
      <c r="AF70" s="174"/>
      <c r="AG70" s="174"/>
      <c r="AH70" s="174"/>
      <c r="AI70" s="174"/>
      <c r="AJ70" s="174"/>
      <c r="AK70" s="174"/>
      <c r="AL70" s="174"/>
      <c r="AM70" s="101"/>
      <c r="AN70" s="101"/>
      <c r="AO70" s="101"/>
      <c r="AP70" s="101"/>
      <c r="AQ70" s="101"/>
      <c r="AR70" s="101"/>
      <c r="AS70" s="101"/>
      <c r="AT70" s="101"/>
      <c r="AU70" s="101"/>
      <c r="AV70" s="101"/>
      <c r="AW70" s="101"/>
      <c r="AX70" s="22"/>
      <c r="AY70" s="22"/>
      <c r="AZ70" s="22"/>
      <c r="BA70" s="22"/>
      <c r="BB70" s="22"/>
    </row>
    <row r="71" spans="1:55" ht="13.5" customHeight="1" thickBot="1" x14ac:dyDescent="0.25">
      <c r="C71" s="246"/>
      <c r="D71" s="33"/>
      <c r="E71" s="33"/>
      <c r="F71" s="491"/>
      <c r="G71" s="544"/>
      <c r="H71" s="100"/>
      <c r="I71" s="33"/>
    </row>
    <row r="72" spans="1:55" ht="27" customHeight="1" thickBot="1" x14ac:dyDescent="0.25">
      <c r="B72" s="1068" t="str">
        <f>IF($F$9="English","Parapet correction",IF($F$9="Deutsch","Attikakorrektur","Fehler"))</f>
        <v>Parapet correction</v>
      </c>
      <c r="C72" s="325" t="str">
        <f>IF($F$9="English","Number of modules per array:",IF($F$9="Deutsch","Anzahl der Module pro Feld","Fehler"))</f>
        <v>Number of modules per array:</v>
      </c>
      <c r="D72" s="489">
        <v>1</v>
      </c>
      <c r="E72" s="492">
        <v>16</v>
      </c>
      <c r="F72" s="496">
        <f>IF(AND(C39&gt;4,C40&gt;4),H39*H40,G39*G40)</f>
        <v>6</v>
      </c>
      <c r="G72" s="497">
        <f>IF(AND(C42&gt;4,C43&gt;4),H42*H43,G42*G43)</f>
        <v>6</v>
      </c>
      <c r="H72" s="25"/>
      <c r="I72" s="102"/>
    </row>
    <row r="73" spans="1:55" ht="27" customHeight="1" thickBot="1" x14ac:dyDescent="0.25">
      <c r="B73" s="1069"/>
      <c r="C73" s="120" t="str">
        <f>IF($F$9="English","Coefficient without parapet",IF($F$9="Deutsch","Koeffizient ohne Attika","Fehler"))</f>
        <v>Coefficient without parapet</v>
      </c>
      <c r="D73" s="159">
        <v>1</v>
      </c>
      <c r="E73" s="493">
        <v>1</v>
      </c>
      <c r="F73" s="498"/>
      <c r="G73" s="499"/>
      <c r="H73" s="70" t="s">
        <v>7</v>
      </c>
      <c r="I73" s="104">
        <f>MIN('building data'!C18/'building data'!C16,0.1)</f>
        <v>0</v>
      </c>
    </row>
    <row r="74" spans="1:55" ht="27" customHeight="1" x14ac:dyDescent="0.2">
      <c r="B74" s="1069"/>
      <c r="C74" s="120" t="str">
        <f>IF($F$9="English","Coefficient with parapet",IF($F$9="Deutsch","Koeffizient mit Attika","Fehler"))</f>
        <v>Coefficient with parapet</v>
      </c>
      <c r="D74" s="247">
        <v>1.1499999999999999</v>
      </c>
      <c r="E74" s="494">
        <v>1</v>
      </c>
      <c r="F74" s="500"/>
      <c r="G74" s="501"/>
      <c r="H74" s="72"/>
      <c r="I74" s="180"/>
    </row>
    <row r="75" spans="1:55" ht="27" customHeight="1" thickBot="1" x14ac:dyDescent="0.25">
      <c r="B75" s="1070"/>
      <c r="C75" s="326" t="str">
        <f>IF($F$9="English","Correction coefficient",IF($F$9="Deutsch","Korrekturkoeffizient","Fehler"))</f>
        <v>Correction coefficient</v>
      </c>
      <c r="D75" s="165">
        <f>D73+(D74/D73-1)*I73/0.1</f>
        <v>1</v>
      </c>
      <c r="E75" s="495">
        <f>E73+(E74/E73-1)*I73/0.1</f>
        <v>1</v>
      </c>
      <c r="F75" s="502">
        <f>IF(F72&gt;=E72,1,D75-(D75/E75-1)*(F72-D72)/(E72-D72))</f>
        <v>1</v>
      </c>
      <c r="G75" s="503">
        <f>IF(G72&gt;=E72,1,D75-(D75/E75-1)*(G72-D72)/(E72-D72))</f>
        <v>1</v>
      </c>
      <c r="H75" s="522" t="str">
        <f>IF($F$9="English","(valid for all positive and suction values)",IF($F$9="Deutsch","gilt für alle Druck- und Sogwerte","Fehler"))</f>
        <v>(valid for all positive and suction values)</v>
      </c>
      <c r="I75" s="523"/>
    </row>
    <row r="76" spans="1:55" ht="13.5" customHeight="1" thickBot="1" x14ac:dyDescent="0.25">
      <c r="B76" s="171"/>
      <c r="C76" s="757"/>
      <c r="D76" s="119"/>
      <c r="E76" s="119"/>
      <c r="F76" s="119"/>
      <c r="G76" s="119"/>
      <c r="H76" s="751"/>
      <c r="I76" s="751"/>
    </row>
    <row r="77" spans="1:55" ht="27" customHeight="1" thickBot="1" x14ac:dyDescent="0.25">
      <c r="B77" s="1068" t="str">
        <f>IF($F$9="English","Ridge gap correction",IF($F$9="Deutsch","Firstspaltkorrektur","Fehler"))</f>
        <v>Ridge gap correction</v>
      </c>
      <c r="C77" s="325" t="str">
        <f>IF($F$9="English","Ridge gap in mm",IF($F$9="Deutsch","Firstspalt in mm","Fehler"))</f>
        <v>Ridge gap in mm</v>
      </c>
      <c r="D77" s="325">
        <v>50</v>
      </c>
      <c r="E77" s="764">
        <v>94.3</v>
      </c>
      <c r="F77" s="763">
        <v>300</v>
      </c>
      <c r="G77" s="758"/>
      <c r="H77" s="83"/>
      <c r="I77" s="759"/>
    </row>
    <row r="78" spans="1:55" ht="27" customHeight="1" thickBot="1" x14ac:dyDescent="0.25">
      <c r="B78" s="1069"/>
      <c r="C78" s="120" t="str">
        <f>IF($F$9="English","Coefficient",IF($F$9="Deutsch","Koeffizient","Fehler"))</f>
        <v>Coefficient</v>
      </c>
      <c r="D78" s="120">
        <v>1.2</v>
      </c>
      <c r="E78" s="769">
        <v>1</v>
      </c>
      <c r="F78" s="768">
        <v>1</v>
      </c>
      <c r="G78" s="760" t="str">
        <f>IF($F$9="English","Ridge gap",IF($F$9="Deutsch","Firstspalt","Fehler"))</f>
        <v>Ridge gap</v>
      </c>
      <c r="H78" s="762">
        <f>G21</f>
        <v>94.3</v>
      </c>
      <c r="I78" s="180" t="s">
        <v>87</v>
      </c>
    </row>
    <row r="79" spans="1:55" ht="27" customHeight="1" thickBot="1" x14ac:dyDescent="0.25">
      <c r="B79" s="1070"/>
      <c r="C79" s="326" t="str">
        <f>IF($F$9="English","Correction coefficient",IF($F$9="Deutsch","Korrekturkoeffizient","Fehler"))</f>
        <v>Correction coefficient</v>
      </c>
      <c r="D79" s="767">
        <f>E78+(D78/E78-1)*(H78-E77)/(D77-E77)</f>
        <v>1</v>
      </c>
      <c r="E79" s="770">
        <f>IF(H78&lt;E77,D79,IF(H78=E77,E78,IF(H78&gt;E77,F79,"Fehler")))</f>
        <v>1</v>
      </c>
      <c r="F79" s="766">
        <f>E78+(F78/E78-1)*(H78-E77)/(F77-E77)</f>
        <v>1</v>
      </c>
      <c r="G79" s="761"/>
      <c r="H79" s="752"/>
      <c r="I79" s="115"/>
    </row>
    <row r="80" spans="1:55" ht="13.5" customHeight="1" thickBot="1" x14ac:dyDescent="0.25"/>
    <row r="81" spans="2:9" ht="13.5" customHeight="1" x14ac:dyDescent="0.2">
      <c r="B81" s="1068" t="str">
        <f>IF($F$9="English","Side deflector correction",IF($F$9="Deutsch","Seitenblechkorrektur","Fehler"))</f>
        <v>Side deflector correction</v>
      </c>
      <c r="C81" s="755" t="str">
        <f>IF($F$9="English","without side deflector",IF($F$9="Deutsch","ohne Seitenblech","Fehler"))</f>
        <v>without side deflector</v>
      </c>
      <c r="D81" s="756">
        <v>1</v>
      </c>
      <c r="E81" s="1086" t="s">
        <v>90</v>
      </c>
      <c r="F81" s="1088">
        <f>IF($C$22=$B$94,$D$81,IF($C$22=$B$93,$D$82,"Fehler"))</f>
        <v>1</v>
      </c>
    </row>
    <row r="82" spans="2:9" ht="13.5" customHeight="1" thickBot="1" x14ac:dyDescent="0.25">
      <c r="B82" s="1070"/>
      <c r="C82" s="163" t="str">
        <f>IF($F$9="English","with side deflector",IF($F$9="Deutsch","mit Seitenblech","Fehler"))</f>
        <v>with side deflector</v>
      </c>
      <c r="D82" s="765">
        <v>1.2</v>
      </c>
      <c r="E82" s="1087"/>
      <c r="F82" s="1089"/>
    </row>
    <row r="83" spans="2:9" ht="13.5" customHeight="1" thickBot="1" x14ac:dyDescent="0.25"/>
    <row r="84" spans="2:9" ht="13.5" customHeight="1" x14ac:dyDescent="0.2">
      <c r="B84" s="1037" t="str">
        <f>IF($F$9="English","Pitch angle correction",IF($F$9="Deutsch","Neigungskorrektur","Fehler"))</f>
        <v>Pitch angle correction</v>
      </c>
      <c r="C84" s="105" t="str">
        <f>IF($F$9="English","Load case",IF($F$9="Deutsch","Lastfall","Fehler"))</f>
        <v>Load case</v>
      </c>
      <c r="D84" s="1054" t="str">
        <f>IF($F$9="English","Uplift",IF($F$9="Deutsch","Abheben","Fehler"))</f>
        <v>Uplift</v>
      </c>
      <c r="E84" s="1055"/>
      <c r="F84" s="1040" t="str">
        <f>IF($F$9="English","Sliding",IF($F$9="Deutsch","Verschieben","Fehler"))</f>
        <v>Sliding</v>
      </c>
      <c r="G84" s="1041"/>
    </row>
    <row r="85" spans="2:9" s="261" customFormat="1" ht="13.5" customHeight="1" x14ac:dyDescent="0.2">
      <c r="B85" s="1038"/>
      <c r="C85" s="106" t="str">
        <f>IF($F$9="English","Roof pitch angle",IF($F$9="Deutsch","Dachneigung","Fehler"))</f>
        <v>Roof pitch angle</v>
      </c>
      <c r="D85" s="107">
        <f>IF($C$30&gt;10,"Fehler",$C$30)</f>
        <v>5</v>
      </c>
      <c r="E85" s="108" t="s">
        <v>6</v>
      </c>
      <c r="F85" s="107">
        <f>IF($C$30&gt;10,"Fehler",$C$30)</f>
        <v>5</v>
      </c>
      <c r="G85" s="109" t="s">
        <v>6</v>
      </c>
      <c r="H85" s="110"/>
      <c r="I85" s="1"/>
    </row>
    <row r="86" spans="2:9" s="261" customFormat="1" ht="13.5" customHeight="1" thickBot="1" x14ac:dyDescent="0.25">
      <c r="B86" s="1039"/>
      <c r="C86" s="111" t="str">
        <f>IF($F$9="English","Correction coefficient",IF($F$9="Deutsch","Korrekturkoeffizient","Fehler"))</f>
        <v>Correction coefficient</v>
      </c>
      <c r="D86" s="112">
        <f>IF($D$85="Fehler","",IF($I$31=$B$90,1,IF($I$31=$B$91,1/(COS(D85/180*PI())),"Fehler")))</f>
        <v>1.0038198375433474</v>
      </c>
      <c r="E86" s="113" t="s">
        <v>8</v>
      </c>
      <c r="F86" s="114">
        <f>IF($D$85="Fehler","",IF($I$31=$B$90,1,IF($I$31=$B$91,$C$29/($C$29*COS(F85/180*PI())-SIN(F85/180*PI())),"FEHLER")))</f>
        <v>1.216717879953866</v>
      </c>
      <c r="G86" s="115" t="s">
        <v>8</v>
      </c>
      <c r="H86" s="1"/>
      <c r="I86" s="1"/>
    </row>
    <row r="87" spans="2:9" s="261" customFormat="1" ht="13.5" customHeight="1" thickBot="1" x14ac:dyDescent="0.25">
      <c r="B87" s="1"/>
      <c r="C87" s="1"/>
      <c r="D87" s="1"/>
      <c r="E87" s="1"/>
      <c r="F87" s="1"/>
      <c r="G87" s="1"/>
      <c r="H87" s="1"/>
      <c r="I87" s="1"/>
    </row>
    <row r="88" spans="2:9" s="261" customFormat="1" ht="40.5" customHeight="1" thickBot="1" x14ac:dyDescent="0.3">
      <c r="C88" s="116" t="str">
        <f>IF($F$9="Deutsch","Land",IF($F$9="English","Country","Fehler"))</f>
        <v>Country</v>
      </c>
      <c r="D88" s="117" t="str">
        <f>IF($F$9="Deutsch","Norm",IF($F$9="English","Standard","Fehler"))</f>
        <v>Standard</v>
      </c>
      <c r="E88" s="117" t="str">
        <f>IF($F$9="Deutsch","Böenstaudruck [kN/m²]",IF($F$9="English","Peak velocity pressure [kN/m²]","Fehler"))</f>
        <v>Peak velocity pressure [kN/m²]</v>
      </c>
      <c r="F88" s="118" t="str">
        <f>IF($F$9="Deutsch","Geländekategorie",IF($F$9="English","Terrain category","Fehler"))</f>
        <v>Terrain category</v>
      </c>
      <c r="G88" s="256" t="str">
        <f>IF($F$9="Deutsch","Sicherheitsbeiwert für Abheben [-]",IF($F$9="English","Load factor for            uplift [-]","Fehler"))</f>
        <v>Load factor for            uplift [-]</v>
      </c>
      <c r="H88" s="316" t="str">
        <f>IF($F$9="Deutsch","Sicherheitsbeiwert für Verschieben             [-]",IF($F$9="English","Load factor for                     sliding [-]","Fehler"))</f>
        <v>Load factor for                     sliding [-]</v>
      </c>
      <c r="I88" s="315" t="str">
        <f>IF($F$9="Deutsch","Sicherheitsbeiwert für ständige Lasten [-]",IF($F$9="English","Load factor for dead load [-]","Fehler"))</f>
        <v>Load factor for dead load [-]</v>
      </c>
    </row>
    <row r="89" spans="2:9" s="261" customFormat="1" ht="13.5" customHeight="1" x14ac:dyDescent="0.25">
      <c r="C89" s="248" t="str">
        <f>'building data'!M10</f>
        <v>USA</v>
      </c>
      <c r="D89" s="249" t="str">
        <f>'building data'!N10</f>
        <v>ASCE/SEI 7-10</v>
      </c>
      <c r="E89" s="119">
        <f>'ASCE 7-10 (US)'!C19</f>
        <v>0.99981521436961207</v>
      </c>
      <c r="F89" s="132" t="str">
        <f>'ASCE 7-10 (US)'!C24</f>
        <v>Exp. B</v>
      </c>
      <c r="G89" s="258">
        <v>1</v>
      </c>
      <c r="H89" s="317">
        <v>1</v>
      </c>
      <c r="I89" s="276">
        <v>0.9</v>
      </c>
    </row>
    <row r="90" spans="2:9" s="261" customFormat="1" ht="13.5" customHeight="1" x14ac:dyDescent="0.25">
      <c r="B90" s="261" t="s">
        <v>30</v>
      </c>
      <c r="C90" s="248" t="str">
        <f>'building data'!M11</f>
        <v>USA II</v>
      </c>
      <c r="D90" s="129" t="str">
        <f>'building data'!N11</f>
        <v>ASCE/SEI 7-05</v>
      </c>
      <c r="E90" s="130">
        <f>'ASCE 7-05 (US)'!C19</f>
        <v>0.99981521436961207</v>
      </c>
      <c r="F90" s="255" t="str">
        <f>'ASCE 7-05 (US)'!C24</f>
        <v>Exp. B</v>
      </c>
      <c r="G90" s="257">
        <v>1.6</v>
      </c>
      <c r="H90" s="318">
        <v>1.6</v>
      </c>
      <c r="I90" s="277">
        <v>0.9</v>
      </c>
    </row>
    <row r="91" spans="2:9" s="261" customFormat="1" ht="13.5" customHeight="1" x14ac:dyDescent="0.25">
      <c r="B91" s="261" t="s">
        <v>29</v>
      </c>
      <c r="C91" s="248" t="str">
        <f>'building data'!M12</f>
        <v>Germany</v>
      </c>
      <c r="D91" s="129" t="str">
        <f>'building data'!N12</f>
        <v>DIN EN 1991-1-4</v>
      </c>
      <c r="E91" s="130">
        <f>'DIN EN 1991-1-4 (DE)'!C21</f>
        <v>0.68128708098154223</v>
      </c>
      <c r="F91" s="255" t="str">
        <f>'DIN EN 1991-1-4 (DE)'!C27</f>
        <v>II</v>
      </c>
      <c r="G91" s="259">
        <f>'DIN EN 1991-1-4 (DE)'!I13</f>
        <v>1.5</v>
      </c>
      <c r="H91" s="318">
        <f>'DIN EN 1991-1-4 (DE)'!J13</f>
        <v>1.5</v>
      </c>
      <c r="I91" s="277">
        <f>'DIN EN 1991-1-4 (DE)'!K13</f>
        <v>0.9</v>
      </c>
    </row>
    <row r="92" spans="2:9" s="261" customFormat="1" ht="13.5" customHeight="1" x14ac:dyDescent="0.25">
      <c r="C92" s="248"/>
      <c r="D92" s="129"/>
      <c r="E92" s="130"/>
      <c r="F92" s="255"/>
      <c r="G92" s="259"/>
      <c r="H92" s="318"/>
      <c r="I92" s="277"/>
    </row>
    <row r="93" spans="2:9" s="261" customFormat="1" ht="13.5" customHeight="1" x14ac:dyDescent="0.25">
      <c r="B93" s="169" t="s">
        <v>88</v>
      </c>
      <c r="C93" s="248"/>
      <c r="D93" s="129"/>
      <c r="E93" s="130"/>
      <c r="F93" s="255"/>
      <c r="G93" s="259"/>
      <c r="H93" s="318"/>
      <c r="I93" s="277"/>
    </row>
    <row r="94" spans="2:9" s="261" customFormat="1" ht="13.5" customHeight="1" x14ac:dyDescent="0.25">
      <c r="B94" s="169" t="s">
        <v>89</v>
      </c>
      <c r="C94" s="248"/>
      <c r="D94" s="129"/>
      <c r="E94" s="130"/>
      <c r="F94" s="255"/>
      <c r="G94" s="259"/>
      <c r="H94" s="318"/>
      <c r="I94" s="277"/>
    </row>
    <row r="95" spans="2:9" s="261" customFormat="1" ht="13.5" customHeight="1" x14ac:dyDescent="0.25">
      <c r="C95" s="250"/>
      <c r="D95" s="129"/>
      <c r="E95" s="160"/>
      <c r="F95" s="133"/>
      <c r="G95" s="259"/>
      <c r="H95" s="318"/>
      <c r="I95" s="277"/>
    </row>
    <row r="96" spans="2:9" s="261" customFormat="1" ht="13.5" customHeight="1" x14ac:dyDescent="0.25">
      <c r="B96" s="169">
        <v>10</v>
      </c>
      <c r="C96" s="333"/>
      <c r="D96" s="334"/>
      <c r="E96" s="335"/>
      <c r="F96" s="336"/>
      <c r="G96" s="337"/>
      <c r="H96" s="338"/>
      <c r="I96" s="339"/>
    </row>
    <row r="97" spans="2:9" s="261" customFormat="1" ht="13.5" customHeight="1" x14ac:dyDescent="0.25">
      <c r="B97" s="340">
        <v>15</v>
      </c>
      <c r="C97" s="333"/>
      <c r="D97" s="334"/>
      <c r="E97" s="335"/>
      <c r="F97" s="336"/>
      <c r="G97" s="318"/>
      <c r="H97" s="338"/>
      <c r="I97" s="339"/>
    </row>
    <row r="98" spans="2:9" s="261" customFormat="1" ht="13.5" customHeight="1" thickBot="1" x14ac:dyDescent="0.3">
      <c r="C98" s="251"/>
      <c r="D98" s="131"/>
      <c r="E98" s="165"/>
      <c r="F98" s="97"/>
      <c r="G98" s="260"/>
      <c r="H98" s="319"/>
      <c r="I98" s="278"/>
    </row>
    <row r="99" spans="2:9" s="261" customFormat="1" ht="13.5" customHeight="1" x14ac:dyDescent="0.2">
      <c r="B99" s="1"/>
    </row>
    <row r="100" spans="2:9" s="261" customFormat="1" ht="13.5" customHeight="1" x14ac:dyDescent="0.25">
      <c r="B100" s="340"/>
      <c r="C100" s="69"/>
    </row>
    <row r="101" spans="2:9" ht="13.5" customHeight="1" x14ac:dyDescent="0.2">
      <c r="B101" s="261"/>
      <c r="C101" s="261"/>
      <c r="D101" s="261"/>
      <c r="E101" s="261"/>
      <c r="F101" s="261"/>
      <c r="G101" s="261"/>
      <c r="H101" s="261"/>
      <c r="I101" s="261"/>
    </row>
    <row r="102" spans="2:9" ht="13.5" customHeight="1" x14ac:dyDescent="0.2">
      <c r="B102" s="261"/>
      <c r="C102" s="261"/>
      <c r="D102" s="261"/>
      <c r="E102" s="261"/>
      <c r="F102" s="261"/>
      <c r="G102" s="261"/>
      <c r="H102" s="261"/>
      <c r="I102" s="261"/>
    </row>
    <row r="103" spans="2:9" ht="13.5" customHeight="1" x14ac:dyDescent="0.2">
      <c r="B103" s="261"/>
      <c r="C103" s="261"/>
      <c r="D103" s="261"/>
      <c r="E103" s="261"/>
      <c r="F103" s="261"/>
      <c r="G103" s="261"/>
      <c r="H103" s="261"/>
      <c r="I103" s="261"/>
    </row>
    <row r="104" spans="2:9" ht="13.5" customHeight="1" x14ac:dyDescent="0.2"/>
    <row r="105" spans="2:9" ht="13.5" customHeight="1" x14ac:dyDescent="0.2"/>
    <row r="106" spans="2:9" ht="13.5" customHeight="1" x14ac:dyDescent="0.2"/>
    <row r="107" spans="2:9" ht="13.5" customHeight="1" x14ac:dyDescent="0.2"/>
    <row r="108" spans="2:9" ht="13.5" customHeight="1" x14ac:dyDescent="0.2"/>
    <row r="109" spans="2:9" ht="13.5" customHeight="1" x14ac:dyDescent="0.2"/>
  </sheetData>
  <mergeCells count="102">
    <mergeCell ref="L58:L59"/>
    <mergeCell ref="AU39:AX40"/>
    <mergeCell ref="AU41:AX45"/>
    <mergeCell ref="AU46:AX47"/>
    <mergeCell ref="AQ39:AT40"/>
    <mergeCell ref="AQ41:AT45"/>
    <mergeCell ref="AQ46:AT47"/>
    <mergeCell ref="AM39:AP40"/>
    <mergeCell ref="AM41:AP45"/>
    <mergeCell ref="AM46:AP47"/>
    <mergeCell ref="AM48:AP57"/>
    <mergeCell ref="B31:H33"/>
    <mergeCell ref="I31:I33"/>
    <mergeCell ref="B35:I35"/>
    <mergeCell ref="B36:I36"/>
    <mergeCell ref="H50:I50"/>
    <mergeCell ref="P39:S40"/>
    <mergeCell ref="P46:S47"/>
    <mergeCell ref="P41:S45"/>
    <mergeCell ref="AI21:AL25"/>
    <mergeCell ref="AI39:AL40"/>
    <mergeCell ref="AI41:AL45"/>
    <mergeCell ref="AI46:AL47"/>
    <mergeCell ref="AF39:AH40"/>
    <mergeCell ref="AF41:AH45"/>
    <mergeCell ref="AF46:AH47"/>
    <mergeCell ref="P48:S57"/>
    <mergeCell ref="T39:W40"/>
    <mergeCell ref="T41:W45"/>
    <mergeCell ref="T46:W47"/>
    <mergeCell ref="X39:AA40"/>
    <mergeCell ref="X41:AA45"/>
    <mergeCell ref="X46:AA47"/>
    <mergeCell ref="AB39:AE40"/>
    <mergeCell ref="X48:AA57"/>
    <mergeCell ref="X29:AA38"/>
    <mergeCell ref="B5:BC5"/>
    <mergeCell ref="C9:D9"/>
    <mergeCell ref="B16:I16"/>
    <mergeCell ref="U16:AT18"/>
    <mergeCell ref="B17:I17"/>
    <mergeCell ref="B24:I24"/>
    <mergeCell ref="B28:I28"/>
    <mergeCell ref="L27:L28"/>
    <mergeCell ref="P29:S38"/>
    <mergeCell ref="N19:O25"/>
    <mergeCell ref="P21:S25"/>
    <mergeCell ref="AY19:AZ25"/>
    <mergeCell ref="N29:O57"/>
    <mergeCell ref="T21:W25"/>
    <mergeCell ref="AQ21:AT25"/>
    <mergeCell ref="AU21:AX25"/>
    <mergeCell ref="X21:AA25"/>
    <mergeCell ref="AB21:AE25"/>
    <mergeCell ref="AF21:AH25"/>
    <mergeCell ref="AM21:AP25"/>
    <mergeCell ref="T29:W38"/>
    <mergeCell ref="AU29:AX38"/>
    <mergeCell ref="T48:W57"/>
    <mergeCell ref="B84:B86"/>
    <mergeCell ref="F84:G84"/>
    <mergeCell ref="F46:I46"/>
    <mergeCell ref="F47:F48"/>
    <mergeCell ref="G47:G48"/>
    <mergeCell ref="H47:H48"/>
    <mergeCell ref="I47:I49"/>
    <mergeCell ref="H51:I51"/>
    <mergeCell ref="D84:E84"/>
    <mergeCell ref="B50:D50"/>
    <mergeCell ref="B46:E49"/>
    <mergeCell ref="B72:B75"/>
    <mergeCell ref="B51:D51"/>
    <mergeCell ref="B52:D54"/>
    <mergeCell ref="B55:D57"/>
    <mergeCell ref="E81:E82"/>
    <mergeCell ref="F81:F82"/>
    <mergeCell ref="B81:B82"/>
    <mergeCell ref="B77:B79"/>
    <mergeCell ref="BC39:BC47"/>
    <mergeCell ref="BC48:BC59"/>
    <mergeCell ref="BB48:BB59"/>
    <mergeCell ref="AQ48:AT57"/>
    <mergeCell ref="BB27:BB38"/>
    <mergeCell ref="BC27:BC38"/>
    <mergeCell ref="BA27:BA38"/>
    <mergeCell ref="AQ29:AT38"/>
    <mergeCell ref="P27:AX28"/>
    <mergeCell ref="AF29:AH38"/>
    <mergeCell ref="BA39:BA47"/>
    <mergeCell ref="BA48:BA59"/>
    <mergeCell ref="AB48:AE57"/>
    <mergeCell ref="AI48:AL57"/>
    <mergeCell ref="AF48:AH57"/>
    <mergeCell ref="AY29:AZ57"/>
    <mergeCell ref="P58:AX59"/>
    <mergeCell ref="BB39:BB47"/>
    <mergeCell ref="AM29:AP38"/>
    <mergeCell ref="AU48:AX57"/>
    <mergeCell ref="AB29:AE38"/>
    <mergeCell ref="AB41:AE45"/>
    <mergeCell ref="AB46:AE47"/>
    <mergeCell ref="AI29:AL38"/>
  </mergeCells>
  <conditionalFormatting sqref="E52:E54">
    <cfRule type="cellIs" dxfId="6" priority="7" operator="equal">
      <formula>$B$97</formula>
    </cfRule>
    <cfRule type="cellIs" dxfId="5" priority="20" operator="equal">
      <formula>$B$98</formula>
    </cfRule>
    <cfRule type="cellIs" dxfId="4" priority="21" operator="equal">
      <formula>$B$96</formula>
    </cfRule>
  </conditionalFormatting>
  <conditionalFormatting sqref="E55:E57">
    <cfRule type="cellIs" dxfId="3" priority="4" operator="equal">
      <formula>$B$97</formula>
    </cfRule>
    <cfRule type="cellIs" dxfId="2" priority="5" operator="equal">
      <formula>$B$98</formula>
    </cfRule>
    <cfRule type="cellIs" dxfId="1" priority="6" operator="equal">
      <formula>$B$96</formula>
    </cfRule>
  </conditionalFormatting>
  <dataValidations count="6">
    <dataValidation type="list" allowBlank="1" showInputMessage="1" showErrorMessage="1" sqref="I31:I33" xr:uid="{00000000-0002-0000-0200-000000000000}">
      <formula1>$B$90:$B$91</formula1>
    </dataValidation>
    <dataValidation type="decimal" operator="lessThanOrEqual" allowBlank="1" showInputMessage="1" showErrorMessage="1" sqref="G18" xr:uid="{00000000-0002-0000-0200-000001000000}">
      <formula1>1.1</formula1>
    </dataValidation>
    <dataValidation type="decimal" operator="lessThanOrEqual" allowBlank="1" showInputMessage="1" showErrorMessage="1" sqref="G19" xr:uid="{00000000-0002-0000-0200-000002000000}">
      <formula1>2</formula1>
    </dataValidation>
    <dataValidation type="whole" operator="greaterThan" allowBlank="1" showInputMessage="1" showErrorMessage="1" error="Geben Sie eine ganze Zahl größer null ein." sqref="C39:C40 C42:C43" xr:uid="{00000000-0002-0000-0200-000003000000}">
      <formula1>0</formula1>
    </dataValidation>
    <dataValidation type="decimal" allowBlank="1" showInputMessage="1" showErrorMessage="1" sqref="G21" xr:uid="{00000000-0002-0000-0200-000004000000}">
      <formula1>50</formula1>
      <formula2>300</formula2>
    </dataValidation>
    <dataValidation type="list" allowBlank="1" showInputMessage="1" showErrorMessage="1" sqref="C22" xr:uid="{00000000-0002-0000-0200-000005000000}">
      <formula1>$B$93:$B$94</formula1>
    </dataValidation>
  </dataValidations>
  <pageMargins left="0.75" right="0.75" top="0.69" bottom="1" header="0.4921259845" footer="0.4921259845"/>
  <pageSetup paperSize="9" scale="37" orientation="landscape" r:id="rId1"/>
  <headerFooter alignWithMargins="0"/>
  <ignoredErrors>
    <ignoredError sqref="T48 X48" formula="1"/>
  </ignoredErrors>
  <drawing r:id="rId2"/>
  <legacyDrawing r:id="rId3"/>
  <oleObjects>
    <mc:AlternateContent xmlns:mc="http://schemas.openxmlformats.org/markup-compatibility/2006">
      <mc:Choice Requires="x14">
        <oleObject progId="Equation.DSMT4" shapeId="16385" r:id="rId4">
          <objectPr defaultSize="0" autoPict="0" r:id="rId5">
            <anchor moveWithCells="1">
              <from>
                <xdr:col>2</xdr:col>
                <xdr:colOff>0</xdr:colOff>
                <xdr:row>27</xdr:row>
                <xdr:rowOff>161925</xdr:rowOff>
              </from>
              <to>
                <xdr:col>2</xdr:col>
                <xdr:colOff>161925</xdr:colOff>
                <xdr:row>29</xdr:row>
                <xdr:rowOff>9525</xdr:rowOff>
              </to>
            </anchor>
          </objectPr>
        </oleObject>
      </mc:Choice>
      <mc:Fallback>
        <oleObject progId="Equation.DSMT4" shapeId="16385"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tabColor rgb="FF00B050"/>
    <pageSetUpPr fitToPage="1"/>
  </sheetPr>
  <dimension ref="B1:P79"/>
  <sheetViews>
    <sheetView tabSelected="1" view="pageBreakPreview" topLeftCell="A19" zoomScaleNormal="100" zoomScaleSheetLayoutView="150" workbookViewId="0">
      <selection activeCell="J53" sqref="J53"/>
    </sheetView>
  </sheetViews>
  <sheetFormatPr defaultColWidth="9.140625" defaultRowHeight="12.75" x14ac:dyDescent="0.2"/>
  <cols>
    <col min="1" max="1" width="11.42578125" style="572" customWidth="1"/>
    <col min="2" max="2" width="22.85546875" style="572" customWidth="1"/>
    <col min="3" max="4" width="12.85546875" style="572" customWidth="1"/>
    <col min="5" max="5" width="14.85546875" style="572" customWidth="1"/>
    <col min="6" max="7" width="12.85546875" style="572" customWidth="1"/>
    <col min="8" max="8" width="16.5703125" style="572" customWidth="1"/>
    <col min="9" max="9" width="22.85546875" style="572" customWidth="1"/>
    <col min="10" max="10" width="16.7109375" style="572" customWidth="1"/>
    <col min="11" max="11" width="18.5703125" style="572" customWidth="1"/>
    <col min="12" max="13" width="12.85546875" style="572" customWidth="1"/>
    <col min="14" max="14" width="26.28515625" style="572" customWidth="1"/>
    <col min="15" max="15" width="34.28515625" style="572" bestFit="1" customWidth="1"/>
    <col min="16" max="16" width="22.28515625" style="572" customWidth="1"/>
    <col min="17" max="16384" width="9.140625" style="572"/>
  </cols>
  <sheetData>
    <row r="1" spans="2:16" ht="13.5" thickBot="1" x14ac:dyDescent="0.25"/>
    <row r="2" spans="2:16" ht="18" x14ac:dyDescent="0.25">
      <c r="B2" s="2" t="str">
        <f>'building data'!B2</f>
        <v>Mounting Systems GmbH</v>
      </c>
      <c r="C2" s="3"/>
      <c r="D2" s="4"/>
      <c r="E2" s="4"/>
      <c r="F2" s="4"/>
      <c r="G2" s="5"/>
      <c r="H2" s="176" t="str">
        <f>IF($G$10="Deutsch","Die gelben Felder sind projektabhängig auszufüllen.",IF($G$10="English","The yellow cells have to be filled out depending on the project.","Fehler"))</f>
        <v>The yellow cells have to be filled out depending on the project.</v>
      </c>
      <c r="I2" s="4"/>
      <c r="J2" s="3"/>
      <c r="K2" s="3"/>
      <c r="L2" s="3"/>
      <c r="M2" s="3"/>
      <c r="N2" s="573"/>
      <c r="O2" s="14"/>
      <c r="P2" s="577" t="str">
        <f>IF($G$10="Deutsch","Sprache:",IF($G$10="English","Language:","Fehler"))</f>
        <v>Language:</v>
      </c>
    </row>
    <row r="3" spans="2:16" ht="18" x14ac:dyDescent="0.25">
      <c r="B3" s="9" t="str">
        <f>'building data'!B3</f>
        <v>Solar ballasted roof mount system</v>
      </c>
      <c r="C3" s="10"/>
      <c r="D3" s="11"/>
      <c r="E3" s="11"/>
      <c r="F3" s="11"/>
      <c r="G3" s="12"/>
      <c r="H3" s="177" t="str">
        <f>IF($G$10="Deutsch","Die türkisfarbenen Felder werden berechnet.",IF($G$10="English","The turquoise cells are calculated.","Fehler"))</f>
        <v>The turquoise cells are calculated.</v>
      </c>
      <c r="I3" s="11"/>
      <c r="J3" s="14"/>
      <c r="K3" s="14"/>
      <c r="L3" s="14"/>
      <c r="M3" s="14"/>
      <c r="N3" s="574"/>
      <c r="O3" s="14"/>
      <c r="P3" s="779" t="s">
        <v>0</v>
      </c>
    </row>
    <row r="4" spans="2:16" ht="18" x14ac:dyDescent="0.25">
      <c r="B4" s="9"/>
      <c r="C4" s="11"/>
      <c r="D4" s="11"/>
      <c r="E4" s="11"/>
      <c r="F4" s="11"/>
      <c r="G4" s="11"/>
      <c r="H4" s="11"/>
      <c r="I4" s="14"/>
      <c r="J4" s="11"/>
      <c r="K4" s="11"/>
      <c r="L4" s="11"/>
      <c r="M4" s="11"/>
      <c r="N4" s="15"/>
      <c r="O4" s="11"/>
      <c r="P4" s="779" t="s">
        <v>13</v>
      </c>
    </row>
    <row r="5" spans="2:16" ht="16.5" thickBot="1" x14ac:dyDescent="0.3">
      <c r="B5" s="949" t="str">
        <f>IF($G$10="Deutsch","DIN EN 1991-1-4",IF($G$10="English","DIN EN 1991-1-4","Fehler"))</f>
        <v>DIN EN 1991-1-4</v>
      </c>
      <c r="C5" s="1090"/>
      <c r="D5" s="1090"/>
      <c r="E5" s="1090"/>
      <c r="F5" s="1090"/>
      <c r="G5" s="1090"/>
      <c r="H5" s="1090"/>
      <c r="I5" s="1090"/>
      <c r="J5" s="1090"/>
      <c r="K5" s="1090"/>
      <c r="L5" s="1090"/>
      <c r="M5" s="1090"/>
      <c r="N5" s="1217"/>
      <c r="O5" s="780"/>
      <c r="P5" s="779"/>
    </row>
    <row r="6" spans="2:16" ht="15" x14ac:dyDescent="0.2">
      <c r="B6" s="575" t="str">
        <f>IF($G$10="Deutsch","Auslegungsgrundlage:",IF($G$10="English","Design base:","Fehler"))</f>
        <v>Design base:</v>
      </c>
      <c r="C6" s="576" t="s">
        <v>65</v>
      </c>
      <c r="P6" s="583"/>
    </row>
    <row r="7" spans="2:16" ht="15" x14ac:dyDescent="0.2">
      <c r="B7" s="576"/>
      <c r="C7" s="576" t="s">
        <v>66</v>
      </c>
    </row>
    <row r="8" spans="2:16" ht="15" x14ac:dyDescent="0.2">
      <c r="B8" s="576"/>
      <c r="C8" s="576"/>
    </row>
    <row r="9" spans="2:16" ht="13.5" thickBot="1" x14ac:dyDescent="0.25">
      <c r="B9" s="578" t="str">
        <f>IF($G$10="Deutsch","Projektdaten",IF($G$10="English","Project data","Fehler"))</f>
        <v>Project data</v>
      </c>
    </row>
    <row r="10" spans="2:16" ht="13.5" thickBot="1" x14ac:dyDescent="0.25">
      <c r="B10" s="579" t="str">
        <f>IF($G$10="Deutsch","Projekt:",IF($G$10="English","Project:","Fehler"))</f>
        <v>Project:</v>
      </c>
      <c r="C10" s="1218" t="str">
        <f>'building data'!C9</f>
        <v>EN15-</v>
      </c>
      <c r="D10" s="1218"/>
      <c r="E10" s="1218"/>
      <c r="F10" s="580" t="str">
        <f>IF($G$10="Deutsch","Sprache:",IF($G$10="English","Language:","Fehler"))</f>
        <v>Language:</v>
      </c>
      <c r="G10" s="581" t="s">
        <v>13</v>
      </c>
      <c r="H10" s="582"/>
      <c r="I10" s="1219" t="str">
        <f>IF($G$10="English","Load factors for wind and dead load:",IF($G$10="Deutsch","Sicherheitsbeiwerte für Windlasten und ständige Lasten","Fehler"))</f>
        <v>Load factors for wind and dead load:</v>
      </c>
      <c r="J10" s="1220"/>
      <c r="K10" s="1220"/>
      <c r="L10" s="1221"/>
    </row>
    <row r="11" spans="2:16" x14ac:dyDescent="0.2">
      <c r="B11" s="584" t="str">
        <f>IF($G$10="Deutsch","PLZ:",IF($G$10="English","Postal code:","Fehler"))</f>
        <v>Postal code:</v>
      </c>
      <c r="C11" s="1177">
        <f>'building data'!C10</f>
        <v>2301</v>
      </c>
      <c r="D11" s="1177"/>
      <c r="E11" s="585" t="str">
        <f>IF($G$10="Deutsch","Standort:",IF($G$10="English","Site:","Fehler"))</f>
        <v>Site:</v>
      </c>
      <c r="F11" s="1177" t="str">
        <f>'building data'!G10</f>
        <v>Hortsfelde</v>
      </c>
      <c r="G11" s="1178"/>
      <c r="I11" s="1045" t="str">
        <f>IF($G$10="English","Load factor for                   uplift [-]:",IF($G$10="Deutsch","Sicherheitsbeiwert für Abheben [-]","Fehler"))</f>
        <v>Load factor for                   uplift [-]:</v>
      </c>
      <c r="J11" s="1047" t="str">
        <f>IF($G$10="English","Load factor for                   sliding [-]:",IF($G$10="Deutsch","Sicherheitsbeiwert für Verschieben [-]","Fehler"))</f>
        <v>Load factor for                   sliding [-]:</v>
      </c>
      <c r="K11" s="1047" t="str">
        <f>IF($G$10="English","Load factor for                    dead load [-]:",IF($G$10="Deutsch","Sicherheitsbeiwert für ständige Lasten [-]","Fehler"))</f>
        <v>Load factor for                    dead load [-]:</v>
      </c>
      <c r="L11" s="1223" t="str">
        <f>IF($G$10="English","according to ",IF($G$10="Deutsch","gemäß ","Fehler"))&amp;"DIN EN 1990"</f>
        <v>according to DIN EN 1990</v>
      </c>
    </row>
    <row r="12" spans="2:16" ht="13.5" thickBot="1" x14ac:dyDescent="0.25">
      <c r="B12" s="584" t="str">
        <f>IF($G$10="Deutsch","Bearbeiter:",IF($G$10="English","Person in charge:","Fehler"))</f>
        <v>Person in charge:</v>
      </c>
      <c r="C12" s="1177" t="str">
        <f>'building data'!C11</f>
        <v>HGF</v>
      </c>
      <c r="D12" s="1177"/>
      <c r="E12" s="585" t="str">
        <f>IF($G$10="Deutsch","Land:",IF($G$10="English","Country:","Fehler"))</f>
        <v>Country:</v>
      </c>
      <c r="F12" s="1177" t="str">
        <f>'building data'!G11</f>
        <v>Germany</v>
      </c>
      <c r="G12" s="1178"/>
      <c r="I12" s="1046"/>
      <c r="J12" s="1222"/>
      <c r="K12" s="1222"/>
      <c r="L12" s="1224"/>
    </row>
    <row r="13" spans="2:16" ht="13.5" thickBot="1" x14ac:dyDescent="0.25">
      <c r="B13" s="586" t="str">
        <f>IF($G$10="Deutsch","Datum:",IF($G$10="English","Date:","Fehler"))</f>
        <v>Date:</v>
      </c>
      <c r="C13" s="1179">
        <f>'building data'!C12</f>
        <v>42272</v>
      </c>
      <c r="D13" s="1179"/>
      <c r="E13" s="587" t="str">
        <f>IF($G$10="Deutsch","Norm:",IF($G$10="English","Standard:","Fehler"))</f>
        <v>Standard:</v>
      </c>
      <c r="F13" s="1180" t="str">
        <f>'building data'!G12</f>
        <v>DIN EN 1991-1-4</v>
      </c>
      <c r="G13" s="1181"/>
      <c r="I13" s="874">
        <v>1.5</v>
      </c>
      <c r="J13" s="875">
        <v>1.5</v>
      </c>
      <c r="K13" s="875">
        <v>0.9</v>
      </c>
      <c r="L13" s="1225"/>
    </row>
    <row r="14" spans="2:16" x14ac:dyDescent="0.2">
      <c r="C14" s="588"/>
      <c r="D14" s="588"/>
      <c r="E14" s="588"/>
      <c r="H14" s="589"/>
    </row>
    <row r="15" spans="2:16" x14ac:dyDescent="0.2">
      <c r="B15" s="590"/>
      <c r="C15" s="590"/>
      <c r="D15" s="590"/>
      <c r="E15" s="590"/>
      <c r="F15" s="590"/>
      <c r="G15" s="590"/>
    </row>
    <row r="16" spans="2:16" ht="12.75" customHeight="1" x14ac:dyDescent="0.2">
      <c r="B16" s="591"/>
    </row>
    <row r="18" spans="2:15" x14ac:dyDescent="0.2">
      <c r="B18" s="578" t="str">
        <f>IF($G$10="Deutsch","Ermittlung der Windzone, der Geländekategorie und zusätzlicher Werte nach",IF($G$10="English","Determination of wind zone, terrain category and additional values according to","Fehler"))</f>
        <v>Determination of wind zone, terrain category and additional values according to</v>
      </c>
    </row>
    <row r="19" spans="2:15" x14ac:dyDescent="0.2">
      <c r="B19" s="592" t="str">
        <f>CONCATENATE(C6,IF($G$10="Deutsch"," und ",IF($G$10="English"," and ")),C7)</f>
        <v>DIN EN 1991-1-4:2010 and DIN EN 1991-1-4/NA:2010</v>
      </c>
    </row>
    <row r="20" spans="2:15" ht="13.5" thickBot="1" x14ac:dyDescent="0.25">
      <c r="B20" s="591"/>
    </row>
    <row r="21" spans="2:15" ht="17.25" customHeight="1" x14ac:dyDescent="0.2">
      <c r="B21" s="593" t="str">
        <f>IF($G$10="Deutsch","Böenstaudruck",IF($G$10="English","Peak velocity pressure","Fehler"))</f>
        <v>Peak velocity pressure</v>
      </c>
      <c r="C21" s="594">
        <f>IF(C36=1,C53,J53)</f>
        <v>0.68128708098154223</v>
      </c>
      <c r="D21" s="595" t="s">
        <v>3</v>
      </c>
      <c r="E21" s="596"/>
      <c r="F21" s="597">
        <f>(2/1.25*1000*C21)^0.5</f>
        <v>33.01604654664861</v>
      </c>
      <c r="G21" s="598" t="s">
        <v>14</v>
      </c>
      <c r="H21" s="596"/>
      <c r="I21" s="597">
        <f>F21*3.6</f>
        <v>118.857767567935</v>
      </c>
      <c r="J21" s="595" t="s">
        <v>15</v>
      </c>
      <c r="K21" s="596"/>
      <c r="L21" s="599">
        <f>C21/0.047833</f>
        <v>14.243034745500852</v>
      </c>
      <c r="M21" s="600" t="s">
        <v>67</v>
      </c>
    </row>
    <row r="22" spans="2:15" ht="17.25" customHeight="1" thickBot="1" x14ac:dyDescent="0.25">
      <c r="B22" s="601" t="str">
        <f>IF($G$10="Deutsch","Mittlerer Staudruck",IF($G$10="English","Mean velocity pressure","Fehler"))</f>
        <v>Mean velocity pressure</v>
      </c>
      <c r="C22" s="602">
        <f>IF(C36=1,C52,J52)</f>
        <v>0.31343242834699525</v>
      </c>
      <c r="D22" s="603" t="s">
        <v>3</v>
      </c>
      <c r="E22" s="604"/>
      <c r="F22" s="605">
        <f>(2/1.25*1000*C22)^0.5</f>
        <v>22.394014498414357</v>
      </c>
      <c r="G22" s="606" t="s">
        <v>14</v>
      </c>
      <c r="H22" s="604"/>
      <c r="I22" s="605">
        <f>F22*3.6</f>
        <v>80.618452194291692</v>
      </c>
      <c r="J22" s="603" t="s">
        <v>15</v>
      </c>
      <c r="K22" s="604"/>
      <c r="L22" s="607">
        <f>C22/0.047833</f>
        <v>6.5526399838395095</v>
      </c>
      <c r="M22" s="781" t="s">
        <v>67</v>
      </c>
    </row>
    <row r="24" spans="2:15" x14ac:dyDescent="0.2">
      <c r="B24" s="591"/>
    </row>
    <row r="25" spans="2:15" x14ac:dyDescent="0.2">
      <c r="B25" s="591"/>
    </row>
    <row r="26" spans="2:15" ht="16.5" thickBot="1" x14ac:dyDescent="0.3">
      <c r="B26" s="608" t="str">
        <f>IF($G$10="Deutsch","Projektdaten",IF($G$10="English","Project data","Fehler"))</f>
        <v>Project data</v>
      </c>
    </row>
    <row r="27" spans="2:15" ht="13.5" customHeight="1" x14ac:dyDescent="0.2">
      <c r="B27" s="609" t="str">
        <f>IF($G$10="Deutsch","Geländekategorie",IF($G$10="English","Terrain category","Fehler"))</f>
        <v>Terrain category</v>
      </c>
      <c r="C27" s="610" t="s">
        <v>53</v>
      </c>
      <c r="D27" s="611" t="str">
        <f>IF($G$10="Deutsch","Nach DIN EN 1991-1-4/NA:2010-12 NA.B.1 und NA.B.2, maßgebend ist der glatteste Bereich in 3 km Umkreis.",IF($G$10="English","According to DIN EN 1991-1-4/NA:2010-12 NA.B.1 and NA.B.2, the terrain category with the lowest roughness length within a radius of 3 km has to be applied.","Fehler"))</f>
        <v>According to DIN EN 1991-1-4/NA:2010-12 NA.B.1 and NA.B.2, the terrain category with the lowest roughness length within a radius of 3 km has to be applied.</v>
      </c>
      <c r="E27" s="612"/>
      <c r="F27" s="612"/>
      <c r="G27" s="612"/>
      <c r="H27" s="612"/>
      <c r="I27" s="612"/>
      <c r="J27" s="612"/>
      <c r="K27" s="612"/>
      <c r="L27" s="612"/>
      <c r="M27" s="612"/>
      <c r="N27" s="613"/>
    </row>
    <row r="28" spans="2:15" x14ac:dyDescent="0.2">
      <c r="B28" s="614" t="str">
        <f>IF($G$10="Deutsch","Bezeichnung",IF($G$10="English","Description","Fehler"))</f>
        <v>Description</v>
      </c>
      <c r="C28" s="615" t="str">
        <f>VLOOKUP(C27,B59:H62,7,FALSE)</f>
        <v>Terrain with isolated obstacles (hedges, farm buildings, buildings or trees) such as agricultural areas; forests</v>
      </c>
      <c r="D28" s="615"/>
      <c r="E28" s="615"/>
      <c r="F28" s="615"/>
      <c r="G28" s="615"/>
      <c r="H28" s="615"/>
      <c r="I28" s="615"/>
      <c r="J28" s="615"/>
      <c r="K28" s="615"/>
      <c r="L28" s="615"/>
      <c r="M28" s="615"/>
      <c r="N28" s="616"/>
    </row>
    <row r="29" spans="2:15" ht="25.5" x14ac:dyDescent="0.2">
      <c r="B29" s="617" t="str">
        <f>IF($G$10="Deutsch","Windzone nach nationalem Anhang NA.A",IF($G$10="English","Wind zone according to national annex NA.A","Fehler"))</f>
        <v>Wind zone according to national annex NA.A</v>
      </c>
      <c r="C29" s="782">
        <v>2</v>
      </c>
      <c r="D29" s="618"/>
      <c r="E29" s="618"/>
      <c r="F29" s="618"/>
      <c r="G29" s="618"/>
      <c r="H29" s="775"/>
      <c r="I29" s="775"/>
      <c r="J29" s="775"/>
      <c r="K29" s="775"/>
      <c r="L29" s="775"/>
      <c r="M29" s="619"/>
      <c r="N29" s="620"/>
    </row>
    <row r="30" spans="2:15" ht="25.5" customHeight="1" x14ac:dyDescent="0.2">
      <c r="B30" s="621" t="str">
        <f>IF($G$10="Deutsch","Standorthöhe über Meeresniveau",IF($G$10="English","Local elevation above sea level","Fehler"))</f>
        <v>Local elevation above sea level</v>
      </c>
      <c r="C30" s="783">
        <v>50</v>
      </c>
      <c r="D30" s="784" t="str">
        <f>IF($G$10="Deutsch","m über NHN",IF($G$10="English","m ASL","Fehler"))</f>
        <v>m ASL</v>
      </c>
      <c r="E30" s="619"/>
      <c r="F30" s="622">
        <f>C30/0.3048</f>
        <v>164.04199475065616</v>
      </c>
      <c r="G30" s="623" t="str">
        <f>IF($G$10="Deutsch","ft über NHN",IF($G$10="English","ft ASL","Fehler"))</f>
        <v>ft ASL</v>
      </c>
      <c r="H30" s="1182" t="str">
        <f>IF($G$10="Deutsch","Für Kamm- und Gipfellagen der Mittelgebirge sowie oberhalb von 1100m über dem Meeresniveau sind besondere Überlegungen erforderlich.",IF($G$10="English","For crests and positions on top of a hill in sub-mountainous areas and for altitudes above 1100 m above sea level special considerations are required.","Fehler"))</f>
        <v>For crests and positions on top of a hill in sub-mountainous areas and for altitudes above 1100 m above sea level special considerations are required.</v>
      </c>
      <c r="I30" s="1182"/>
      <c r="J30" s="1182"/>
      <c r="K30" s="1182"/>
      <c r="L30" s="1182"/>
      <c r="M30" s="1183"/>
      <c r="N30" s="1184"/>
      <c r="O30" s="624"/>
    </row>
    <row r="31" spans="2:15" ht="12.75" customHeight="1" x14ac:dyDescent="0.2">
      <c r="B31" s="1202" t="str">
        <f>IF($G$10="Deutsch","Dachhöhe+Attikahöhe",IF($G$10="English","Roof + parapet height","Fehler"))</f>
        <v>Roof + parapet height</v>
      </c>
      <c r="C31" s="1205">
        <f>'building data'!C16+'building data'!C18</f>
        <v>6.5</v>
      </c>
      <c r="D31" s="1208" t="s">
        <v>1</v>
      </c>
      <c r="E31" s="1211"/>
      <c r="F31" s="1214">
        <f>C31/0.3048</f>
        <v>21.325459317585302</v>
      </c>
      <c r="G31" s="1185" t="s">
        <v>68</v>
      </c>
      <c r="H31" s="1188" t="str">
        <f>IF($G$10="Deutsch","Diese Norm darf aufgrund des in Deutschland gültigen Windprofils für Bauwerke bis zu einer Höhe von 300 m angewendet werden.",IF($G$10="English","Due to the wind profile valid in Gemany this code is applicable for building heights up to 300 m.","Fehler"))</f>
        <v>Due to the wind profile valid in Gemany this code is applicable for building heights up to 300 m.</v>
      </c>
      <c r="I31" s="1189"/>
      <c r="J31" s="1189"/>
      <c r="K31" s="1189"/>
      <c r="L31" s="1189"/>
      <c r="M31" s="1190"/>
      <c r="N31" s="1191"/>
    </row>
    <row r="32" spans="2:15" ht="25.5" customHeight="1" x14ac:dyDescent="0.2">
      <c r="B32" s="1203"/>
      <c r="C32" s="1206"/>
      <c r="D32" s="1209"/>
      <c r="E32" s="1212"/>
      <c r="F32" s="1215"/>
      <c r="G32" s="1186"/>
      <c r="H32" s="1192" t="str">
        <f>IF($G$10="Deutsch","Der Einfluß eines höheren Nachbargebäudes im Stadtgebiet ist durch eine anders anzusetzende Gebäudehöhe nach DIN EN 1991-1-4:2010-12, A.4 zu berücksichtigen.",IF($G$10="English","The influence of a higher neighbouring structure in urban terrain has to be taken into account by applying a correction for the building height according to DIN EN 1991-1-4:2010-12, A.4.","Fehler"))</f>
        <v>The influence of a higher neighbouring structure in urban terrain has to be taken into account by applying a correction for the building height according to DIN EN 1991-1-4:2010-12, A.4.</v>
      </c>
      <c r="I32" s="1193"/>
      <c r="J32" s="1193"/>
      <c r="K32" s="1193"/>
      <c r="L32" s="1193"/>
      <c r="M32" s="1194"/>
      <c r="N32" s="1195"/>
    </row>
    <row r="33" spans="2:14" ht="25.5" customHeight="1" x14ac:dyDescent="0.2">
      <c r="B33" s="1203"/>
      <c r="C33" s="1206"/>
      <c r="D33" s="1209"/>
      <c r="E33" s="1212"/>
      <c r="F33" s="1215"/>
      <c r="G33" s="1186"/>
      <c r="H33" s="1192" t="str">
        <f>IF($G$10="Deutsch","Die Wirkung eng beieinander stehender Gebäude oder Hindernisse darf nach DIN EN 1991-1-4:2010-12, A.5 berücksichtigt werden, indem das Bodenniveau in eine als Versatzhöhe hdis bezeichnete Höhe angehoben wird.",IF($G$10="English","The effect of closely spaced buildings and other obstacles may be taken into account according to DIN EN 1991-1-4:2010-12, A.5 by raising the ground level to a height called displacement height hdis.","Fehler"))</f>
        <v>The effect of closely spaced buildings and other obstacles may be taken into account according to DIN EN 1991-1-4:2010-12, A.5 by raising the ground level to a height called displacement height hdis.</v>
      </c>
      <c r="I33" s="1193"/>
      <c r="J33" s="1193"/>
      <c r="K33" s="1193"/>
      <c r="L33" s="1193"/>
      <c r="M33" s="1194"/>
      <c r="N33" s="1195"/>
    </row>
    <row r="34" spans="2:14" ht="12.75" customHeight="1" x14ac:dyDescent="0.2">
      <c r="B34" s="1204"/>
      <c r="C34" s="1207"/>
      <c r="D34" s="1210"/>
      <c r="E34" s="1213"/>
      <c r="F34" s="1216"/>
      <c r="G34" s="1187"/>
      <c r="H34" s="1196" t="str">
        <f>IF($G$10="Deutsch","Unterhalb der Versatzhöhe gilt ein konstanter Wert der Geschwindigkeit wie in Höhe hdis.",IF($G$10="English","Below the displacement height a constant value of velocity is valid as in the height hdis.","Fehler"))</f>
        <v>Below the displacement height a constant value of velocity is valid as in the height hdis.</v>
      </c>
      <c r="I34" s="1197"/>
      <c r="J34" s="1197"/>
      <c r="K34" s="1197"/>
      <c r="L34" s="1197"/>
      <c r="M34" s="1198"/>
      <c r="N34" s="1199"/>
    </row>
    <row r="35" spans="2:14" ht="12.75" customHeight="1" x14ac:dyDescent="0.2">
      <c r="B35" s="785" t="str">
        <f>IF($G$10="Deutsch","Wiederkehrintervall",IF($G$10="English","Return period","Fehler"))</f>
        <v>Return period</v>
      </c>
      <c r="C35" s="783">
        <v>25</v>
      </c>
      <c r="D35" s="786" t="str">
        <f>IF($G$10="Deutsch","Jahre",IF($G$10="English","Years","Fehler"))</f>
        <v>Years</v>
      </c>
      <c r="E35" s="588"/>
      <c r="F35" s="787"/>
      <c r="G35" s="787"/>
      <c r="H35" s="1200" t="str">
        <f>IF($G$10="Deutsch","Empfehlungswert Wiederkehrintervall=50 Jahre.",IF($G$10="English","The recommended return period is 50 years. ","Fehler"))</f>
        <v xml:space="preserve">The recommended return period is 50 years. </v>
      </c>
      <c r="I35" s="1200"/>
      <c r="J35" s="1200"/>
      <c r="K35" s="1200"/>
      <c r="L35" s="1200"/>
      <c r="M35" s="1200"/>
      <c r="N35" s="1201"/>
    </row>
    <row r="36" spans="2:14" ht="25.5" customHeight="1" thickBot="1" x14ac:dyDescent="0.25">
      <c r="B36" s="625" t="str">
        <f>IF($G$10="Deutsch","Topographiebeiwert",IF($G$10="English","Topographic factor","Fehler"))</f>
        <v>Topographic factor</v>
      </c>
      <c r="C36" s="788">
        <f>'Annex A.3'!C19</f>
        <v>1</v>
      </c>
      <c r="D36" s="789" t="s">
        <v>5</v>
      </c>
      <c r="E36" s="626"/>
      <c r="F36" s="626"/>
      <c r="G36" s="626"/>
      <c r="H36" s="1173" t="str">
        <f>IF($G$10="Deutsch","Dort, wo Topographie (z.B. Berge, Klippen etc.) die Windgeschw. um mehr als 5% erhöht, ist die Vergrößerung gemäß DIN EN 1991-1-4:2010-12, 4.3.3 und A.3 zu berücksichtigen.",IF($G$10="English","Where topography (e.g. hills, cliffs etc.) increases wind velocities by more than 5% the effects should be taken into account according to DIN EN 1991-1-4:2010-12, 4.3.3 and A.3.","Fehler"))</f>
        <v>Where topography (e.g. hills, cliffs etc.) increases wind velocities by more than 5% the effects should be taken into account according to DIN EN 1991-1-4:2010-12, 4.3.3 and A.3.</v>
      </c>
      <c r="I36" s="1174"/>
      <c r="J36" s="1174"/>
      <c r="K36" s="1174"/>
      <c r="L36" s="1174"/>
      <c r="M36" s="1175"/>
      <c r="N36" s="1176"/>
    </row>
    <row r="37" spans="2:14" x14ac:dyDescent="0.2">
      <c r="C37" s="627"/>
      <c r="E37" s="589"/>
      <c r="F37" s="628"/>
      <c r="G37" s="589"/>
      <c r="I37" s="589"/>
      <c r="J37" s="629"/>
      <c r="K37" s="589"/>
      <c r="L37" s="589"/>
      <c r="M37" s="589"/>
      <c r="N37" s="589"/>
    </row>
    <row r="38" spans="2:14" x14ac:dyDescent="0.2">
      <c r="E38" s="589"/>
      <c r="F38" s="628"/>
      <c r="G38" s="589"/>
      <c r="I38" s="589"/>
      <c r="J38" s="629"/>
      <c r="K38" s="589"/>
      <c r="L38" s="589"/>
      <c r="M38" s="589"/>
      <c r="N38" s="589"/>
    </row>
    <row r="39" spans="2:14" ht="15.75" x14ac:dyDescent="0.25">
      <c r="B39" s="630" t="str">
        <f>IF($G$10="Deutsch","Berechnung:",IF($G$10="English","Calculation:","Fehler"))</f>
        <v>Calculation:</v>
      </c>
      <c r="E39" s="631"/>
      <c r="F39" s="628"/>
      <c r="G39" s="589"/>
      <c r="I39" s="589"/>
      <c r="J39" s="629"/>
      <c r="K39" s="589"/>
      <c r="L39" s="589"/>
      <c r="M39" s="589"/>
      <c r="N39" s="589"/>
    </row>
    <row r="40" spans="2:14" x14ac:dyDescent="0.2">
      <c r="E40" s="631"/>
      <c r="F40" s="628"/>
      <c r="G40" s="589"/>
      <c r="I40" s="589"/>
      <c r="J40" s="629"/>
      <c r="K40" s="589"/>
      <c r="L40" s="589"/>
      <c r="M40" s="589"/>
      <c r="N40" s="589"/>
    </row>
    <row r="41" spans="2:14" x14ac:dyDescent="0.2">
      <c r="B41" s="632" t="str">
        <f>IF($G$10="Deutsch","Anzusetzende Höhe",IF($G$10="English","Applied height","Fehler"))</f>
        <v>Applied height</v>
      </c>
      <c r="C41" s="633">
        <f>IF(C31&gt;C44,"",IF(C31&gt;C43,C31,C43))</f>
        <v>6.5</v>
      </c>
      <c r="D41" s="572" t="s">
        <v>1</v>
      </c>
      <c r="F41" s="634">
        <f>C41/0.3048</f>
        <v>21.325459317585302</v>
      </c>
      <c r="G41" s="589" t="s">
        <v>68</v>
      </c>
      <c r="I41" s="589"/>
      <c r="J41" s="629"/>
      <c r="K41" s="589"/>
      <c r="L41" s="589"/>
      <c r="M41" s="589"/>
      <c r="N41" s="589"/>
    </row>
    <row r="42" spans="2:14" ht="15" customHeight="1" x14ac:dyDescent="0.2">
      <c r="B42" s="635" t="str">
        <f>IF($G$10="Deutsch","Rauigkeitshöhe",IF($G$10="English","Roughness length","Fehler"))</f>
        <v>Roughness length</v>
      </c>
      <c r="C42" s="636">
        <f>VLOOKUP($C$27,$B$59:$C$62,2,FALSE)</f>
        <v>0.05</v>
      </c>
      <c r="D42" s="572" t="s">
        <v>1</v>
      </c>
      <c r="F42" s="634">
        <f>C42/0.3048</f>
        <v>0.16404199475065617</v>
      </c>
      <c r="G42" s="589" t="s">
        <v>68</v>
      </c>
      <c r="I42" s="589"/>
      <c r="J42" s="629"/>
      <c r="K42" s="589"/>
      <c r="L42" s="589"/>
      <c r="M42" s="589"/>
      <c r="N42" s="589"/>
    </row>
    <row r="43" spans="2:14" ht="17.25" customHeight="1" x14ac:dyDescent="0.2">
      <c r="B43" s="635" t="str">
        <f>IF($G$10="Deutsch","Mindesthöhe",IF($G$10="English","Minimum height","Fehler"))</f>
        <v>Minimum height</v>
      </c>
      <c r="C43" s="633">
        <f>VLOOKUP($C$27,$B$59:$D$62,3,FALSE)</f>
        <v>4</v>
      </c>
      <c r="D43" s="572" t="s">
        <v>1</v>
      </c>
      <c r="F43" s="634">
        <f>C43/0.3048</f>
        <v>13.123359580052492</v>
      </c>
      <c r="G43" s="572" t="s">
        <v>68</v>
      </c>
      <c r="M43" s="589"/>
      <c r="N43" s="589"/>
    </row>
    <row r="44" spans="2:14" ht="18" customHeight="1" x14ac:dyDescent="0.2">
      <c r="B44" s="635" t="str">
        <f>IF($G$10="Deutsch","Maximale Höhe",IF($G$10="English","Maximum height","Fehler"))</f>
        <v>Maximum height</v>
      </c>
      <c r="C44" s="633">
        <v>300</v>
      </c>
      <c r="D44" s="572" t="s">
        <v>1</v>
      </c>
      <c r="F44" s="634">
        <f>C44/0.3048</f>
        <v>984.25196850393695</v>
      </c>
      <c r="G44" s="572" t="s">
        <v>68</v>
      </c>
      <c r="M44" s="589"/>
      <c r="N44" s="589"/>
    </row>
    <row r="45" spans="2:14" x14ac:dyDescent="0.2">
      <c r="B45" s="635" t="str">
        <f>IF($G$10="Deutsch","Basiswindgeschwindigkeit",IF($G$10="English","Basic wind velocity","Fehler"))</f>
        <v>Basic wind velocity</v>
      </c>
      <c r="C45" s="636">
        <f>VLOOKUP($C$29,$B$65:$E$68,4,FALSE)*C47</f>
        <v>23.991964933077032</v>
      </c>
      <c r="D45" s="572" t="s">
        <v>14</v>
      </c>
      <c r="F45" s="634">
        <f>C45/0.44704</f>
        <v>53.668497076496585</v>
      </c>
      <c r="G45" s="589" t="s">
        <v>69</v>
      </c>
      <c r="N45" s="589"/>
    </row>
    <row r="46" spans="2:14" ht="25.5" x14ac:dyDescent="0.2">
      <c r="B46" s="637" t="str">
        <f>IF($G$10="Deutsch","Basisgeschwindigkeitsdruck",IF($G$10="English","Basic velocity pressure","Fehler"))</f>
        <v>Basic velocity pressure</v>
      </c>
      <c r="C46" s="636">
        <f>1.25/2*C45^2/1000</f>
        <v>0.35975898834374875</v>
      </c>
      <c r="D46" s="572" t="s">
        <v>3</v>
      </c>
      <c r="F46" s="634">
        <f>C46/47.88*1000</f>
        <v>7.5137633321584945</v>
      </c>
      <c r="G46" s="638" t="s">
        <v>70</v>
      </c>
      <c r="N46" s="589"/>
    </row>
    <row r="47" spans="2:14" x14ac:dyDescent="0.2">
      <c r="B47" s="52" t="str">
        <f>IF($G$10="Deutsch","Wahrscheinlichkeitsfaktor",IF($G$10="English","probability factor","Fehler"))</f>
        <v>probability factor</v>
      </c>
      <c r="C47" s="790">
        <f>IF($C$35&lt;2,((1-0.2*LN(-LN(1-1/2)))/(1-0.2*LN(-LN(0.98))))^0.5,((1-0.2*LN(-LN(1-1/$C$35)))/(1-0.2*LN(-LN(0.98))))^0.5)</f>
        <v>0.95967859732308125</v>
      </c>
      <c r="D47" s="69" t="s">
        <v>5</v>
      </c>
      <c r="E47" s="589"/>
      <c r="F47" s="628"/>
      <c r="G47" s="589"/>
      <c r="N47" s="589"/>
    </row>
    <row r="48" spans="2:14" ht="13.5" thickBot="1" x14ac:dyDescent="0.25">
      <c r="E48" s="589"/>
      <c r="F48" s="628"/>
      <c r="G48" s="589"/>
      <c r="I48" s="589"/>
      <c r="J48" s="629"/>
      <c r="K48" s="589"/>
      <c r="L48" s="589"/>
      <c r="M48" s="589"/>
      <c r="N48" s="589"/>
    </row>
    <row r="49" spans="2:15" ht="13.5" thickBot="1" x14ac:dyDescent="0.25">
      <c r="B49" s="1160" t="str">
        <f>IF($G$10="Deutsch","nach NA.B.1",IF($G$10="English","according to NA.B.1","Fehler"))</f>
        <v>according to NA.B.1</v>
      </c>
      <c r="C49" s="1161"/>
      <c r="D49" s="1161"/>
      <c r="E49" s="1161"/>
      <c r="F49" s="1161"/>
      <c r="G49" s="1162"/>
      <c r="I49" s="1160" t="str">
        <f>IF($G$10="Deutsch","Erfassung des Topographieeinflusses nach NA.B.4",IF($G$10="English","calculation of terrain orography effects according to NA.B.4","Fehler"))</f>
        <v>calculation of terrain orography effects according to NA.B.4</v>
      </c>
      <c r="J49" s="1163" t="str">
        <f>IF($G$10="Deutsch","Erfassung des Topographieeinflusses nach NA.B.4",IF($G$10="English","calculation of terrain orography effects according to NA.B.4",IF($G$10="Français","calcul des effets de l'orographique du terrain",IF($G$10="Italiano","calcolo della influenza di topografia del sito conforme a NA.B.4","Fehler"))))</f>
        <v>calculation of terrain orography effects according to NA.B.4</v>
      </c>
      <c r="K49" s="1163" t="str">
        <f>IF($G$10="Deutsch","Erfassung des Topographieeinflusses nach NA.B.4",IF($G$10="English","calculation of terrain orography effects according to NA.B.4",IF($G$10="Français","calcul des effets de l'orographique du terrain",IF($G$10="Italiano","calcolo della influenza di topografia del sito conforme a NA.B.4","Fehler"))))</f>
        <v>calculation of terrain orography effects according to NA.B.4</v>
      </c>
      <c r="L49" s="1163" t="str">
        <f>IF($G$10="Deutsch","Erfassung des Topographieeinflusses nach NA.B.4",IF($G$10="English","calculation of terrain orography effects according to NA.B.4",IF($G$10="Français","calcul des effets de l'orographique du terrain",IF($G$10="Italiano","calcolo della influenza di topografia del sito conforme a NA.B.4","Fehler"))))</f>
        <v>calculation of terrain orography effects according to NA.B.4</v>
      </c>
      <c r="M49" s="1161"/>
      <c r="N49" s="1162"/>
    </row>
    <row r="50" spans="2:15" ht="15" customHeight="1" x14ac:dyDescent="0.2">
      <c r="B50" s="593"/>
      <c r="C50" s="596"/>
      <c r="D50" s="596"/>
      <c r="E50" s="596"/>
      <c r="F50" s="596"/>
      <c r="G50" s="639"/>
      <c r="I50" s="640" t="str">
        <f>IF($G$10="Deutsch","Turbulenzintensität",IF($G$10="English","Turbulence intensity","Fehler"))</f>
        <v>Turbulence intensity</v>
      </c>
      <c r="J50" s="641">
        <f>VLOOKUP(C27,B59:E62,4,FALSE)</f>
        <v>0.20355766660807539</v>
      </c>
      <c r="K50" s="596"/>
      <c r="L50" s="596"/>
      <c r="M50" s="596"/>
      <c r="N50" s="639"/>
      <c r="O50" s="642" t="str">
        <f>IF($G$10="Deutsch","am Fuß des Berges oder der Böschung",IF($G$10="English","at the base of the hill or escarpment","Fehler"))</f>
        <v>at the base of the hill or escarpment</v>
      </c>
    </row>
    <row r="51" spans="2:15" ht="18" customHeight="1" x14ac:dyDescent="0.2">
      <c r="B51" s="643" t="str">
        <f>IF($G$10="Deutsch","Mittl. Windgeschwindigkeit",IF($G$10="English","Mean wind velocity","Fehler"))</f>
        <v>Mean wind velocity</v>
      </c>
      <c r="C51" s="644">
        <f>VLOOKUP(C27,B59:F62,5,FALSE)</f>
        <v>22.394014498414357</v>
      </c>
      <c r="D51" s="588" t="s">
        <v>14</v>
      </c>
      <c r="E51" s="588"/>
      <c r="F51" s="645">
        <f>C51/0.44704</f>
        <v>50.093983756295536</v>
      </c>
      <c r="G51" s="646" t="s">
        <v>69</v>
      </c>
      <c r="I51" s="643" t="str">
        <f>IF($G$10="Deutsch","Mittl. Windgeschwindigkeit",IF($G$10="English","Mean wind velocity","Fehler"))</f>
        <v>Mean wind velocity</v>
      </c>
      <c r="J51" s="644">
        <f>C36*C51</f>
        <v>22.394014498414357</v>
      </c>
      <c r="K51" s="588" t="s">
        <v>14</v>
      </c>
      <c r="L51" s="588"/>
      <c r="M51" s="645">
        <f>J51/0.44704</f>
        <v>50.093983756295536</v>
      </c>
      <c r="N51" s="646" t="s">
        <v>69</v>
      </c>
      <c r="O51" s="642" t="str">
        <f>IF($G$10="Deutsch","am Fuß des Berges oder der Böschung",IF($G$10="English","at the base of the hill or escarpment","Fehler"))</f>
        <v>at the base of the hill or escarpment</v>
      </c>
    </row>
    <row r="52" spans="2:15" ht="15" customHeight="1" x14ac:dyDescent="0.2">
      <c r="B52" s="643" t="str">
        <f>IF($G$10="Deutsch","Mittlerer Staudruck",IF($G$10="English","Mean velocity pressure","Fehler"))</f>
        <v>Mean velocity pressure</v>
      </c>
      <c r="C52" s="647">
        <f>1.25/2*C51^2/1000</f>
        <v>0.31343242834699525</v>
      </c>
      <c r="D52" s="588" t="s">
        <v>3</v>
      </c>
      <c r="E52" s="588"/>
      <c r="F52" s="645">
        <f>C52/47.88*1000</f>
        <v>6.5462077766707445</v>
      </c>
      <c r="G52" s="648" t="s">
        <v>70</v>
      </c>
      <c r="I52" s="643" t="str">
        <f>IF($G$10="Deutsch","Mittlerer Staudruck",IF($G$10="English","Mean velocity pressure","Fehler"))</f>
        <v>Mean velocity pressure</v>
      </c>
      <c r="J52" s="647">
        <f>1.25/2*J51^2/1000</f>
        <v>0.31343242834699525</v>
      </c>
      <c r="K52" s="588" t="s">
        <v>3</v>
      </c>
      <c r="L52" s="588"/>
      <c r="M52" s="645">
        <f>J52/47.88*1000</f>
        <v>6.5462077766707445</v>
      </c>
      <c r="N52" s="648" t="s">
        <v>70</v>
      </c>
      <c r="O52" s="642" t="str">
        <f>IF($G$10="Deutsch","am Fuß des Berges oder der Böschung",IF($G$10="English","at the base of the hill or escarpment","Fehler"))</f>
        <v>at the base of the hill or escarpment</v>
      </c>
    </row>
    <row r="53" spans="2:15" ht="18.75" customHeight="1" thickBot="1" x14ac:dyDescent="0.25">
      <c r="B53" s="649" t="str">
        <f>IF($G$10="Deutsch","Böenstaudruck",IF($G$10="English","Peak velocity pressure","Fehler"))</f>
        <v>Peak velocity pressure</v>
      </c>
      <c r="C53" s="650">
        <f>VLOOKUP(C27,B59:G62,6,FALSE)</f>
        <v>0.68128708098154223</v>
      </c>
      <c r="D53" s="604" t="s">
        <v>3</v>
      </c>
      <c r="E53" s="604"/>
      <c r="F53" s="651">
        <f>C53/47.88*1000</f>
        <v>14.229053487500883</v>
      </c>
      <c r="G53" s="791" t="s">
        <v>70</v>
      </c>
      <c r="I53" s="649" t="str">
        <f>IF($G$10="Deutsch","Böenstaudruck",IF($G$10="English","Peak velocity pressure","Fehler"))</f>
        <v>Peak velocity pressure</v>
      </c>
      <c r="J53" s="650">
        <f>(1+6*J50)*J52</f>
        <v>0.69624187086869804</v>
      </c>
      <c r="K53" s="604" t="s">
        <v>3</v>
      </c>
      <c r="L53" s="604"/>
      <c r="M53" s="651">
        <f>J53/47.88*1000</f>
        <v>14.541392457575146</v>
      </c>
      <c r="N53" s="791" t="s">
        <v>70</v>
      </c>
      <c r="O53" s="642" t="str">
        <f>IF($G$10="Deutsch","am Fuß des Berges oder der Böschung",IF($G$10="English","at the base of the hill or escarpment","Fehler"))</f>
        <v>at the base of the hill or escarpment</v>
      </c>
    </row>
    <row r="56" spans="2:15" x14ac:dyDescent="0.2">
      <c r="G56" s="652"/>
      <c r="H56" s="652"/>
      <c r="J56" s="652"/>
      <c r="K56" s="589"/>
      <c r="L56" s="653"/>
      <c r="M56" s="589"/>
      <c r="N56" s="589"/>
      <c r="O56" s="653"/>
    </row>
    <row r="57" spans="2:15" ht="15.75" x14ac:dyDescent="0.25">
      <c r="B57" s="654" t="str">
        <f>IF($G$10="Deutsch","National festgelegte Parameter:",IF($G$10="English","Nationally determined parameters:","Fehler"))</f>
        <v>Nationally determined parameters:</v>
      </c>
      <c r="K57" s="589"/>
      <c r="L57" s="655"/>
      <c r="M57" s="589"/>
      <c r="N57" s="589"/>
      <c r="O57" s="589"/>
    </row>
    <row r="58" spans="2:15" ht="27" customHeight="1" x14ac:dyDescent="0.2">
      <c r="B58" s="656" t="str">
        <f>IF($G$10="Deutsch","Geländekategorie",IF($G$10="English","Terrain category","Fehler"))</f>
        <v>Terrain category</v>
      </c>
      <c r="C58" s="657" t="s">
        <v>71</v>
      </c>
      <c r="D58" s="657" t="s">
        <v>18</v>
      </c>
      <c r="E58" s="657" t="s">
        <v>72</v>
      </c>
      <c r="F58" s="657" t="s">
        <v>73</v>
      </c>
      <c r="G58" s="657" t="s">
        <v>74</v>
      </c>
      <c r="H58" s="1164" t="str">
        <f>IF($G$10="Deutsch","Bezeichnung",IF($G$10="English","Designation","Fehler"))</f>
        <v>Designation</v>
      </c>
      <c r="I58" s="1165"/>
      <c r="J58" s="1165"/>
      <c r="K58" s="1165"/>
      <c r="L58" s="1165"/>
      <c r="M58" s="1165"/>
      <c r="N58" s="1165"/>
      <c r="O58" s="1166"/>
    </row>
    <row r="59" spans="2:15" ht="25.5" customHeight="1" x14ac:dyDescent="0.2">
      <c r="B59" s="657" t="s">
        <v>52</v>
      </c>
      <c r="C59" s="658">
        <v>0.01</v>
      </c>
      <c r="D59" s="658">
        <v>2</v>
      </c>
      <c r="E59" s="659">
        <f>IF(C41&lt;D59,0.17,0.14*(C41/10)^-0.12)</f>
        <v>0.1474274768571974</v>
      </c>
      <c r="F59" s="660">
        <f>IF(C41&lt;D59,0.97*C45,1.18*C45*(C41/10)^0.12)</f>
        <v>26.884219220433803</v>
      </c>
      <c r="G59" s="661">
        <f>IF(C41&lt;D59,1.9*$C$46,2.6*$C$46*($C$41/10)^0.19)</f>
        <v>0.86186359992536954</v>
      </c>
      <c r="H59" s="1167" t="str">
        <f>IF($G$10="Deutsch","Offene See; Seen mit mind. 5km freier Fläche in Windrichtung; glattes, flaches Land ohne Hindernisse",IF($G$10="English","Open sea, lakes with at least 5km of open area in wind direction; flat area with negligible vegetation and without obstacles","Fehler"))</f>
        <v>Open sea, lakes with at least 5km of open area in wind direction; flat area with negligible vegetation and without obstacles</v>
      </c>
      <c r="I59" s="1168"/>
      <c r="J59" s="1168"/>
      <c r="K59" s="1168"/>
      <c r="L59" s="1168"/>
      <c r="M59" s="1168"/>
      <c r="N59" s="1168"/>
      <c r="O59" s="1169"/>
    </row>
    <row r="60" spans="2:15" ht="25.5" customHeight="1" x14ac:dyDescent="0.2">
      <c r="B60" s="657" t="s">
        <v>53</v>
      </c>
      <c r="C60" s="658">
        <v>0.05</v>
      </c>
      <c r="D60" s="658">
        <v>4</v>
      </c>
      <c r="E60" s="659">
        <f>IF(C41&lt;D60,0.22,0.19*(C41/10)^-0.16)</f>
        <v>0.20355766660807539</v>
      </c>
      <c r="F60" s="660">
        <f>IF(C41&lt;D60,0.86*C45,1*C45*(C41/10)^0.16)</f>
        <v>22.394014498414357</v>
      </c>
      <c r="G60" s="661">
        <f>IF(C41&lt;D60,1.7*$C$46,2.1*$C$46*($C$41/10)^0.24)</f>
        <v>0.68128708098154223</v>
      </c>
      <c r="H60" s="1167" t="str">
        <f>IF($G$10="Deutsch","Gelände mit Hecken, einzelnen Gehöften, Häusern oder Bäumen, z. B. landwirtschaftliches Gebiet; Wälder",IF($G$10="English","Terrain with isolated obstacles (hedges, farm buildings, buildings or trees) such as agricultural areas; forests","Fehler"))</f>
        <v>Terrain with isolated obstacles (hedges, farm buildings, buildings or trees) such as agricultural areas; forests</v>
      </c>
      <c r="I60" s="1170"/>
      <c r="J60" s="1170"/>
      <c r="K60" s="1170"/>
      <c r="L60" s="1170"/>
      <c r="M60" s="1170"/>
      <c r="N60" s="1170"/>
      <c r="O60" s="1171"/>
    </row>
    <row r="61" spans="2:15" x14ac:dyDescent="0.2">
      <c r="B61" s="662" t="s">
        <v>54</v>
      </c>
      <c r="C61" s="663">
        <v>0.3</v>
      </c>
      <c r="D61" s="664">
        <v>8</v>
      </c>
      <c r="E61" s="665">
        <f>IF(C41&lt;D61,0.29,0.28*(C41/10)^-0.22)</f>
        <v>0.28999999999999998</v>
      </c>
      <c r="F61" s="663">
        <f>IF(C41&lt;D61,0.73*C45,0.77*C45*(C41/10)^0.22)</f>
        <v>17.514134401146233</v>
      </c>
      <c r="G61" s="666">
        <f>IF(C41&lt;D61,1.5*$C$46,1.6*$C$46*($C$41/10)^0.31)</f>
        <v>0.53963848251562307</v>
      </c>
      <c r="H61" s="1172" t="str">
        <f>IF($G$10="Deutsch","Vorstädte, Industrie- oder Gewerbegebiete",IF($G$10="English","Suburban terrain or industrial area","Fehler"))</f>
        <v>Suburban terrain or industrial area</v>
      </c>
      <c r="I61" s="1158"/>
      <c r="J61" s="1158"/>
      <c r="K61" s="1158"/>
      <c r="L61" s="1158"/>
      <c r="M61" s="1158"/>
      <c r="N61" s="1158"/>
      <c r="O61" s="1159"/>
    </row>
    <row r="62" spans="2:15" x14ac:dyDescent="0.2">
      <c r="B62" s="662" t="s">
        <v>55</v>
      </c>
      <c r="C62" s="663">
        <v>1.05</v>
      </c>
      <c r="D62" s="664">
        <v>16</v>
      </c>
      <c r="E62" s="665">
        <f>IF(C41&lt;D62,0.37,0.43*(C41/10)^-0.3)</f>
        <v>0.37</v>
      </c>
      <c r="F62" s="663">
        <f>IF(C41&lt;D62,0.64*C45,0.56*C45*(C41/10)^0.3)</f>
        <v>15.3548575571693</v>
      </c>
      <c r="G62" s="666">
        <f>IF(C41&lt;D62,1.3*$C$46,1.1*$C$46*($C$41/10)^0.4)</f>
        <v>0.46768668484687337</v>
      </c>
      <c r="H62" s="1157" t="str">
        <f>IF($G$10="Deutsch","Stadtgebiete, bei denen mind. 15% der Fläche mit Gebäuden bebaut sind, deren mittlere Höhe 15m überschreitet.",IF($G$10="English","Area in which at least 15% of the surface is covered with buildings and their average height exceeds 15 m.","Fehler"))</f>
        <v>Area in which at least 15% of the surface is covered with buildings and their average height exceeds 15 m.</v>
      </c>
      <c r="I62" s="1158"/>
      <c r="J62" s="1158"/>
      <c r="K62" s="1158"/>
      <c r="L62" s="1158"/>
      <c r="M62" s="1158"/>
      <c r="N62" s="1158"/>
      <c r="O62" s="1159"/>
    </row>
    <row r="63" spans="2:15" x14ac:dyDescent="0.2">
      <c r="B63" s="667"/>
      <c r="C63" s="668"/>
      <c r="D63" s="668"/>
      <c r="F63" s="655"/>
      <c r="G63" s="589"/>
      <c r="H63" s="628"/>
    </row>
    <row r="64" spans="2:15" ht="14.25" x14ac:dyDescent="0.25">
      <c r="B64" s="662" t="str">
        <f>IF($G$10="Deutsch","Windzone",IF($G$10="English","Wind zone","Fehler"))</f>
        <v>Wind zone</v>
      </c>
      <c r="C64" s="662" t="s">
        <v>75</v>
      </c>
      <c r="D64" s="662" t="s">
        <v>76</v>
      </c>
      <c r="E64" s="662" t="s">
        <v>77</v>
      </c>
      <c r="H64" s="669"/>
      <c r="I64" s="670"/>
      <c r="J64" s="670"/>
    </row>
    <row r="65" spans="2:10" x14ac:dyDescent="0.2">
      <c r="B65" s="671">
        <v>1</v>
      </c>
      <c r="C65" s="672">
        <v>22.5</v>
      </c>
      <c r="D65" s="673">
        <f>1.25/2*E65^2/1000</f>
        <v>0.31640625</v>
      </c>
      <c r="E65" s="673">
        <f>IF(C41="","",C65*SQRT(IF($C$30&gt;800,0.2+$C$30/1000,1)))</f>
        <v>22.5</v>
      </c>
      <c r="G65" s="674"/>
      <c r="I65" s="670"/>
      <c r="J65" s="670"/>
    </row>
    <row r="66" spans="2:10" x14ac:dyDescent="0.2">
      <c r="B66" s="671">
        <v>2</v>
      </c>
      <c r="C66" s="672">
        <v>25</v>
      </c>
      <c r="D66" s="673">
        <f>1.25/2*E66^2/1000</f>
        <v>0.390625</v>
      </c>
      <c r="E66" s="673">
        <f>IF(C41="","",C66*SQRT(IF($C$30&gt;800,0.2+$C$30/1000,1)))</f>
        <v>25</v>
      </c>
      <c r="G66" s="674"/>
      <c r="I66" s="670"/>
      <c r="J66" s="670"/>
    </row>
    <row r="67" spans="2:10" x14ac:dyDescent="0.2">
      <c r="B67" s="671">
        <v>3</v>
      </c>
      <c r="C67" s="672">
        <v>27.5</v>
      </c>
      <c r="D67" s="673">
        <f>1.25/2*E67^2/1000</f>
        <v>0.47265625</v>
      </c>
      <c r="E67" s="673">
        <f>IF(C41="","",C67*SQRT(IF($C$30&gt;800,0.2+$C$30/1000,1)))</f>
        <v>27.5</v>
      </c>
      <c r="G67" s="674"/>
      <c r="I67" s="670"/>
      <c r="J67" s="670"/>
    </row>
    <row r="68" spans="2:10" x14ac:dyDescent="0.2">
      <c r="B68" s="671">
        <v>4</v>
      </c>
      <c r="C68" s="672">
        <v>30</v>
      </c>
      <c r="D68" s="673">
        <f>1.25/2*E68^2/1000</f>
        <v>0.5625</v>
      </c>
      <c r="E68" s="673">
        <f>IF(C41="","",C68*SQRT(IF($C$30&gt;800,0.2+$C$30/1000,1)))</f>
        <v>30</v>
      </c>
      <c r="H68" s="675"/>
      <c r="I68" s="670"/>
      <c r="J68" s="670"/>
    </row>
    <row r="69" spans="2:10" x14ac:dyDescent="0.2">
      <c r="B69" s="675"/>
      <c r="C69" s="676"/>
      <c r="D69" s="589"/>
      <c r="E69" s="589"/>
      <c r="F69" s="676"/>
      <c r="G69" s="589"/>
      <c r="H69" s="675"/>
      <c r="I69" s="677"/>
      <c r="J69" s="670"/>
    </row>
    <row r="70" spans="2:10" x14ac:dyDescent="0.2">
      <c r="B70" s="675"/>
      <c r="C70" s="676"/>
      <c r="D70" s="589"/>
      <c r="E70" s="589"/>
      <c r="F70" s="676"/>
      <c r="G70" s="589"/>
      <c r="H70" s="675"/>
      <c r="I70" s="677"/>
      <c r="J70" s="670"/>
    </row>
    <row r="71" spans="2:10" x14ac:dyDescent="0.2">
      <c r="B71" s="627"/>
      <c r="C71" s="627"/>
      <c r="D71" s="678"/>
      <c r="E71" s="627"/>
      <c r="F71" s="638"/>
      <c r="G71" s="638"/>
      <c r="H71" s="675"/>
      <c r="I71" s="670"/>
      <c r="J71" s="670"/>
    </row>
    <row r="72" spans="2:10" x14ac:dyDescent="0.2">
      <c r="B72" s="627"/>
      <c r="D72" s="676"/>
      <c r="F72" s="589"/>
      <c r="G72" s="589"/>
      <c r="H72" s="679"/>
      <c r="I72" s="670"/>
      <c r="J72" s="670"/>
    </row>
    <row r="73" spans="2:10" x14ac:dyDescent="0.2">
      <c r="B73" s="627"/>
      <c r="D73" s="676"/>
      <c r="F73" s="589"/>
      <c r="G73" s="589"/>
      <c r="H73" s="679"/>
      <c r="I73" s="670"/>
      <c r="J73" s="670"/>
    </row>
    <row r="74" spans="2:10" x14ac:dyDescent="0.2">
      <c r="B74" s="680"/>
      <c r="H74" s="679"/>
    </row>
    <row r="79" spans="2:10" x14ac:dyDescent="0.2">
      <c r="E79" s="627"/>
    </row>
  </sheetData>
  <mergeCells count="33">
    <mergeCell ref="B5:N5"/>
    <mergeCell ref="C10:E10"/>
    <mergeCell ref="I10:L10"/>
    <mergeCell ref="C11:D11"/>
    <mergeCell ref="F11:G11"/>
    <mergeCell ref="I11:I12"/>
    <mergeCell ref="J11:J12"/>
    <mergeCell ref="K11:K12"/>
    <mergeCell ref="L11:L13"/>
    <mergeCell ref="C12:D12"/>
    <mergeCell ref="B31:B34"/>
    <mergeCell ref="C31:C34"/>
    <mergeCell ref="D31:D34"/>
    <mergeCell ref="E31:E34"/>
    <mergeCell ref="F31:F34"/>
    <mergeCell ref="H36:N36"/>
    <mergeCell ref="F12:G12"/>
    <mergeCell ref="C13:D13"/>
    <mergeCell ref="F13:G13"/>
    <mergeCell ref="H30:N30"/>
    <mergeCell ref="G31:G34"/>
    <mergeCell ref="H31:N31"/>
    <mergeCell ref="H32:N32"/>
    <mergeCell ref="H33:N33"/>
    <mergeCell ref="H34:N34"/>
    <mergeCell ref="H35:N35"/>
    <mergeCell ref="H62:O62"/>
    <mergeCell ref="B49:G49"/>
    <mergeCell ref="I49:N49"/>
    <mergeCell ref="H58:O58"/>
    <mergeCell ref="H59:O59"/>
    <mergeCell ref="H60:O60"/>
    <mergeCell ref="H61:O61"/>
  </mergeCells>
  <dataValidations count="3">
    <dataValidation type="list" allowBlank="1" showInputMessage="1" showErrorMessage="1" sqref="C29" xr:uid="{00000000-0002-0000-0300-000000000000}">
      <formula1>$B$65:$B$68</formula1>
    </dataValidation>
    <dataValidation type="list" allowBlank="1" showInputMessage="1" showErrorMessage="1" sqref="C27" xr:uid="{00000000-0002-0000-0300-000001000000}">
      <formula1>$B$59:$B$62</formula1>
    </dataValidation>
    <dataValidation type="list" allowBlank="1" showInputMessage="1" showErrorMessage="1" sqref="G10" xr:uid="{00000000-0002-0000-0300-000002000000}">
      <formula1>$P$3:$P$6</formula1>
    </dataValidation>
  </dataValidations>
  <pageMargins left="0.75" right="0.39" top="0.47" bottom="0.77" header="0.4921259845" footer="0.4921259845"/>
  <pageSetup paperSize="9" scale="47" orientation="landscape" r:id="rId1"/>
  <headerFooter alignWithMargins="0"/>
  <drawing r:id="rId2"/>
  <legacyDrawing r:id="rId3"/>
  <oleObjects>
    <mc:AlternateContent xmlns:mc="http://schemas.openxmlformats.org/markup-compatibility/2006">
      <mc:Choice Requires="x14">
        <oleObject progId="Equation.DSMT4" shapeId="34817" r:id="rId4">
          <objectPr defaultSize="0" autoPict="0" r:id="rId5">
            <anchor moveWithCells="1">
              <from>
                <xdr:col>2</xdr:col>
                <xdr:colOff>0</xdr:colOff>
                <xdr:row>20</xdr:row>
                <xdr:rowOff>0</xdr:rowOff>
              </from>
              <to>
                <xdr:col>2</xdr:col>
                <xdr:colOff>381000</xdr:colOff>
                <xdr:row>21</xdr:row>
                <xdr:rowOff>19050</xdr:rowOff>
              </to>
            </anchor>
          </objectPr>
        </oleObject>
      </mc:Choice>
      <mc:Fallback>
        <oleObject progId="Equation.DSMT4" shapeId="34817" r:id="rId4"/>
      </mc:Fallback>
    </mc:AlternateContent>
    <mc:AlternateContent xmlns:mc="http://schemas.openxmlformats.org/markup-compatibility/2006">
      <mc:Choice Requires="x14">
        <oleObject progId="Equation.DSMT4" shapeId="34818" r:id="rId6">
          <objectPr defaultSize="0" autoPict="0" r:id="rId7">
            <anchor moveWithCells="1">
              <from>
                <xdr:col>1</xdr:col>
                <xdr:colOff>1514475</xdr:colOff>
                <xdr:row>35</xdr:row>
                <xdr:rowOff>47625</xdr:rowOff>
              </from>
              <to>
                <xdr:col>2</xdr:col>
                <xdr:colOff>371475</xdr:colOff>
                <xdr:row>35</xdr:row>
                <xdr:rowOff>276225</xdr:rowOff>
              </to>
            </anchor>
          </objectPr>
        </oleObject>
      </mc:Choice>
      <mc:Fallback>
        <oleObject progId="Equation.DSMT4" shapeId="34818" r:id="rId6"/>
      </mc:Fallback>
    </mc:AlternateContent>
    <mc:AlternateContent xmlns:mc="http://schemas.openxmlformats.org/markup-compatibility/2006">
      <mc:Choice Requires="x14">
        <oleObject progId="Equation.DSMT4" shapeId="34819" r:id="rId8">
          <objectPr defaultSize="0" autoPict="0" r:id="rId9">
            <anchor moveWithCells="1">
              <from>
                <xdr:col>2</xdr:col>
                <xdr:colOff>38100</xdr:colOff>
                <xdr:row>40</xdr:row>
                <xdr:rowOff>38100</xdr:rowOff>
              </from>
              <to>
                <xdr:col>2</xdr:col>
                <xdr:colOff>152400</xdr:colOff>
                <xdr:row>41</xdr:row>
                <xdr:rowOff>0</xdr:rowOff>
              </to>
            </anchor>
          </objectPr>
        </oleObject>
      </mc:Choice>
      <mc:Fallback>
        <oleObject progId="Equation.DSMT4" shapeId="34819" r:id="rId8"/>
      </mc:Fallback>
    </mc:AlternateContent>
    <mc:AlternateContent xmlns:mc="http://schemas.openxmlformats.org/markup-compatibility/2006">
      <mc:Choice Requires="x14">
        <oleObject progId="Equation.DSMT4" shapeId="34820" r:id="rId10">
          <objectPr defaultSize="0" autoPict="0" r:id="rId9">
            <anchor moveWithCells="1">
              <from>
                <xdr:col>2</xdr:col>
                <xdr:colOff>28575</xdr:colOff>
                <xdr:row>31</xdr:row>
                <xdr:rowOff>276225</xdr:rowOff>
              </from>
              <to>
                <xdr:col>2</xdr:col>
                <xdr:colOff>142875</xdr:colOff>
                <xdr:row>32</xdr:row>
                <xdr:rowOff>76200</xdr:rowOff>
              </to>
            </anchor>
          </objectPr>
        </oleObject>
      </mc:Choice>
      <mc:Fallback>
        <oleObject progId="Equation.DSMT4" shapeId="34820" r:id="rId10"/>
      </mc:Fallback>
    </mc:AlternateContent>
    <mc:AlternateContent xmlns:mc="http://schemas.openxmlformats.org/markup-compatibility/2006">
      <mc:Choice Requires="x14">
        <oleObject progId="Equation.DSMT4" shapeId="34821" r:id="rId11">
          <objectPr defaultSize="0" autoPict="0" r:id="rId12">
            <anchor moveWithCells="1">
              <from>
                <xdr:col>2</xdr:col>
                <xdr:colOff>28575</xdr:colOff>
                <xdr:row>40</xdr:row>
                <xdr:rowOff>152400</xdr:rowOff>
              </from>
              <to>
                <xdr:col>2</xdr:col>
                <xdr:colOff>190500</xdr:colOff>
                <xdr:row>42</xdr:row>
                <xdr:rowOff>19050</xdr:rowOff>
              </to>
            </anchor>
          </objectPr>
        </oleObject>
      </mc:Choice>
      <mc:Fallback>
        <oleObject progId="Equation.DSMT4" shapeId="34821" r:id="rId11"/>
      </mc:Fallback>
    </mc:AlternateContent>
    <mc:AlternateContent xmlns:mc="http://schemas.openxmlformats.org/markup-compatibility/2006">
      <mc:Choice Requires="x14">
        <oleObject progId="Equation.DSMT4" shapeId="34822" r:id="rId13">
          <objectPr defaultSize="0" autoPict="0" r:id="rId14">
            <anchor moveWithCells="1">
              <from>
                <xdr:col>2</xdr:col>
                <xdr:colOff>28575</xdr:colOff>
                <xdr:row>42</xdr:row>
                <xdr:rowOff>19050</xdr:rowOff>
              </from>
              <to>
                <xdr:col>2</xdr:col>
                <xdr:colOff>285750</xdr:colOff>
                <xdr:row>43</xdr:row>
                <xdr:rowOff>0</xdr:rowOff>
              </to>
            </anchor>
          </objectPr>
        </oleObject>
      </mc:Choice>
      <mc:Fallback>
        <oleObject progId="Equation.DSMT4" shapeId="34822" r:id="rId13"/>
      </mc:Fallback>
    </mc:AlternateContent>
    <mc:AlternateContent xmlns:mc="http://schemas.openxmlformats.org/markup-compatibility/2006">
      <mc:Choice Requires="x14">
        <oleObject progId="Equation.DSMT4" shapeId="34823" r:id="rId15">
          <objectPr defaultSize="0" autoPict="0" r:id="rId16">
            <anchor moveWithCells="1">
              <from>
                <xdr:col>2</xdr:col>
                <xdr:colOff>19050</xdr:colOff>
                <xdr:row>43</xdr:row>
                <xdr:rowOff>9525</xdr:rowOff>
              </from>
              <to>
                <xdr:col>2</xdr:col>
                <xdr:colOff>295275</xdr:colOff>
                <xdr:row>44</xdr:row>
                <xdr:rowOff>0</xdr:rowOff>
              </to>
            </anchor>
          </objectPr>
        </oleObject>
      </mc:Choice>
      <mc:Fallback>
        <oleObject progId="Equation.DSMT4" shapeId="34823" r:id="rId15"/>
      </mc:Fallback>
    </mc:AlternateContent>
    <mc:AlternateContent xmlns:mc="http://schemas.openxmlformats.org/markup-compatibility/2006">
      <mc:Choice Requires="x14">
        <oleObject progId="Equation.DSMT4" shapeId="34824" r:id="rId17">
          <objectPr defaultSize="0" autoPict="0" r:id="rId18">
            <anchor moveWithCells="1">
              <from>
                <xdr:col>2</xdr:col>
                <xdr:colOff>28575</xdr:colOff>
                <xdr:row>43</xdr:row>
                <xdr:rowOff>219075</xdr:rowOff>
              </from>
              <to>
                <xdr:col>2</xdr:col>
                <xdr:colOff>190500</xdr:colOff>
                <xdr:row>45</xdr:row>
                <xdr:rowOff>57150</xdr:rowOff>
              </to>
            </anchor>
          </objectPr>
        </oleObject>
      </mc:Choice>
      <mc:Fallback>
        <oleObject progId="Equation.DSMT4" shapeId="34824" r:id="rId17"/>
      </mc:Fallback>
    </mc:AlternateContent>
    <mc:AlternateContent xmlns:mc="http://schemas.openxmlformats.org/markup-compatibility/2006">
      <mc:Choice Requires="x14">
        <oleObject progId="Equation.DSMT4" shapeId="34825" r:id="rId19">
          <objectPr defaultSize="0" autoPict="0" r:id="rId20">
            <anchor moveWithCells="1">
              <from>
                <xdr:col>2</xdr:col>
                <xdr:colOff>19050</xdr:colOff>
                <xdr:row>45</xdr:row>
                <xdr:rowOff>57150</xdr:rowOff>
              </from>
              <to>
                <xdr:col>2</xdr:col>
                <xdr:colOff>171450</xdr:colOff>
                <xdr:row>46</xdr:row>
                <xdr:rowOff>0</xdr:rowOff>
              </to>
            </anchor>
          </objectPr>
        </oleObject>
      </mc:Choice>
      <mc:Fallback>
        <oleObject progId="Equation.DSMT4" shapeId="34825" r:id="rId19"/>
      </mc:Fallback>
    </mc:AlternateContent>
    <mc:AlternateContent xmlns:mc="http://schemas.openxmlformats.org/markup-compatibility/2006">
      <mc:Choice Requires="x14">
        <oleObject progId="Equation.DSMT4" shapeId="34826" r:id="rId21">
          <objectPr defaultSize="0" autoPict="0" r:id="rId22">
            <anchor moveWithCells="1">
              <from>
                <xdr:col>2</xdr:col>
                <xdr:colOff>0</xdr:colOff>
                <xdr:row>21</xdr:row>
                <xdr:rowOff>0</xdr:rowOff>
              </from>
              <to>
                <xdr:col>2</xdr:col>
                <xdr:colOff>409575</xdr:colOff>
                <xdr:row>22</xdr:row>
                <xdr:rowOff>9525</xdr:rowOff>
              </to>
            </anchor>
          </objectPr>
        </oleObject>
      </mc:Choice>
      <mc:Fallback>
        <oleObject progId="Equation.DSMT4" shapeId="34826" r:id="rId21"/>
      </mc:Fallback>
    </mc:AlternateContent>
    <mc:AlternateContent xmlns:mc="http://schemas.openxmlformats.org/markup-compatibility/2006">
      <mc:Choice Requires="x14">
        <oleObject progId="Equation.DSMT4" shapeId="34827" r:id="rId23">
          <objectPr defaultSize="0" autoPict="0" r:id="rId24">
            <anchor moveWithCells="1">
              <from>
                <xdr:col>2</xdr:col>
                <xdr:colOff>19050</xdr:colOff>
                <xdr:row>50</xdr:row>
                <xdr:rowOff>0</xdr:rowOff>
              </from>
              <to>
                <xdr:col>2</xdr:col>
                <xdr:colOff>428625</xdr:colOff>
                <xdr:row>51</xdr:row>
                <xdr:rowOff>0</xdr:rowOff>
              </to>
            </anchor>
          </objectPr>
        </oleObject>
      </mc:Choice>
      <mc:Fallback>
        <oleObject progId="Equation.DSMT4" shapeId="34827" r:id="rId23"/>
      </mc:Fallback>
    </mc:AlternateContent>
    <mc:AlternateContent xmlns:mc="http://schemas.openxmlformats.org/markup-compatibility/2006">
      <mc:Choice Requires="x14">
        <oleObject progId="Equation.DSMT4" shapeId="34828" r:id="rId25">
          <objectPr defaultSize="0" autoPict="0" r:id="rId26">
            <anchor moveWithCells="1">
              <from>
                <xdr:col>2</xdr:col>
                <xdr:colOff>9525</xdr:colOff>
                <xdr:row>50</xdr:row>
                <xdr:rowOff>219075</xdr:rowOff>
              </from>
              <to>
                <xdr:col>2</xdr:col>
                <xdr:colOff>419100</xdr:colOff>
                <xdr:row>52</xdr:row>
                <xdr:rowOff>28575</xdr:rowOff>
              </to>
            </anchor>
          </objectPr>
        </oleObject>
      </mc:Choice>
      <mc:Fallback>
        <oleObject progId="Equation.DSMT4" shapeId="34828" r:id="rId25"/>
      </mc:Fallback>
    </mc:AlternateContent>
    <mc:AlternateContent xmlns:mc="http://schemas.openxmlformats.org/markup-compatibility/2006">
      <mc:Choice Requires="x14">
        <oleObject progId="Equation.DSMT4" shapeId="34829" r:id="rId27">
          <objectPr defaultSize="0" autoPict="0" r:id="rId5">
            <anchor moveWithCells="1">
              <from>
                <xdr:col>2</xdr:col>
                <xdr:colOff>9525</xdr:colOff>
                <xdr:row>52</xdr:row>
                <xdr:rowOff>9525</xdr:rowOff>
              </from>
              <to>
                <xdr:col>2</xdr:col>
                <xdr:colOff>390525</xdr:colOff>
                <xdr:row>53</xdr:row>
                <xdr:rowOff>9525</xdr:rowOff>
              </to>
            </anchor>
          </objectPr>
        </oleObject>
      </mc:Choice>
      <mc:Fallback>
        <oleObject progId="Equation.DSMT4" shapeId="34829" r:id="rId27"/>
      </mc:Fallback>
    </mc:AlternateContent>
    <mc:AlternateContent xmlns:mc="http://schemas.openxmlformats.org/markup-compatibility/2006">
      <mc:Choice Requires="x14">
        <oleObject progId="Equation.DSMT4" shapeId="34830" r:id="rId28">
          <objectPr defaultSize="0" autoPict="0" r:id="rId24">
            <anchor moveWithCells="1">
              <from>
                <xdr:col>9</xdr:col>
                <xdr:colOff>9525</xdr:colOff>
                <xdr:row>50</xdr:row>
                <xdr:rowOff>0</xdr:rowOff>
              </from>
              <to>
                <xdr:col>9</xdr:col>
                <xdr:colOff>419100</xdr:colOff>
                <xdr:row>51</xdr:row>
                <xdr:rowOff>0</xdr:rowOff>
              </to>
            </anchor>
          </objectPr>
        </oleObject>
      </mc:Choice>
      <mc:Fallback>
        <oleObject progId="Equation.DSMT4" shapeId="34830" r:id="rId28"/>
      </mc:Fallback>
    </mc:AlternateContent>
    <mc:AlternateContent xmlns:mc="http://schemas.openxmlformats.org/markup-compatibility/2006">
      <mc:Choice Requires="x14">
        <oleObject progId="Equation.DSMT4" shapeId="34831" r:id="rId29">
          <objectPr defaultSize="0" autoPict="0" r:id="rId26">
            <anchor moveWithCells="1">
              <from>
                <xdr:col>9</xdr:col>
                <xdr:colOff>0</xdr:colOff>
                <xdr:row>50</xdr:row>
                <xdr:rowOff>200025</xdr:rowOff>
              </from>
              <to>
                <xdr:col>9</xdr:col>
                <xdr:colOff>409575</xdr:colOff>
                <xdr:row>52</xdr:row>
                <xdr:rowOff>9525</xdr:rowOff>
              </to>
            </anchor>
          </objectPr>
        </oleObject>
      </mc:Choice>
      <mc:Fallback>
        <oleObject progId="Equation.DSMT4" shapeId="34831" r:id="rId29"/>
      </mc:Fallback>
    </mc:AlternateContent>
    <mc:AlternateContent xmlns:mc="http://schemas.openxmlformats.org/markup-compatibility/2006">
      <mc:Choice Requires="x14">
        <oleObject progId="Equation.DSMT4" shapeId="34832" r:id="rId30">
          <objectPr defaultSize="0" autoPict="0" r:id="rId5">
            <anchor moveWithCells="1">
              <from>
                <xdr:col>9</xdr:col>
                <xdr:colOff>9525</xdr:colOff>
                <xdr:row>52</xdr:row>
                <xdr:rowOff>0</xdr:rowOff>
              </from>
              <to>
                <xdr:col>9</xdr:col>
                <xdr:colOff>390525</xdr:colOff>
                <xdr:row>53</xdr:row>
                <xdr:rowOff>0</xdr:rowOff>
              </to>
            </anchor>
          </objectPr>
        </oleObject>
      </mc:Choice>
      <mc:Fallback>
        <oleObject progId="Equation.DSMT4" shapeId="34832" r:id="rId30"/>
      </mc:Fallback>
    </mc:AlternateContent>
    <mc:AlternateContent xmlns:mc="http://schemas.openxmlformats.org/markup-compatibility/2006">
      <mc:Choice Requires="x14">
        <oleObject progId="Equation.DSMT4" shapeId="34833" r:id="rId31">
          <objectPr defaultSize="0" autoPict="0" r:id="rId32">
            <anchor moveWithCells="1">
              <from>
                <xdr:col>9</xdr:col>
                <xdr:colOff>28575</xdr:colOff>
                <xdr:row>49</xdr:row>
                <xdr:rowOff>0</xdr:rowOff>
              </from>
              <to>
                <xdr:col>9</xdr:col>
                <xdr:colOff>381000</xdr:colOff>
                <xdr:row>50</xdr:row>
                <xdr:rowOff>38100</xdr:rowOff>
              </to>
            </anchor>
          </objectPr>
        </oleObject>
      </mc:Choice>
      <mc:Fallback>
        <oleObject progId="Equation.DSMT4" shapeId="34833" r:id="rId31"/>
      </mc:Fallback>
    </mc:AlternateContent>
    <mc:AlternateContent xmlns:mc="http://schemas.openxmlformats.org/markup-compatibility/2006">
      <mc:Choice Requires="x14">
        <oleObject progId="Equation.DSMT4" shapeId="34834" r:id="rId33">
          <objectPr defaultSize="0" autoPict="0" r:id="rId5">
            <anchor moveWithCells="1">
              <from>
                <xdr:col>11</xdr:col>
                <xdr:colOff>0</xdr:colOff>
                <xdr:row>20</xdr:row>
                <xdr:rowOff>0</xdr:rowOff>
              </from>
              <to>
                <xdr:col>11</xdr:col>
                <xdr:colOff>381000</xdr:colOff>
                <xdr:row>21</xdr:row>
                <xdr:rowOff>19050</xdr:rowOff>
              </to>
            </anchor>
          </objectPr>
        </oleObject>
      </mc:Choice>
      <mc:Fallback>
        <oleObject progId="Equation.DSMT4" shapeId="34834" r:id="rId33"/>
      </mc:Fallback>
    </mc:AlternateContent>
    <mc:AlternateContent xmlns:mc="http://schemas.openxmlformats.org/markup-compatibility/2006">
      <mc:Choice Requires="x14">
        <oleObject progId="Equation.DSMT4" shapeId="34835" r:id="rId34">
          <objectPr defaultSize="0" autoPict="0" r:id="rId22">
            <anchor moveWithCells="1">
              <from>
                <xdr:col>11</xdr:col>
                <xdr:colOff>0</xdr:colOff>
                <xdr:row>21</xdr:row>
                <xdr:rowOff>0</xdr:rowOff>
              </from>
              <to>
                <xdr:col>11</xdr:col>
                <xdr:colOff>409575</xdr:colOff>
                <xdr:row>22</xdr:row>
                <xdr:rowOff>9525</xdr:rowOff>
              </to>
            </anchor>
          </objectPr>
        </oleObject>
      </mc:Choice>
      <mc:Fallback>
        <oleObject progId="Equation.DSMT4" shapeId="34835" r:id="rId34"/>
      </mc:Fallback>
    </mc:AlternateContent>
    <mc:AlternateContent xmlns:mc="http://schemas.openxmlformats.org/markup-compatibility/2006">
      <mc:Choice Requires="x14">
        <oleObject progId="Equation.DSMT4" shapeId="34836" r:id="rId35">
          <objectPr defaultSize="0" autoPict="0" r:id="rId36">
            <anchor moveWithCells="1">
              <from>
                <xdr:col>4</xdr:col>
                <xdr:colOff>647700</xdr:colOff>
                <xdr:row>20</xdr:row>
                <xdr:rowOff>57150</xdr:rowOff>
              </from>
              <to>
                <xdr:col>4</xdr:col>
                <xdr:colOff>771525</xdr:colOff>
                <xdr:row>20</xdr:row>
                <xdr:rowOff>171450</xdr:rowOff>
              </to>
            </anchor>
          </objectPr>
        </oleObject>
      </mc:Choice>
      <mc:Fallback>
        <oleObject progId="Equation.DSMT4" shapeId="34836" r:id="rId35"/>
      </mc:Fallback>
    </mc:AlternateContent>
    <mc:AlternateContent xmlns:mc="http://schemas.openxmlformats.org/markup-compatibility/2006">
      <mc:Choice Requires="x14">
        <oleObject progId="Equation.DSMT4" shapeId="34837" r:id="rId37">
          <objectPr defaultSize="0" autoPict="0" r:id="rId36">
            <anchor moveWithCells="1">
              <from>
                <xdr:col>4</xdr:col>
                <xdr:colOff>647700</xdr:colOff>
                <xdr:row>21</xdr:row>
                <xdr:rowOff>57150</xdr:rowOff>
              </from>
              <to>
                <xdr:col>4</xdr:col>
                <xdr:colOff>771525</xdr:colOff>
                <xdr:row>21</xdr:row>
                <xdr:rowOff>171450</xdr:rowOff>
              </to>
            </anchor>
          </objectPr>
        </oleObject>
      </mc:Choice>
      <mc:Fallback>
        <oleObject progId="Equation.DSMT4" shapeId="34837" r:id="rId37"/>
      </mc:Fallback>
    </mc:AlternateContent>
    <mc:AlternateContent xmlns:mc="http://schemas.openxmlformats.org/markup-compatibility/2006">
      <mc:Choice Requires="x14">
        <oleObject progId="Equation.DSMT4" shapeId="34838" r:id="rId38">
          <objectPr defaultSize="0" autoPict="0" r:id="rId36">
            <anchor moveWithCells="1">
              <from>
                <xdr:col>7</xdr:col>
                <xdr:colOff>447675</xdr:colOff>
                <xdr:row>20</xdr:row>
                <xdr:rowOff>57150</xdr:rowOff>
              </from>
              <to>
                <xdr:col>7</xdr:col>
                <xdr:colOff>571500</xdr:colOff>
                <xdr:row>20</xdr:row>
                <xdr:rowOff>171450</xdr:rowOff>
              </to>
            </anchor>
          </objectPr>
        </oleObject>
      </mc:Choice>
      <mc:Fallback>
        <oleObject progId="Equation.DSMT4" shapeId="34838" r:id="rId38"/>
      </mc:Fallback>
    </mc:AlternateContent>
    <mc:AlternateContent xmlns:mc="http://schemas.openxmlformats.org/markup-compatibility/2006">
      <mc:Choice Requires="x14">
        <oleObject progId="Equation.DSMT4" shapeId="34839" r:id="rId39">
          <objectPr defaultSize="0" autoPict="0" r:id="rId36">
            <anchor moveWithCells="1">
              <from>
                <xdr:col>7</xdr:col>
                <xdr:colOff>447675</xdr:colOff>
                <xdr:row>21</xdr:row>
                <xdr:rowOff>57150</xdr:rowOff>
              </from>
              <to>
                <xdr:col>7</xdr:col>
                <xdr:colOff>571500</xdr:colOff>
                <xdr:row>21</xdr:row>
                <xdr:rowOff>171450</xdr:rowOff>
              </to>
            </anchor>
          </objectPr>
        </oleObject>
      </mc:Choice>
      <mc:Fallback>
        <oleObject progId="Equation.DSMT4" shapeId="34839" r:id="rId39"/>
      </mc:Fallback>
    </mc:AlternateContent>
    <mc:AlternateContent xmlns:mc="http://schemas.openxmlformats.org/markup-compatibility/2006">
      <mc:Choice Requires="x14">
        <oleObject progId="Equation.DSMT4" shapeId="34840" r:id="rId40">
          <objectPr defaultSize="0" autoPict="0" r:id="rId36">
            <anchor moveWithCells="1">
              <from>
                <xdr:col>10</xdr:col>
                <xdr:colOff>466725</xdr:colOff>
                <xdr:row>20</xdr:row>
                <xdr:rowOff>57150</xdr:rowOff>
              </from>
              <to>
                <xdr:col>10</xdr:col>
                <xdr:colOff>590550</xdr:colOff>
                <xdr:row>20</xdr:row>
                <xdr:rowOff>171450</xdr:rowOff>
              </to>
            </anchor>
          </objectPr>
        </oleObject>
      </mc:Choice>
      <mc:Fallback>
        <oleObject progId="Equation.DSMT4" shapeId="34840" r:id="rId40"/>
      </mc:Fallback>
    </mc:AlternateContent>
    <mc:AlternateContent xmlns:mc="http://schemas.openxmlformats.org/markup-compatibility/2006">
      <mc:Choice Requires="x14">
        <oleObject progId="Equation.DSMT4" shapeId="34841" r:id="rId41">
          <objectPr defaultSize="0" autoPict="0" r:id="rId36">
            <anchor moveWithCells="1">
              <from>
                <xdr:col>10</xdr:col>
                <xdr:colOff>457200</xdr:colOff>
                <xdr:row>21</xdr:row>
                <xdr:rowOff>47625</xdr:rowOff>
              </from>
              <to>
                <xdr:col>10</xdr:col>
                <xdr:colOff>581025</xdr:colOff>
                <xdr:row>21</xdr:row>
                <xdr:rowOff>161925</xdr:rowOff>
              </to>
            </anchor>
          </objectPr>
        </oleObject>
      </mc:Choice>
      <mc:Fallback>
        <oleObject progId="Equation.DSMT4" shapeId="34841" r:id="rId41"/>
      </mc:Fallback>
    </mc:AlternateContent>
    <mc:AlternateContent xmlns:mc="http://schemas.openxmlformats.org/markup-compatibility/2006">
      <mc:Choice Requires="x14">
        <oleObject progId="Equation.DSMT4" shapeId="34842" r:id="rId42">
          <objectPr defaultSize="0" autoPict="0" r:id="rId36">
            <anchor moveWithCells="1">
              <from>
                <xdr:col>4</xdr:col>
                <xdr:colOff>447675</xdr:colOff>
                <xdr:row>29</xdr:row>
                <xdr:rowOff>104775</xdr:rowOff>
              </from>
              <to>
                <xdr:col>4</xdr:col>
                <xdr:colOff>571500</xdr:colOff>
                <xdr:row>29</xdr:row>
                <xdr:rowOff>219075</xdr:rowOff>
              </to>
            </anchor>
          </objectPr>
        </oleObject>
      </mc:Choice>
      <mc:Fallback>
        <oleObject progId="Equation.DSMT4" shapeId="34842" r:id="rId42"/>
      </mc:Fallback>
    </mc:AlternateContent>
    <mc:AlternateContent xmlns:mc="http://schemas.openxmlformats.org/markup-compatibility/2006">
      <mc:Choice Requires="x14">
        <oleObject progId="Equation.DSMT4" shapeId="34843" r:id="rId43">
          <objectPr defaultSize="0" autoPict="0" r:id="rId36">
            <anchor moveWithCells="1">
              <from>
                <xdr:col>4</xdr:col>
                <xdr:colOff>447675</xdr:colOff>
                <xdr:row>31</xdr:row>
                <xdr:rowOff>276225</xdr:rowOff>
              </from>
              <to>
                <xdr:col>4</xdr:col>
                <xdr:colOff>571500</xdr:colOff>
                <xdr:row>32</xdr:row>
                <xdr:rowOff>66675</xdr:rowOff>
              </to>
            </anchor>
          </objectPr>
        </oleObject>
      </mc:Choice>
      <mc:Fallback>
        <oleObject progId="Equation.DSMT4" shapeId="34843" r:id="rId43"/>
      </mc:Fallback>
    </mc:AlternateContent>
    <mc:AlternateContent xmlns:mc="http://schemas.openxmlformats.org/markup-compatibility/2006">
      <mc:Choice Requires="x14">
        <oleObject progId="Equation.DSMT4" shapeId="34844" r:id="rId44">
          <objectPr defaultSize="0" autoPict="0" r:id="rId36">
            <anchor moveWithCells="1">
              <from>
                <xdr:col>4</xdr:col>
                <xdr:colOff>447675</xdr:colOff>
                <xdr:row>40</xdr:row>
                <xdr:rowOff>57150</xdr:rowOff>
              </from>
              <to>
                <xdr:col>4</xdr:col>
                <xdr:colOff>571500</xdr:colOff>
                <xdr:row>41</xdr:row>
                <xdr:rowOff>9525</xdr:rowOff>
              </to>
            </anchor>
          </objectPr>
        </oleObject>
      </mc:Choice>
      <mc:Fallback>
        <oleObject progId="Equation.DSMT4" shapeId="34844" r:id="rId44"/>
      </mc:Fallback>
    </mc:AlternateContent>
    <mc:AlternateContent xmlns:mc="http://schemas.openxmlformats.org/markup-compatibility/2006">
      <mc:Choice Requires="x14">
        <oleObject progId="Equation.DSMT4" shapeId="34845" r:id="rId45">
          <objectPr defaultSize="0" autoPict="0" r:id="rId36">
            <anchor moveWithCells="1">
              <from>
                <xdr:col>4</xdr:col>
                <xdr:colOff>447675</xdr:colOff>
                <xdr:row>41</xdr:row>
                <xdr:rowOff>57150</xdr:rowOff>
              </from>
              <to>
                <xdr:col>4</xdr:col>
                <xdr:colOff>571500</xdr:colOff>
                <xdr:row>41</xdr:row>
                <xdr:rowOff>171450</xdr:rowOff>
              </to>
            </anchor>
          </objectPr>
        </oleObject>
      </mc:Choice>
      <mc:Fallback>
        <oleObject progId="Equation.DSMT4" shapeId="34845" r:id="rId45"/>
      </mc:Fallback>
    </mc:AlternateContent>
    <mc:AlternateContent xmlns:mc="http://schemas.openxmlformats.org/markup-compatibility/2006">
      <mc:Choice Requires="x14">
        <oleObject progId="Equation.DSMT4" shapeId="34846" r:id="rId46">
          <objectPr defaultSize="0" autoPict="0" r:id="rId36">
            <anchor moveWithCells="1">
              <from>
                <xdr:col>4</xdr:col>
                <xdr:colOff>447675</xdr:colOff>
                <xdr:row>42</xdr:row>
                <xdr:rowOff>57150</xdr:rowOff>
              </from>
              <to>
                <xdr:col>4</xdr:col>
                <xdr:colOff>571500</xdr:colOff>
                <xdr:row>42</xdr:row>
                <xdr:rowOff>171450</xdr:rowOff>
              </to>
            </anchor>
          </objectPr>
        </oleObject>
      </mc:Choice>
      <mc:Fallback>
        <oleObject progId="Equation.DSMT4" shapeId="34846" r:id="rId46"/>
      </mc:Fallback>
    </mc:AlternateContent>
    <mc:AlternateContent xmlns:mc="http://schemas.openxmlformats.org/markup-compatibility/2006">
      <mc:Choice Requires="x14">
        <oleObject progId="Equation.DSMT4" shapeId="34847" r:id="rId47">
          <objectPr defaultSize="0" autoPict="0" r:id="rId36">
            <anchor moveWithCells="1">
              <from>
                <xdr:col>4</xdr:col>
                <xdr:colOff>447675</xdr:colOff>
                <xdr:row>43</xdr:row>
                <xdr:rowOff>57150</xdr:rowOff>
              </from>
              <to>
                <xdr:col>4</xdr:col>
                <xdr:colOff>571500</xdr:colOff>
                <xdr:row>43</xdr:row>
                <xdr:rowOff>171450</xdr:rowOff>
              </to>
            </anchor>
          </objectPr>
        </oleObject>
      </mc:Choice>
      <mc:Fallback>
        <oleObject progId="Equation.DSMT4" shapeId="34847" r:id="rId47"/>
      </mc:Fallback>
    </mc:AlternateContent>
    <mc:AlternateContent xmlns:mc="http://schemas.openxmlformats.org/markup-compatibility/2006">
      <mc:Choice Requires="x14">
        <oleObject progId="Equation.DSMT4" shapeId="34848" r:id="rId48">
          <objectPr defaultSize="0" autoPict="0" r:id="rId36">
            <anchor moveWithCells="1">
              <from>
                <xdr:col>4</xdr:col>
                <xdr:colOff>447675</xdr:colOff>
                <xdr:row>44</xdr:row>
                <xdr:rowOff>57150</xdr:rowOff>
              </from>
              <to>
                <xdr:col>4</xdr:col>
                <xdr:colOff>571500</xdr:colOff>
                <xdr:row>45</xdr:row>
                <xdr:rowOff>19050</xdr:rowOff>
              </to>
            </anchor>
          </objectPr>
        </oleObject>
      </mc:Choice>
      <mc:Fallback>
        <oleObject progId="Equation.DSMT4" shapeId="34848" r:id="rId48"/>
      </mc:Fallback>
    </mc:AlternateContent>
    <mc:AlternateContent xmlns:mc="http://schemas.openxmlformats.org/markup-compatibility/2006">
      <mc:Choice Requires="x14">
        <oleObject progId="Equation.DSMT4" shapeId="34849" r:id="rId49">
          <objectPr defaultSize="0" autoPict="0" r:id="rId36">
            <anchor moveWithCells="1">
              <from>
                <xdr:col>4</xdr:col>
                <xdr:colOff>447675</xdr:colOff>
                <xdr:row>50</xdr:row>
                <xdr:rowOff>57150</xdr:rowOff>
              </from>
              <to>
                <xdr:col>4</xdr:col>
                <xdr:colOff>571500</xdr:colOff>
                <xdr:row>50</xdr:row>
                <xdr:rowOff>171450</xdr:rowOff>
              </to>
            </anchor>
          </objectPr>
        </oleObject>
      </mc:Choice>
      <mc:Fallback>
        <oleObject progId="Equation.DSMT4" shapeId="34849" r:id="rId49"/>
      </mc:Fallback>
    </mc:AlternateContent>
    <mc:AlternateContent xmlns:mc="http://schemas.openxmlformats.org/markup-compatibility/2006">
      <mc:Choice Requires="x14">
        <oleObject progId="Equation.DSMT4" shapeId="34850" r:id="rId50">
          <objectPr defaultSize="0" autoPict="0" r:id="rId36">
            <anchor moveWithCells="1">
              <from>
                <xdr:col>4</xdr:col>
                <xdr:colOff>447675</xdr:colOff>
                <xdr:row>51</xdr:row>
                <xdr:rowOff>57150</xdr:rowOff>
              </from>
              <to>
                <xdr:col>4</xdr:col>
                <xdr:colOff>571500</xdr:colOff>
                <xdr:row>51</xdr:row>
                <xdr:rowOff>171450</xdr:rowOff>
              </to>
            </anchor>
          </objectPr>
        </oleObject>
      </mc:Choice>
      <mc:Fallback>
        <oleObject progId="Equation.DSMT4" shapeId="34850" r:id="rId50"/>
      </mc:Fallback>
    </mc:AlternateContent>
    <mc:AlternateContent xmlns:mc="http://schemas.openxmlformats.org/markup-compatibility/2006">
      <mc:Choice Requires="x14">
        <oleObject progId="Equation.DSMT4" shapeId="34851" r:id="rId51">
          <objectPr defaultSize="0" autoPict="0" r:id="rId36">
            <anchor moveWithCells="1">
              <from>
                <xdr:col>4</xdr:col>
                <xdr:colOff>447675</xdr:colOff>
                <xdr:row>52</xdr:row>
                <xdr:rowOff>57150</xdr:rowOff>
              </from>
              <to>
                <xdr:col>4</xdr:col>
                <xdr:colOff>571500</xdr:colOff>
                <xdr:row>52</xdr:row>
                <xdr:rowOff>171450</xdr:rowOff>
              </to>
            </anchor>
          </objectPr>
        </oleObject>
      </mc:Choice>
      <mc:Fallback>
        <oleObject progId="Equation.DSMT4" shapeId="34851" r:id="rId51"/>
      </mc:Fallback>
    </mc:AlternateContent>
    <mc:AlternateContent xmlns:mc="http://schemas.openxmlformats.org/markup-compatibility/2006">
      <mc:Choice Requires="x14">
        <oleObject progId="Equation.DSMT4" shapeId="34852" r:id="rId52">
          <objectPr defaultSize="0" autoPict="0" r:id="rId36">
            <anchor moveWithCells="1">
              <from>
                <xdr:col>11</xdr:col>
                <xdr:colOff>447675</xdr:colOff>
                <xdr:row>50</xdr:row>
                <xdr:rowOff>57150</xdr:rowOff>
              </from>
              <to>
                <xdr:col>11</xdr:col>
                <xdr:colOff>571500</xdr:colOff>
                <xdr:row>50</xdr:row>
                <xdr:rowOff>171450</xdr:rowOff>
              </to>
            </anchor>
          </objectPr>
        </oleObject>
      </mc:Choice>
      <mc:Fallback>
        <oleObject progId="Equation.DSMT4" shapeId="34852" r:id="rId52"/>
      </mc:Fallback>
    </mc:AlternateContent>
    <mc:AlternateContent xmlns:mc="http://schemas.openxmlformats.org/markup-compatibility/2006">
      <mc:Choice Requires="x14">
        <oleObject progId="Equation.DSMT4" shapeId="34853" r:id="rId53">
          <objectPr defaultSize="0" autoPict="0" r:id="rId36">
            <anchor moveWithCells="1">
              <from>
                <xdr:col>11</xdr:col>
                <xdr:colOff>447675</xdr:colOff>
                <xdr:row>51</xdr:row>
                <xdr:rowOff>57150</xdr:rowOff>
              </from>
              <to>
                <xdr:col>11</xdr:col>
                <xdr:colOff>571500</xdr:colOff>
                <xdr:row>51</xdr:row>
                <xdr:rowOff>171450</xdr:rowOff>
              </to>
            </anchor>
          </objectPr>
        </oleObject>
      </mc:Choice>
      <mc:Fallback>
        <oleObject progId="Equation.DSMT4" shapeId="34853" r:id="rId53"/>
      </mc:Fallback>
    </mc:AlternateContent>
    <mc:AlternateContent xmlns:mc="http://schemas.openxmlformats.org/markup-compatibility/2006">
      <mc:Choice Requires="x14">
        <oleObject progId="Equation.DSMT4" shapeId="34854" r:id="rId54">
          <objectPr defaultSize="0" autoPict="0" r:id="rId36">
            <anchor moveWithCells="1">
              <from>
                <xdr:col>11</xdr:col>
                <xdr:colOff>447675</xdr:colOff>
                <xdr:row>52</xdr:row>
                <xdr:rowOff>57150</xdr:rowOff>
              </from>
              <to>
                <xdr:col>11</xdr:col>
                <xdr:colOff>571500</xdr:colOff>
                <xdr:row>52</xdr:row>
                <xdr:rowOff>171450</xdr:rowOff>
              </to>
            </anchor>
          </objectPr>
        </oleObject>
      </mc:Choice>
      <mc:Fallback>
        <oleObject progId="Equation.DSMT4" shapeId="34854" r:id="rId54"/>
      </mc:Fallback>
    </mc:AlternateContent>
    <mc:AlternateContent xmlns:mc="http://schemas.openxmlformats.org/markup-compatibility/2006">
      <mc:Choice Requires="x14">
        <oleObject progId="Equation.DSMT4" shapeId="34855" r:id="rId55">
          <objectPr defaultSize="0" autoPict="0" r:id="rId36">
            <anchor moveWithCells="1">
              <from>
                <xdr:col>4</xdr:col>
                <xdr:colOff>457200</xdr:colOff>
                <xdr:row>45</xdr:row>
                <xdr:rowOff>95250</xdr:rowOff>
              </from>
              <to>
                <xdr:col>4</xdr:col>
                <xdr:colOff>561975</xdr:colOff>
                <xdr:row>46</xdr:row>
                <xdr:rowOff>0</xdr:rowOff>
              </to>
            </anchor>
          </objectPr>
        </oleObject>
      </mc:Choice>
      <mc:Fallback>
        <oleObject progId="Equation.DSMT4" shapeId="34855" r:id="rId5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rgb="FFFF0000"/>
  </sheetPr>
  <dimension ref="A1:N158"/>
  <sheetViews>
    <sheetView view="pageBreakPreview" topLeftCell="A16" zoomScaleNormal="100" workbookViewId="0">
      <selection activeCell="D28" sqref="D28"/>
    </sheetView>
  </sheetViews>
  <sheetFormatPr defaultColWidth="11.42578125" defaultRowHeight="15" customHeight="1" x14ac:dyDescent="0.25"/>
  <cols>
    <col min="1" max="1" width="8.7109375" style="261" customWidth="1"/>
    <col min="2" max="2" width="35.7109375" style="261" customWidth="1"/>
    <col min="3" max="3" width="24.28515625" style="261" customWidth="1"/>
    <col min="4" max="4" width="18.85546875" style="261" customWidth="1"/>
    <col min="5" max="5" width="22.28515625" style="261" customWidth="1"/>
    <col min="6" max="6" width="23.5703125" style="261" customWidth="1"/>
    <col min="7" max="7" width="17.85546875" style="261" customWidth="1"/>
    <col min="8" max="9" width="7.85546875" style="261" customWidth="1"/>
    <col min="10" max="10" width="14.5703125" style="261" customWidth="1"/>
    <col min="11" max="11" width="23.85546875" style="261" customWidth="1"/>
    <col min="12" max="12" width="11.42578125" style="261"/>
    <col min="13" max="13" width="11.42578125" style="261" customWidth="1"/>
    <col min="14" max="16384" width="11.42578125" style="261"/>
  </cols>
  <sheetData>
    <row r="1" spans="2:14" ht="15" customHeight="1" thickBot="1" x14ac:dyDescent="0.3"/>
    <row r="2" spans="2:14" ht="18" customHeight="1" x14ac:dyDescent="0.25">
      <c r="B2" s="399" t="str">
        <f>'building data'!B2</f>
        <v>Mounting Systems GmbH</v>
      </c>
      <c r="C2" s="400"/>
      <c r="D2" s="401"/>
      <c r="E2" s="401"/>
      <c r="F2" s="401"/>
      <c r="G2" s="401"/>
      <c r="H2" s="402"/>
      <c r="I2" s="176" t="str">
        <f>IF($F$10="Deutsch","Die gelben Felder sind projektabhängig auszufüllen.",IF($F$10="English","The yellow cells have to be filled out depending on the project.","Fehler"))</f>
        <v>Die gelben Felder sind projektabhängig auszufüllen.</v>
      </c>
      <c r="J2" s="400"/>
      <c r="K2" s="401"/>
      <c r="L2" s="401"/>
      <c r="M2" s="403"/>
      <c r="N2" s="404" t="str">
        <f>IF($F$10="Deutsch","Sprache:",IF($F$10="English","Language:","Fehler"))</f>
        <v>Sprache:</v>
      </c>
    </row>
    <row r="3" spans="2:14" ht="18" customHeight="1" x14ac:dyDescent="0.25">
      <c r="B3" s="405" t="str">
        <f>'building data'!B3</f>
        <v>Solar ballasted roof mount system</v>
      </c>
      <c r="C3" s="406"/>
      <c r="D3" s="407"/>
      <c r="E3" s="407"/>
      <c r="F3" s="407"/>
      <c r="G3" s="407"/>
      <c r="H3" s="408"/>
      <c r="I3" s="177" t="str">
        <f>IF($F$10="Deutsch","Die türkisfarbenen Felder werden berechnet.",IF($F$10="English","The turquoise cells are calculated.","Fehler"))</f>
        <v>Die türkisfarbenen Felder werden berechnet.</v>
      </c>
      <c r="J3" s="409"/>
      <c r="K3" s="407"/>
      <c r="L3" s="407"/>
      <c r="M3" s="410"/>
      <c r="N3" s="792" t="s">
        <v>0</v>
      </c>
    </row>
    <row r="4" spans="2:14" ht="18" customHeight="1" x14ac:dyDescent="0.25">
      <c r="B4" s="405"/>
      <c r="C4" s="407"/>
      <c r="D4" s="407"/>
      <c r="E4" s="407"/>
      <c r="F4" s="407"/>
      <c r="G4" s="407"/>
      <c r="H4" s="407"/>
      <c r="I4" s="409"/>
      <c r="J4" s="407"/>
      <c r="K4" s="407"/>
      <c r="L4" s="407"/>
      <c r="M4" s="410"/>
      <c r="N4" s="792" t="s">
        <v>13</v>
      </c>
    </row>
    <row r="5" spans="2:14" ht="18" customHeight="1" thickBot="1" x14ac:dyDescent="0.3">
      <c r="B5" s="1234" t="str">
        <f>IF($F$10="Deutsch","EN 1991-1-4, Anhang A.3",IF($F$10="English","EN 1991-1-4, Annex A.3","Fehler"))</f>
        <v>EN 1991-1-4, Anhang A.3</v>
      </c>
      <c r="C5" s="1066"/>
      <c r="D5" s="1066"/>
      <c r="E5" s="1066"/>
      <c r="F5" s="1066"/>
      <c r="G5" s="1066"/>
      <c r="H5" s="1066"/>
      <c r="I5" s="1066"/>
      <c r="J5" s="1066"/>
      <c r="K5" s="1066"/>
      <c r="L5" s="1066"/>
      <c r="M5" s="1235"/>
      <c r="N5" s="792"/>
    </row>
    <row r="6" spans="2:14" ht="15" customHeight="1" x14ac:dyDescent="0.25">
      <c r="B6" s="411" t="str">
        <f>IF($F$10="Deutsch","Auslegungsgrundlage:",IF($F$10="English","Design Base:","Fehler"))</f>
        <v>Auslegungsgrundlage:</v>
      </c>
      <c r="C6" s="173" t="s">
        <v>91</v>
      </c>
      <c r="I6" s="69"/>
      <c r="N6" s="793"/>
    </row>
    <row r="7" spans="2:14" ht="15" customHeight="1" x14ac:dyDescent="0.25">
      <c r="B7" s="173"/>
      <c r="C7" s="173" t="s">
        <v>92</v>
      </c>
    </row>
    <row r="8" spans="2:14" ht="15" customHeight="1" x14ac:dyDescent="0.25">
      <c r="H8" s="1226" t="str">
        <f>CONCATENATE(IF($F$10="Deutsch","Definition der Variablen für ",IF($F$10="English","Definition of variables                               for ","Fehler")),B53)</f>
        <v>Definition der Variablen für Kuppen und Hügelkämme</v>
      </c>
      <c r="I8" s="1226"/>
    </row>
    <row r="9" spans="2:14" ht="15" customHeight="1" thickBot="1" x14ac:dyDescent="0.3">
      <c r="B9" s="412" t="str">
        <f>IF($F$10="Deutsch","Projektdaten:",IF($F$10="English","Project data:","Fehler"))</f>
        <v>Projektdaten:</v>
      </c>
      <c r="G9" s="794"/>
      <c r="H9" s="1226"/>
      <c r="I9" s="1226"/>
    </row>
    <row r="10" spans="2:14" ht="15" customHeight="1" x14ac:dyDescent="0.25">
      <c r="B10" s="413" t="str">
        <f>IF($F$10="Deutsch","Projekt:",IF($F$10="English","Project:","Fehler"))</f>
        <v>Projekt:</v>
      </c>
      <c r="C10" s="1236" t="s">
        <v>106</v>
      </c>
      <c r="D10" s="1237"/>
      <c r="E10" s="414" t="str">
        <f>IF($F$10="Deutsch","Sprache:",IF($F$10="English","Language:","Fehler"))</f>
        <v>Sprache:</v>
      </c>
      <c r="F10" s="415" t="s">
        <v>0</v>
      </c>
      <c r="H10" s="1226"/>
      <c r="I10" s="1226"/>
    </row>
    <row r="11" spans="2:14" ht="15" customHeight="1" x14ac:dyDescent="0.25">
      <c r="B11" s="417" t="str">
        <f>IF($F$10="Deutsch","PLZ:",IF($F$10="English","Postal code:","Fehler"))</f>
        <v>PLZ:</v>
      </c>
      <c r="C11" s="1238">
        <f>'building data'!C10:D10</f>
        <v>2301</v>
      </c>
      <c r="D11" s="1238"/>
      <c r="E11" s="418" t="str">
        <f>IF($F$10="Deutsch","Standort:",IF($F$10="English","Site:","Fehler"))</f>
        <v>Standort:</v>
      </c>
      <c r="F11" s="419" t="str">
        <f>'building data'!G10</f>
        <v>Hortsfelde</v>
      </c>
      <c r="G11" s="795"/>
      <c r="H11" s="1226"/>
      <c r="I11" s="1226"/>
    </row>
    <row r="12" spans="2:14" ht="15" customHeight="1" x14ac:dyDescent="0.25">
      <c r="B12" s="417" t="str">
        <f>IF($F$10="Deutsch","Bearbeiter:",IF($F$10="English","Person in charge:","Fehler"))</f>
        <v>Bearbeiter:</v>
      </c>
      <c r="C12" s="1238" t="str">
        <f>'building data'!C11:D11</f>
        <v>HGF</v>
      </c>
      <c r="D12" s="1238"/>
      <c r="E12" s="418" t="str">
        <f>IF($F$10="Deutsch","Land:",IF($F$10="English","Country:","Fehler"))</f>
        <v>Land:</v>
      </c>
      <c r="F12" s="419" t="str">
        <f>'building data'!G11</f>
        <v>Germany</v>
      </c>
      <c r="G12" s="796"/>
    </row>
    <row r="13" spans="2:14" ht="15" customHeight="1" thickBot="1" x14ac:dyDescent="0.3">
      <c r="B13" s="420" t="str">
        <f>IF($F$10="Deutsch","Stand:",IF($F$10="English","Last update:","Fehler"))</f>
        <v>Stand:</v>
      </c>
      <c r="C13" s="1232">
        <f>'building data'!C12:D12</f>
        <v>42272</v>
      </c>
      <c r="D13" s="1233"/>
      <c r="E13" s="421" t="str">
        <f>IF($F$10="Deutsch","Norm:",IF($F$10="English","Standard:","Fehler"))</f>
        <v>Norm:</v>
      </c>
      <c r="F13" s="422" t="str">
        <f>'building data'!G12</f>
        <v>DIN EN 1991-1-4</v>
      </c>
      <c r="G13" s="796"/>
    </row>
    <row r="14" spans="2:14" ht="15" customHeight="1" x14ac:dyDescent="0.25">
      <c r="C14" s="69"/>
      <c r="D14" s="69"/>
      <c r="E14" s="69"/>
    </row>
    <row r="15" spans="2:14" ht="15" customHeight="1" x14ac:dyDescent="0.25">
      <c r="J15" s="179"/>
      <c r="M15" s="797"/>
    </row>
    <row r="16" spans="2:14" ht="15" customHeight="1" x14ac:dyDescent="0.25">
      <c r="B16" s="423" t="str">
        <f>IF($F$10="Deutsch","Berechnung der Topographiebeiwerte nach",IF($F$10="English","Determination of orography factor according to","Fehler"))</f>
        <v>Berechnung der Topographiebeiwerte nach</v>
      </c>
      <c r="J16" s="798"/>
      <c r="K16" s="799"/>
      <c r="M16" s="797"/>
    </row>
    <row r="17" spans="2:13" ht="15" customHeight="1" x14ac:dyDescent="0.25">
      <c r="B17" s="423" t="str">
        <f>IF($F$10="Deutsch",CONCATENATE(C6," und ",C7),IF($F$10="English",CONCATENATE(C6," and ",C7),"Fehler"))</f>
        <v>EN 1991-1-4:2005 und A.1:2010 + AC:2010</v>
      </c>
      <c r="H17" s="1226" t="str">
        <f>CONCATENATE(IF($F$10="Deutsch","Definition der Variablen für ",IF($F$10="English","Definition of variables for ","Fehler")),B52)</f>
        <v>Definition der Variablen für Klippen und Geländesprünge</v>
      </c>
      <c r="I17" s="1226"/>
      <c r="J17" s="798"/>
      <c r="K17" s="799"/>
      <c r="M17" s="70"/>
    </row>
    <row r="18" spans="2:13" ht="15" customHeight="1" thickBot="1" x14ac:dyDescent="0.3">
      <c r="B18" s="423"/>
      <c r="D18" s="69"/>
      <c r="E18" s="69"/>
      <c r="H18" s="1226"/>
      <c r="I18" s="1226"/>
      <c r="J18" s="800"/>
      <c r="K18" s="101"/>
      <c r="L18" s="69"/>
      <c r="M18" s="70"/>
    </row>
    <row r="19" spans="2:13" ht="15" customHeight="1" thickBot="1" x14ac:dyDescent="0.3">
      <c r="B19" s="424" t="str">
        <f>IF($F$10="Deutsch","Topographiebeiwert",IF($F$10="English","Orography factor","Fehler"))</f>
        <v>Topographiebeiwert</v>
      </c>
      <c r="C19" s="425">
        <f>G38</f>
        <v>1</v>
      </c>
      <c r="D19" s="777" t="s">
        <v>5</v>
      </c>
      <c r="E19" s="69"/>
      <c r="H19" s="1226"/>
      <c r="I19" s="1226"/>
      <c r="J19" s="801"/>
      <c r="K19" s="72"/>
      <c r="M19" s="70"/>
    </row>
    <row r="20" spans="2:13" ht="15" customHeight="1" x14ac:dyDescent="0.25">
      <c r="B20" s="423"/>
      <c r="H20" s="1226"/>
      <c r="I20" s="1226"/>
      <c r="J20" s="798"/>
      <c r="K20" s="799"/>
      <c r="M20" s="70"/>
    </row>
    <row r="21" spans="2:13" ht="15" customHeight="1" x14ac:dyDescent="0.25">
      <c r="B21" s="423"/>
      <c r="J21" s="798"/>
      <c r="K21" s="799"/>
      <c r="M21" s="70"/>
    </row>
    <row r="22" spans="2:13" ht="15" customHeight="1" x14ac:dyDescent="0.25">
      <c r="B22" s="423"/>
      <c r="D22" s="802"/>
      <c r="E22" s="802"/>
      <c r="I22" s="154"/>
      <c r="J22" s="798"/>
      <c r="K22" s="799"/>
      <c r="M22" s="70"/>
    </row>
    <row r="23" spans="2:13" ht="15" customHeight="1" thickBot="1" x14ac:dyDescent="0.3">
      <c r="B23" s="430" t="str">
        <f>IF($F$10="Deutsch","Projektdaten:",IF($F$10="English","Project data:","Fehler"))</f>
        <v>Projektdaten:</v>
      </c>
      <c r="D23" s="69"/>
      <c r="I23" s="154"/>
      <c r="J23" s="798"/>
      <c r="K23" s="799"/>
      <c r="M23" s="70"/>
    </row>
    <row r="24" spans="2:13" ht="15" customHeight="1" x14ac:dyDescent="0.25">
      <c r="B24" s="135" t="str">
        <f>IF($F$10="Deutsch","Dachhöhe+Attikahöhe",IF($F$10="English","Roof + parapet height","Fehler"))</f>
        <v>Dachhöhe+Attikahöhe</v>
      </c>
      <c r="C24" s="803">
        <f>'building data'!C16+'building data'!C18</f>
        <v>6.5</v>
      </c>
      <c r="D24" s="83" t="s">
        <v>1</v>
      </c>
      <c r="E24" s="804"/>
      <c r="F24" s="804"/>
      <c r="G24" s="804"/>
      <c r="H24" s="804"/>
      <c r="I24" s="804"/>
      <c r="J24" s="804"/>
      <c r="K24" s="804"/>
      <c r="L24" s="805"/>
      <c r="M24" s="70"/>
    </row>
    <row r="25" spans="2:13" ht="15" customHeight="1" x14ac:dyDescent="0.25">
      <c r="B25" s="137" t="str">
        <f>IF($F$10="Deutsch","Effektive Höhe der Topographie:",IF($F$10="English","Effective height of the feature:","Fehler"))</f>
        <v>Effektive Höhe der Topographie:</v>
      </c>
      <c r="C25" s="806">
        <v>1</v>
      </c>
      <c r="D25" s="142" t="s">
        <v>1</v>
      </c>
      <c r="E25" s="1227" t="str">
        <f>IF($F$10="Deutsch","effektive Höhe des Hügels oder des Geländesprungs",IF($F$10="English","effective height of hill, ridge or escarpment","Fehler"))</f>
        <v>effektive Höhe des Hügels oder des Geländesprungs</v>
      </c>
      <c r="F25" s="1227"/>
      <c r="G25" s="1227"/>
      <c r="H25" s="1227"/>
      <c r="I25" s="807"/>
      <c r="J25" s="808"/>
      <c r="K25" s="808"/>
      <c r="L25" s="809"/>
      <c r="M25" s="70"/>
    </row>
    <row r="26" spans="2:13" ht="15" customHeight="1" x14ac:dyDescent="0.25">
      <c r="B26" s="137" t="str">
        <f>IF($F$10="Deutsch","Luvseitige Steigung:",IF($F$10="English","Upwind slope:","Fehler"))</f>
        <v>Luvseitige Steigung:</v>
      </c>
      <c r="C26" s="810">
        <v>0.05</v>
      </c>
      <c r="D26" s="811" t="s">
        <v>93</v>
      </c>
      <c r="E26" s="812">
        <f>C26</f>
        <v>0.05</v>
      </c>
      <c r="F26" s="811" t="s">
        <v>93</v>
      </c>
      <c r="G26" s="813">
        <f>ATAN(C26)*180/PI()</f>
        <v>2.8624052261117474</v>
      </c>
      <c r="H26" s="814" t="s">
        <v>6</v>
      </c>
      <c r="I26" s="815"/>
      <c r="J26" s="179"/>
      <c r="K26" s="179"/>
      <c r="L26" s="816"/>
      <c r="M26" s="70"/>
    </row>
    <row r="27" spans="2:13" ht="15" customHeight="1" x14ac:dyDescent="0.25">
      <c r="B27" s="137" t="str">
        <f>IF($F$10="Deutsch","Leeseitige Steigung:",IF($F$10="English","Downwind slope:","Fehler"))</f>
        <v>Leeseitige Steigung:</v>
      </c>
      <c r="C27" s="810">
        <v>0.05</v>
      </c>
      <c r="D27" s="817" t="s">
        <v>93</v>
      </c>
      <c r="E27" s="818">
        <f>C27</f>
        <v>0.05</v>
      </c>
      <c r="F27" s="817" t="s">
        <v>93</v>
      </c>
      <c r="G27" s="813">
        <f>ATAN(C27)*180/PI()</f>
        <v>2.8624052261117474</v>
      </c>
      <c r="H27" s="814" t="s">
        <v>6</v>
      </c>
      <c r="I27" s="815"/>
      <c r="J27" s="179"/>
      <c r="K27" s="179"/>
      <c r="L27" s="816"/>
      <c r="M27" s="819"/>
    </row>
    <row r="28" spans="2:13" ht="15" customHeight="1" x14ac:dyDescent="0.25">
      <c r="B28" s="137" t="str">
        <f>IF($F$10="Deutsch","Art der Topographie:",IF($F$10="English","Type of orography:","Fehler"))</f>
        <v>Art der Topographie:</v>
      </c>
      <c r="C28" s="820" t="str">
        <f>IF(C27&lt;=0.05,B52,IF(C27&gt;0.05,B53,"Fehler"))</f>
        <v>Klippen und Geländesprünge</v>
      </c>
      <c r="D28" s="821"/>
      <c r="E28" s="822"/>
      <c r="F28" s="822"/>
      <c r="G28" s="822"/>
      <c r="H28" s="822"/>
      <c r="I28" s="823"/>
      <c r="J28" s="824"/>
      <c r="K28" s="824"/>
      <c r="L28" s="825"/>
      <c r="M28" s="70"/>
    </row>
    <row r="29" spans="2:13" ht="30" customHeight="1" x14ac:dyDescent="0.25">
      <c r="B29" s="826" t="str">
        <f>IF($F$10="Deutsch","Horizontaler Abstand des Bauwerks vom Kamm der Erhebung (Punkt 3):",IF($F$10="English","Horizontal distance of the site from the top of the crest (no. 3):","Fehler"))</f>
        <v>Horizontaler Abstand des Bauwerks vom Kamm der Erhebung (Punkt 3):</v>
      </c>
      <c r="C29" s="827">
        <v>59</v>
      </c>
      <c r="D29" s="142" t="s">
        <v>1</v>
      </c>
      <c r="E29" s="828" t="str">
        <f>IF($F$10="Deutsch","Beachten Sie die Vorzeichen-Definition von X in den Bildern oben rechts!",IF($F$10="English","Pay attention to the prefix-sign-definition of X in the figures on the upper right!","Fehler"))</f>
        <v>Beachten Sie die Vorzeichen-Definition von X in den Bildern oben rechts!</v>
      </c>
      <c r="F29" s="829"/>
      <c r="G29" s="829"/>
      <c r="H29" s="829"/>
      <c r="I29" s="829"/>
      <c r="J29" s="829"/>
      <c r="K29" s="829"/>
      <c r="L29" s="830"/>
      <c r="M29" s="831"/>
    </row>
    <row r="30" spans="2:13" ht="45" customHeight="1" thickBot="1" x14ac:dyDescent="0.3">
      <c r="B30" s="832" t="str">
        <f>IF($F$10="Deutsch","Vertikaler Abstand von der Gelände-oberkante auf der Steigungsfläche:",IF($F$10="English","Vertical distance from the ground level of the site:","Fehler"))</f>
        <v>Vertikaler Abstand von der Gelände-oberkante auf der Steigungsfläche:</v>
      </c>
      <c r="C30" s="833">
        <f>C24</f>
        <v>6.5</v>
      </c>
      <c r="D30" s="834" t="s">
        <v>1</v>
      </c>
      <c r="E30" s="1228" t="str">
        <f>IF($F$10="Deutsch","In Tälern darf der Faktor co(z) zu 1,0 gesetzt werden, wenn Beschleunigungen aufgrund von Kanalisierungseffekten ausgeschlossen werden können. "&amp;"Für Bauwerke in steilwandigen Tälern oder für Brücken, die solche Täler überspannen, ist zu prüfen ob Windgeschwindigkeitserhöhungen berücksichtigt werden müssen.",IF($F$10="English","In valleys, co(z) may be set to 1.0 if no speed up due to funnelling effects is to be expected. "&amp;"For structures situated within, or for bridges spanning steep-sided valleys care should be taken to account for any increase of wind speed caused by funnelling.","Fehler"))</f>
        <v>In Tälern darf der Faktor co(z) zu 1,0 gesetzt werden, wenn Beschleunigungen aufgrund von Kanalisierungseffekten ausgeschlossen werden können. Für Bauwerke in steilwandigen Tälern oder für Brücken, die solche Täler überspannen, ist zu prüfen ob Windgeschwindigkeitserhöhungen berücksichtigt werden müssen.</v>
      </c>
      <c r="F30" s="1228"/>
      <c r="G30" s="1228"/>
      <c r="H30" s="1228"/>
      <c r="I30" s="1228"/>
      <c r="J30" s="1228"/>
      <c r="K30" s="1228"/>
      <c r="L30" s="1229"/>
      <c r="M30" s="831"/>
    </row>
    <row r="33" spans="2:13" ht="15" customHeight="1" thickBot="1" x14ac:dyDescent="0.3">
      <c r="B33" s="835" t="str">
        <f>IF($F$10="Deutsch","Berechnung:",IF($F$10="English","Calculation:","Fehler"))</f>
        <v>Berechnung:</v>
      </c>
      <c r="G33" s="154"/>
    </row>
    <row r="34" spans="2:13" ht="15" customHeight="1" x14ac:dyDescent="0.25">
      <c r="B34" s="836" t="str">
        <f>IF($F$10="Deutsch","effektive Länge der luvseitigen Steigung:",IF($F$10="English","effective length of the upwind slope:","Fehler"))</f>
        <v>effektive Länge der luvseitigen Steigung:</v>
      </c>
      <c r="C34" s="837">
        <f>IF(AND(C26&gt;=0.05,C26&lt;0.3),C35,IF(C26&gt;=0.3,C25/0.3,"Fehler"))</f>
        <v>20</v>
      </c>
      <c r="D34" s="83" t="s">
        <v>1</v>
      </c>
      <c r="E34" s="838"/>
      <c r="F34" s="839"/>
      <c r="G34" s="840"/>
      <c r="H34" s="102"/>
    </row>
    <row r="35" spans="2:13" ht="15" customHeight="1" x14ac:dyDescent="0.25">
      <c r="B35" s="841" t="str">
        <f>IF($F$10="Deutsch","tatsächliche Länge der luvseitigen Steigung:",IF($F$10="English","actual length of the upwind slope:","Fehler"))</f>
        <v>tatsächliche Länge der luvseitigen Steigung:</v>
      </c>
      <c r="C35" s="842">
        <f>C25/TAN(G26*PI()/180)</f>
        <v>20</v>
      </c>
      <c r="D35" s="69" t="s">
        <v>1</v>
      </c>
      <c r="E35" s="843"/>
      <c r="F35" s="75" t="str">
        <f>IF($F$10="Deutsch","Faktor s:",IF($F$10="English","Factor s:","Fehler"))</f>
        <v>Faktor s:</v>
      </c>
      <c r="G35" s="844">
        <f>IF(C29&lt;=0,C39,IF(C29&gt;0,IF(C28=B53,C48,IF(C28=B52,C45,"Fehler"))))</f>
        <v>0.15144231505911382</v>
      </c>
      <c r="H35" s="180"/>
      <c r="J35" s="152"/>
    </row>
    <row r="36" spans="2:13" ht="15" customHeight="1" x14ac:dyDescent="0.25">
      <c r="B36" s="845" t="str">
        <f>IF($F$10="Deutsch","tatsächliche Länge der leeseitigen Steigung:",IF($F$10="English","actual length of the downwind slope:","Fehler"))</f>
        <v>tatsächliche Länge der leeseitigen Steigung:</v>
      </c>
      <c r="C36" s="846">
        <f>IF(C27&lt;=0.05,0,C25/TAN(G27*PI()/180))</f>
        <v>0</v>
      </c>
      <c r="D36" s="847" t="s">
        <v>1</v>
      </c>
      <c r="E36" s="848"/>
      <c r="F36" s="75" t="str">
        <f>IF($F$10="Deutsch","Faktor s korrigiert:",IF($F$10="English","Factor s corrected:","Fehler"))</f>
        <v>Faktor s korrigiert:</v>
      </c>
      <c r="G36" s="844">
        <f>IF(G35&lt;0,0,G35)</f>
        <v>0.15144231505911382</v>
      </c>
      <c r="H36" s="180"/>
      <c r="J36" s="152"/>
    </row>
    <row r="37" spans="2:13" ht="15" customHeight="1" x14ac:dyDescent="0.25">
      <c r="B37" s="849" t="s">
        <v>94</v>
      </c>
      <c r="C37" s="850">
        <f>0.1552*(C30/C34)^4-0.8575*(C30/C34)^3+1.8133*(C30/C34)^2-1.9115*(C30/C34)+1.0124</f>
        <v>0.55498745593749998</v>
      </c>
      <c r="D37" s="75" t="s">
        <v>95</v>
      </c>
      <c r="E37" s="851">
        <f>0.1552*(0.1)^4-0.8575*(0.1)^3+1.8133*(0.1)^2-1.9115*(0.1)+1.0124</f>
        <v>0.83854101999999997</v>
      </c>
      <c r="F37" s="70" t="str">
        <f>IF($F$10="Deutsch","Topographiebeiwert",IF($F$10="English","Orography factor","Fehler"))</f>
        <v>Topographiebeiwert</v>
      </c>
      <c r="G37" s="852">
        <f>IF(C26&lt;0.05,1,IF(AND(C26&gt;=0.05,C26&lt;0.3,OR(AND(C29&gt;=(-C35/2),C29&lt;=0),IF(C28=B53,AND(C29&gt;=0,C29&lt;(C36/2)),IF(C28=B52,AND(C29&gt;=0,C29&lt;(1.5*C34)),"Fehler")))),1+2*C26*G36,IF(AND(C26&gt;=0.3,IF(C28=B53,C29&lt;(1.6*C25),IF(C28=B52,C29&lt;(5*C25),"Fehler"))),1+0.6*G36,1)))</f>
        <v>1</v>
      </c>
      <c r="H37" s="180"/>
      <c r="J37" s="152"/>
    </row>
    <row r="38" spans="2:13" ht="15" customHeight="1" x14ac:dyDescent="0.25">
      <c r="B38" s="849" t="s">
        <v>96</v>
      </c>
      <c r="C38" s="850">
        <f>0.3542*(C30/C34)^2-1.0577*(C30/C34)+2.6456</f>
        <v>2.3392598749999998</v>
      </c>
      <c r="D38" s="69"/>
      <c r="E38" s="853"/>
      <c r="F38" s="70" t="str">
        <f>IF($F$10="Deutsch","Topographiebeiwert korrigiert",IF($F$10="English","Orography factor corrected","Fehler"))</f>
        <v>Topographiebeiwert korrigiert</v>
      </c>
      <c r="G38" s="852">
        <f>IF(G37&lt;1.05,1,G37)</f>
        <v>1</v>
      </c>
      <c r="H38" s="180"/>
    </row>
    <row r="39" spans="2:13" ht="15" customHeight="1" x14ac:dyDescent="0.25">
      <c r="B39" s="854" t="str">
        <f>IF($F$10="Deutsch","Faktor s für luvseitigen Bereich:",IF($F$10="English","Factor s for the upwind slope:","Fehler"))</f>
        <v>Faktor s für luvseitigen Bereich:</v>
      </c>
      <c r="C39" s="855">
        <f>IF(AND((C29/C35)&lt;=0,(C29/C35)&gt;=-1.5,(C30/C34)&gt;=0,(C30/C34)&lt;=2),C37*EXP(C38*C29/C35),0)</f>
        <v>0</v>
      </c>
      <c r="D39" s="847"/>
      <c r="E39" s="856"/>
      <c r="F39" s="69"/>
      <c r="G39" s="69"/>
      <c r="H39" s="180"/>
    </row>
    <row r="40" spans="2:13" ht="15" customHeight="1" x14ac:dyDescent="0.25">
      <c r="B40" s="849" t="s">
        <v>94</v>
      </c>
      <c r="C40" s="850">
        <f>IF(C30&lt;=0.01,-1.342*(LOG(0.01/C34))^3-0.8222*(LOG(0.01/C34))^2+0.4609*(LOG(0.01/C34))-0.0791,-1.342*(LOG(C30/C34))^3-0.8222*(LOG(C30/C34))^2+0.4609*(LOG(C30/C34))-0.0791)</f>
        <v>-0.34389715641309143</v>
      </c>
      <c r="D40" s="75" t="s">
        <v>95</v>
      </c>
      <c r="E40" s="857">
        <f>-1.342*(LOG(0.1))^3-0.8222*(LOG(0.1))^2+0.4609*(LOG(0.1))-0.0791</f>
        <v>-2.019999999999994E-2</v>
      </c>
      <c r="F40" s="69"/>
      <c r="G40" s="69"/>
      <c r="H40" s="180"/>
    </row>
    <row r="41" spans="2:13" ht="15" customHeight="1" x14ac:dyDescent="0.25">
      <c r="B41" s="849" t="s">
        <v>96</v>
      </c>
      <c r="C41" s="850">
        <f>IF(C30&lt;=0.01,-1.0196*(LOG(0.01/C34))^3-0.891*(LOG(0.01/C34))^2+0.5343*(LOG(0.01/C34))-0.1156,-1.0196*(LOG(C30/C34))^3-0.891*(LOG(C30/C34))^2+0.5343*(LOG(C30/C34))-0.1156)</f>
        <v>-0.47011141153945218</v>
      </c>
      <c r="D41" s="75" t="s">
        <v>97</v>
      </c>
      <c r="E41" s="857">
        <f>-1.0196*(LOG(0.1))^3-0.891*(LOG(0.1))^2+0.5343*(LOG(0.1))-0.1156</f>
        <v>-0.52129999999999999</v>
      </c>
      <c r="F41" s="69"/>
      <c r="G41" s="69"/>
      <c r="H41" s="180"/>
    </row>
    <row r="42" spans="2:13" ht="15" customHeight="1" x14ac:dyDescent="0.25">
      <c r="B42" s="849" t="s">
        <v>98</v>
      </c>
      <c r="C42" s="850">
        <f>IF(C30&lt;=0.01,0.803*(LOG(0.01/C34))^3+0.4236*(LOG(0.01/C34))^2-0.5738*(LOG(0.01/C34))+0.1606,0.803*(LOG(C30/C34))^3+0.4236*(LOG(C30/C34))^2-0.5738*(LOG(C30/C34))+0.1606)</f>
        <v>0.44822036320159553</v>
      </c>
      <c r="D42" s="75" t="s">
        <v>99</v>
      </c>
      <c r="E42" s="857">
        <f>0.803*(LOG(0.1))^3+0.4236*(LOG(0.1))^2-0.5738*(LOG(0.1))+0.1606</f>
        <v>0.35499999999999987</v>
      </c>
      <c r="F42" s="69"/>
      <c r="G42" s="69"/>
      <c r="H42" s="180"/>
      <c r="I42" s="858"/>
      <c r="J42" s="858"/>
      <c r="K42" s="858"/>
      <c r="L42" s="858"/>
      <c r="M42" s="858"/>
    </row>
    <row r="43" spans="2:13" ht="15" customHeight="1" x14ac:dyDescent="0.25">
      <c r="B43" s="849" t="s">
        <v>100</v>
      </c>
      <c r="C43" s="850">
        <f>C40*(LOG(0.1))^2+C41*(LOG(0.1))+C42</f>
        <v>0.57443461832795628</v>
      </c>
      <c r="D43" s="75" t="s">
        <v>101</v>
      </c>
      <c r="E43" s="857">
        <f>E40*(LOG(0.1))^2+E41*(LOG(0.1))+E42</f>
        <v>0.85609999999999997</v>
      </c>
      <c r="F43" s="69"/>
      <c r="G43" s="69"/>
      <c r="H43" s="180"/>
      <c r="I43" s="154"/>
      <c r="J43" s="154"/>
      <c r="K43" s="154"/>
      <c r="L43" s="154"/>
      <c r="M43" s="154"/>
    </row>
    <row r="44" spans="2:13" ht="15" customHeight="1" x14ac:dyDescent="0.25">
      <c r="B44" s="849" t="s">
        <v>102</v>
      </c>
      <c r="C44" s="850">
        <f>C40*(LOG(C29/C34))^2+C41*(LOG(C29/C34))+C42</f>
        <v>0.15144231505911382</v>
      </c>
      <c r="D44" s="75" t="s">
        <v>103</v>
      </c>
      <c r="E44" s="857">
        <f>E40*(LOG(C29/C34))^2+E41*(LOG(C29/C34))+E42</f>
        <v>0.10562298199128825</v>
      </c>
      <c r="F44" s="69"/>
      <c r="G44" s="69"/>
      <c r="H44" s="180"/>
      <c r="I44" s="154"/>
      <c r="J44" s="154"/>
      <c r="K44" s="154"/>
      <c r="L44" s="154"/>
      <c r="M44" s="154"/>
    </row>
    <row r="45" spans="2:13" ht="30" customHeight="1" x14ac:dyDescent="0.25">
      <c r="B45" s="859" t="str">
        <f>IF($F$10="Deutsch","Faktor s für leeseitigen Bereich von Klippen und Geländesprüngen:",IF($F$10="English","Factor s for the downwind slope of cliffs and escarpments:","Fehler"))</f>
        <v>Faktor s für leeseitigen Bereich von Klippen und Geländesprüngen:</v>
      </c>
      <c r="C45" s="855">
        <f>IF(AND((C29/C34)&lt;=3.5,(C29/C34)&gt;=0.1),IF(AND((C30/C34)&gt;=0.1,(C30/C34)&lt;=2),C44,IF((C30/C34)&lt;0.1,E44,"Fehler")),IF(AND((C29/C34)&gt;=0,(C29/C34)&lt;=0.1),IF((C30/C34)&lt;0.1,E37+(E43-E37)*(C29/C34)/0.1,IF((C30/C34)&gt;=0.1,C37+(C43-C37)*(C29/C34)/0.1,"Fehler"))))</f>
        <v>0.15144231505911382</v>
      </c>
      <c r="D45" s="860"/>
      <c r="E45" s="861"/>
      <c r="F45" s="69"/>
      <c r="G45" s="69"/>
      <c r="H45" s="180"/>
      <c r="I45" s="862"/>
      <c r="J45" s="862"/>
      <c r="K45" s="862"/>
      <c r="L45" s="862"/>
      <c r="M45" s="862"/>
    </row>
    <row r="46" spans="2:13" ht="15" customHeight="1" x14ac:dyDescent="0.25">
      <c r="B46" s="849" t="s">
        <v>94</v>
      </c>
      <c r="C46" s="850">
        <f>0.1552*(C30/C34)^4-0.8575*(C30/C34)^3+1.8133*(C30/C34)^2-1.9115*(C30/C34)+1.0124</f>
        <v>0.55498745593749998</v>
      </c>
      <c r="D46" s="69"/>
      <c r="E46" s="853"/>
      <c r="F46" s="69"/>
      <c r="G46" s="69"/>
      <c r="H46" s="180"/>
      <c r="I46" s="862"/>
      <c r="J46" s="778"/>
      <c r="K46" s="778"/>
      <c r="L46" s="778"/>
      <c r="M46" s="778"/>
    </row>
    <row r="47" spans="2:13" ht="15" customHeight="1" x14ac:dyDescent="0.25">
      <c r="B47" s="849" t="s">
        <v>96</v>
      </c>
      <c r="C47" s="850">
        <f>-0.3056*(C30/C34)^2+1.0212*(C30/C34)-1.7637</f>
        <v>-1.464089</v>
      </c>
      <c r="D47" s="69"/>
      <c r="E47" s="853"/>
      <c r="F47" s="69"/>
      <c r="G47" s="69"/>
      <c r="H47" s="180"/>
      <c r="I47" s="72"/>
      <c r="J47" s="154"/>
      <c r="K47" s="154"/>
      <c r="L47" s="154"/>
      <c r="M47" s="72"/>
    </row>
    <row r="48" spans="2:13" ht="30" customHeight="1" thickBot="1" x14ac:dyDescent="0.3">
      <c r="B48" s="863" t="str">
        <f>IF($F$10="Deutsch","Faktor s für leeseitigen Bereich von Kuppen und Hügelkämmen:",IF($F$10="English","Factor s for the downwind slope of hills and ridges:","Fehler"))</f>
        <v>Faktor s für leeseitigen Bereich von Kuppen und Hügelkämmen:</v>
      </c>
      <c r="C48" s="864" t="e">
        <f>IF(AND((C29/C36)&gt;=0,(C29/C36)&lt;=2,(C30/C34)&gt;=0,(C30/C34)&lt;=2),C46*EXP(C47*C29/C36),0)</f>
        <v>#DIV/0!</v>
      </c>
      <c r="D48" s="343"/>
      <c r="E48" s="865"/>
      <c r="F48" s="343"/>
      <c r="G48" s="343"/>
      <c r="H48" s="866"/>
      <c r="I48" s="72"/>
      <c r="J48" s="154"/>
      <c r="K48" s="154"/>
      <c r="L48" s="154"/>
      <c r="M48" s="72"/>
    </row>
    <row r="49" spans="2:14" ht="15" customHeight="1" x14ac:dyDescent="0.25">
      <c r="I49" s="72"/>
      <c r="J49" s="154"/>
      <c r="K49" s="154"/>
      <c r="L49" s="154"/>
      <c r="M49" s="72"/>
    </row>
    <row r="50" spans="2:14" ht="15" customHeight="1" x14ac:dyDescent="0.25">
      <c r="I50" s="72"/>
      <c r="J50" s="154"/>
      <c r="K50" s="154"/>
      <c r="L50" s="154"/>
      <c r="M50" s="72"/>
    </row>
    <row r="51" spans="2:14" ht="15" customHeight="1" x14ac:dyDescent="0.25">
      <c r="I51" s="72"/>
      <c r="J51" s="154"/>
      <c r="K51" s="154"/>
      <c r="L51" s="154"/>
      <c r="M51" s="72"/>
      <c r="N51" s="858"/>
    </row>
    <row r="52" spans="2:14" ht="15" customHeight="1" x14ac:dyDescent="0.25">
      <c r="B52" s="867" t="str">
        <f>IF($F$10="Deutsch","Klippen und Geländesprünge",IF($F$10="English","cliffs and escarpments","Fehler"))</f>
        <v>Klippen und Geländesprünge</v>
      </c>
      <c r="C52" s="93"/>
      <c r="D52" s="868"/>
      <c r="E52" s="93"/>
      <c r="F52" s="858"/>
      <c r="G52" s="858"/>
      <c r="H52" s="858"/>
      <c r="I52" s="72"/>
      <c r="J52" s="154"/>
      <c r="K52" s="154"/>
      <c r="L52" s="154"/>
      <c r="M52" s="72"/>
      <c r="N52" s="858"/>
    </row>
    <row r="53" spans="2:14" ht="15" customHeight="1" x14ac:dyDescent="0.25">
      <c r="B53" s="867" t="str">
        <f>IF($F$10="Deutsch","Kuppen und Hügelkämme",IF($F$10="English","hills and ridges","Fehler"))</f>
        <v>Kuppen und Hügelkämme</v>
      </c>
      <c r="C53" s="513"/>
      <c r="D53" s="154"/>
      <c r="E53" s="154"/>
      <c r="F53" s="513"/>
      <c r="G53" s="154"/>
      <c r="H53" s="154"/>
      <c r="I53" s="72"/>
      <c r="J53" s="154"/>
      <c r="K53" s="154"/>
      <c r="L53" s="154"/>
      <c r="M53" s="72"/>
      <c r="N53" s="154"/>
    </row>
    <row r="54" spans="2:14" ht="15" customHeight="1" x14ac:dyDescent="0.25">
      <c r="C54" s="154"/>
      <c r="D54" s="154"/>
      <c r="E54" s="154"/>
      <c r="F54" s="154"/>
      <c r="G54" s="154"/>
      <c r="H54" s="154"/>
      <c r="I54" s="72"/>
      <c r="J54" s="154"/>
      <c r="K54" s="154"/>
      <c r="L54" s="154"/>
      <c r="M54" s="72"/>
      <c r="N54" s="154"/>
    </row>
    <row r="55" spans="2:14" ht="15" customHeight="1" x14ac:dyDescent="0.25">
      <c r="B55" s="1019"/>
      <c r="C55" s="1019"/>
      <c r="D55" s="1019"/>
      <c r="E55" s="1019"/>
      <c r="F55" s="1019"/>
      <c r="G55" s="862"/>
      <c r="H55" s="862"/>
      <c r="I55" s="72"/>
      <c r="J55" s="154"/>
      <c r="K55" s="154"/>
      <c r="L55" s="154"/>
      <c r="M55" s="72"/>
      <c r="N55" s="154"/>
    </row>
    <row r="56" spans="2:14" ht="15" customHeight="1" x14ac:dyDescent="0.25">
      <c r="B56" s="862"/>
      <c r="C56" s="862"/>
      <c r="D56" s="862"/>
      <c r="E56" s="862"/>
      <c r="F56" s="862"/>
      <c r="G56" s="862"/>
      <c r="H56" s="862"/>
      <c r="I56" s="72"/>
      <c r="J56" s="154"/>
      <c r="K56" s="154"/>
      <c r="L56" s="154"/>
      <c r="M56" s="72"/>
      <c r="N56" s="154"/>
    </row>
    <row r="57" spans="2:14" ht="15" customHeight="1" x14ac:dyDescent="0.25">
      <c r="B57" s="1230"/>
      <c r="C57" s="1230"/>
      <c r="D57" s="181"/>
      <c r="E57" s="72"/>
      <c r="F57" s="1231"/>
      <c r="G57" s="1231"/>
      <c r="H57" s="181"/>
      <c r="I57" s="72"/>
      <c r="J57" s="154"/>
      <c r="K57" s="154"/>
      <c r="L57" s="154"/>
      <c r="M57" s="72"/>
      <c r="N57" s="154"/>
    </row>
    <row r="58" spans="2:14" ht="15" customHeight="1" x14ac:dyDescent="0.25">
      <c r="B58" s="181"/>
      <c r="C58" s="181"/>
      <c r="D58" s="128"/>
      <c r="E58" s="72"/>
      <c r="F58" s="72"/>
      <c r="G58" s="127"/>
      <c r="H58" s="128"/>
      <c r="I58" s="72"/>
      <c r="J58" s="154"/>
      <c r="K58" s="154"/>
      <c r="L58" s="154"/>
      <c r="M58" s="72"/>
      <c r="N58" s="154"/>
    </row>
    <row r="59" spans="2:14" ht="15" customHeight="1" x14ac:dyDescent="0.25">
      <c r="B59" s="181"/>
      <c r="C59" s="181"/>
      <c r="D59" s="128"/>
      <c r="E59" s="72"/>
      <c r="F59" s="72"/>
      <c r="G59" s="127"/>
      <c r="H59" s="128"/>
      <c r="I59" s="869"/>
      <c r="J59" s="869"/>
      <c r="K59" s="869"/>
      <c r="L59" s="869"/>
      <c r="M59" s="869"/>
      <c r="N59" s="154"/>
    </row>
    <row r="60" spans="2:14" ht="15" customHeight="1" x14ac:dyDescent="0.25">
      <c r="B60" s="181"/>
      <c r="C60" s="181"/>
      <c r="D60" s="128"/>
      <c r="E60" s="72"/>
      <c r="F60" s="72"/>
      <c r="G60" s="127"/>
      <c r="H60" s="128"/>
      <c r="I60" s="869"/>
      <c r="J60" s="869"/>
      <c r="K60" s="869"/>
      <c r="L60" s="869"/>
      <c r="M60" s="869"/>
      <c r="N60" s="154"/>
    </row>
    <row r="61" spans="2:14" ht="15" customHeight="1" x14ac:dyDescent="0.25">
      <c r="B61" s="181"/>
      <c r="C61" s="181"/>
      <c r="D61" s="128"/>
      <c r="E61" s="72"/>
      <c r="F61" s="72"/>
      <c r="G61" s="127"/>
      <c r="H61" s="128"/>
      <c r="I61" s="869"/>
      <c r="J61" s="869"/>
      <c r="K61" s="869"/>
      <c r="L61" s="869"/>
      <c r="M61" s="869"/>
      <c r="N61" s="154"/>
    </row>
    <row r="62" spans="2:14" ht="15" customHeight="1" x14ac:dyDescent="0.25">
      <c r="B62" s="181"/>
      <c r="C62" s="181"/>
      <c r="D62" s="128"/>
      <c r="E62" s="72"/>
      <c r="F62" s="72"/>
      <c r="G62" s="127"/>
      <c r="H62" s="128"/>
      <c r="I62" s="869"/>
      <c r="J62" s="869"/>
      <c r="K62" s="869"/>
      <c r="L62" s="869"/>
      <c r="M62" s="869"/>
      <c r="N62" s="154"/>
    </row>
    <row r="63" spans="2:14" ht="15" customHeight="1" x14ac:dyDescent="0.25">
      <c r="B63" s="181"/>
      <c r="C63" s="181"/>
      <c r="D63" s="128"/>
      <c r="E63" s="72"/>
      <c r="F63" s="72"/>
      <c r="G63" s="127"/>
      <c r="H63" s="128"/>
      <c r="I63" s="869"/>
      <c r="J63" s="869"/>
      <c r="K63" s="869"/>
      <c r="L63" s="869"/>
      <c r="M63" s="869"/>
      <c r="N63" s="154"/>
    </row>
    <row r="64" spans="2:14" ht="15" customHeight="1" x14ac:dyDescent="0.25">
      <c r="B64" s="181"/>
      <c r="C64" s="181"/>
      <c r="D64" s="128"/>
      <c r="E64" s="72"/>
      <c r="F64" s="72"/>
      <c r="G64" s="127"/>
      <c r="H64" s="128"/>
      <c r="I64" s="869"/>
      <c r="J64" s="869"/>
      <c r="K64" s="869"/>
      <c r="L64" s="869"/>
      <c r="M64" s="869"/>
      <c r="N64" s="154"/>
    </row>
    <row r="65" spans="2:14" ht="15" customHeight="1" x14ac:dyDescent="0.25">
      <c r="B65" s="181"/>
      <c r="C65" s="181"/>
      <c r="D65" s="128"/>
      <c r="E65" s="72"/>
      <c r="F65" s="72"/>
      <c r="G65" s="127"/>
      <c r="H65" s="128"/>
      <c r="I65" s="869"/>
      <c r="J65" s="869"/>
      <c r="K65" s="869"/>
      <c r="L65" s="869"/>
      <c r="M65" s="869"/>
      <c r="N65" s="154"/>
    </row>
    <row r="66" spans="2:14" ht="15" customHeight="1" x14ac:dyDescent="0.25">
      <c r="B66" s="181"/>
      <c r="C66" s="181"/>
      <c r="D66" s="128"/>
      <c r="E66" s="72"/>
      <c r="F66" s="72"/>
      <c r="G66" s="127"/>
      <c r="H66" s="128"/>
      <c r="I66" s="869"/>
      <c r="J66" s="869"/>
      <c r="K66" s="869"/>
      <c r="L66" s="869"/>
      <c r="M66" s="869"/>
      <c r="N66" s="154"/>
    </row>
    <row r="67" spans="2:14" ht="15" customHeight="1" x14ac:dyDescent="0.25">
      <c r="B67" s="181"/>
      <c r="C67" s="181"/>
      <c r="D67" s="128"/>
      <c r="E67" s="72"/>
      <c r="F67" s="72"/>
      <c r="G67" s="127"/>
      <c r="H67" s="128"/>
      <c r="I67" s="869"/>
      <c r="J67" s="869"/>
      <c r="K67" s="869"/>
      <c r="L67" s="869"/>
      <c r="M67" s="869"/>
      <c r="N67" s="154"/>
    </row>
    <row r="68" spans="2:14" ht="15" customHeight="1" x14ac:dyDescent="0.25">
      <c r="B68" s="181"/>
      <c r="C68" s="181"/>
      <c r="D68" s="128"/>
      <c r="E68" s="72"/>
      <c r="F68" s="72"/>
      <c r="G68" s="127"/>
      <c r="H68" s="128"/>
      <c r="I68" s="869"/>
      <c r="J68" s="869"/>
      <c r="K68" s="869"/>
      <c r="L68" s="869"/>
      <c r="M68" s="869"/>
      <c r="N68" s="154"/>
    </row>
    <row r="69" spans="2:14" s="151" customFormat="1" ht="15" customHeight="1" x14ac:dyDescent="0.25">
      <c r="B69" s="181"/>
      <c r="C69" s="181"/>
      <c r="D69" s="870"/>
      <c r="E69" s="869"/>
      <c r="F69" s="72"/>
      <c r="G69" s="181"/>
      <c r="H69" s="870"/>
      <c r="I69" s="869"/>
      <c r="J69" s="869"/>
      <c r="K69" s="869"/>
      <c r="L69" s="869"/>
      <c r="M69" s="869"/>
      <c r="N69" s="869"/>
    </row>
    <row r="70" spans="2:14" s="151" customFormat="1" ht="15" customHeight="1" x14ac:dyDescent="0.25">
      <c r="B70" s="869"/>
      <c r="C70" s="869"/>
      <c r="D70" s="869"/>
      <c r="E70" s="869"/>
      <c r="F70" s="869"/>
      <c r="G70" s="869"/>
      <c r="H70" s="869"/>
      <c r="I70" s="869"/>
      <c r="J70" s="869"/>
      <c r="K70" s="869"/>
      <c r="L70" s="869"/>
      <c r="M70" s="869"/>
      <c r="N70" s="869"/>
    </row>
    <row r="71" spans="2:14" s="151" customFormat="1" ht="15" customHeight="1" x14ac:dyDescent="0.25">
      <c r="B71" s="869"/>
      <c r="C71" s="869"/>
      <c r="D71" s="869"/>
      <c r="E71" s="869"/>
      <c r="F71" s="869"/>
      <c r="G71" s="869"/>
      <c r="H71" s="869"/>
      <c r="I71" s="127"/>
      <c r="J71" s="72"/>
      <c r="K71" s="72"/>
      <c r="L71" s="72"/>
      <c r="M71" s="72"/>
      <c r="N71" s="869"/>
    </row>
    <row r="72" spans="2:14" s="151" customFormat="1" ht="15" customHeight="1" x14ac:dyDescent="0.25">
      <c r="B72" s="869"/>
      <c r="C72" s="869"/>
      <c r="D72" s="869"/>
      <c r="E72" s="869"/>
      <c r="F72" s="869"/>
      <c r="G72" s="869"/>
      <c r="H72" s="869"/>
      <c r="I72" s="171"/>
      <c r="J72" s="69"/>
      <c r="K72" s="69"/>
      <c r="L72" s="69"/>
      <c r="M72" s="69"/>
      <c r="N72" s="869"/>
    </row>
    <row r="73" spans="2:14" s="151" customFormat="1" ht="15" customHeight="1" x14ac:dyDescent="0.25">
      <c r="B73" s="869"/>
      <c r="C73" s="869"/>
      <c r="D73" s="869"/>
      <c r="E73" s="869"/>
      <c r="F73" s="869"/>
      <c r="G73" s="869"/>
      <c r="H73" s="869"/>
      <c r="I73" s="171"/>
      <c r="J73" s="69"/>
      <c r="K73" s="69"/>
      <c r="L73" s="69"/>
      <c r="M73" s="69"/>
      <c r="N73" s="869"/>
    </row>
    <row r="74" spans="2:14" s="151" customFormat="1" ht="15" customHeight="1" x14ac:dyDescent="0.25">
      <c r="B74" s="869"/>
      <c r="C74" s="869"/>
      <c r="D74" s="869"/>
      <c r="E74" s="869"/>
      <c r="F74" s="869"/>
      <c r="G74" s="869"/>
      <c r="H74" s="869"/>
      <c r="I74" s="171"/>
      <c r="J74" s="69"/>
      <c r="K74" s="69"/>
      <c r="L74" s="69"/>
      <c r="M74" s="69"/>
      <c r="N74" s="869"/>
    </row>
    <row r="75" spans="2:14" s="151" customFormat="1" ht="15" customHeight="1" x14ac:dyDescent="0.25">
      <c r="B75" s="869"/>
      <c r="C75" s="869"/>
      <c r="D75" s="869"/>
      <c r="E75" s="869"/>
      <c r="F75" s="869"/>
      <c r="G75" s="869"/>
      <c r="H75" s="869"/>
      <c r="I75" s="171"/>
      <c r="J75" s="69"/>
      <c r="K75" s="69"/>
      <c r="L75" s="69"/>
      <c r="M75" s="69"/>
      <c r="N75" s="869"/>
    </row>
    <row r="76" spans="2:14" s="151" customFormat="1" ht="15" customHeight="1" x14ac:dyDescent="0.25">
      <c r="B76" s="869"/>
      <c r="C76" s="869"/>
      <c r="D76" s="869"/>
      <c r="E76" s="869"/>
      <c r="F76" s="869"/>
      <c r="G76" s="869"/>
      <c r="H76" s="869"/>
      <c r="I76" s="171"/>
      <c r="J76" s="69"/>
      <c r="K76" s="69"/>
      <c r="L76" s="69"/>
      <c r="M76" s="69"/>
      <c r="N76" s="869"/>
    </row>
    <row r="77" spans="2:14" s="151" customFormat="1" ht="15" customHeight="1" x14ac:dyDescent="0.25">
      <c r="B77" s="869"/>
      <c r="C77" s="869"/>
      <c r="D77" s="869"/>
      <c r="E77" s="869"/>
      <c r="F77" s="869"/>
      <c r="G77" s="869"/>
      <c r="H77" s="869"/>
      <c r="I77" s="171"/>
      <c r="J77" s="69"/>
      <c r="K77" s="69"/>
      <c r="L77" s="69"/>
      <c r="M77" s="69"/>
      <c r="N77" s="869"/>
    </row>
    <row r="78" spans="2:14" s="151" customFormat="1" ht="15" customHeight="1" x14ac:dyDescent="0.25">
      <c r="B78" s="869"/>
      <c r="C78" s="869"/>
      <c r="D78" s="869"/>
      <c r="E78" s="869"/>
      <c r="F78" s="869"/>
      <c r="G78" s="869"/>
      <c r="H78" s="869"/>
      <c r="I78" s="171"/>
      <c r="J78" s="69"/>
      <c r="K78" s="69"/>
      <c r="L78" s="69"/>
      <c r="M78" s="69"/>
      <c r="N78" s="869"/>
    </row>
    <row r="79" spans="2:14" s="151" customFormat="1" ht="15" customHeight="1" x14ac:dyDescent="0.25">
      <c r="B79" s="869"/>
      <c r="C79" s="869"/>
      <c r="D79" s="869"/>
      <c r="E79" s="869"/>
      <c r="F79" s="869"/>
      <c r="G79" s="869"/>
      <c r="H79" s="869"/>
      <c r="I79" s="171"/>
      <c r="J79" s="69"/>
      <c r="K79" s="69"/>
      <c r="L79" s="69"/>
      <c r="M79" s="69"/>
      <c r="N79" s="869"/>
    </row>
    <row r="80" spans="2:14" s="151" customFormat="1" ht="15" customHeight="1" x14ac:dyDescent="0.25">
      <c r="B80" s="869"/>
      <c r="C80" s="869"/>
      <c r="D80" s="869"/>
      <c r="E80" s="869"/>
      <c r="F80" s="869"/>
      <c r="G80" s="869"/>
      <c r="H80" s="869"/>
      <c r="I80" s="171"/>
      <c r="J80" s="69"/>
      <c r="K80" s="69"/>
      <c r="L80" s="69"/>
      <c r="M80" s="69"/>
      <c r="N80" s="869"/>
    </row>
    <row r="81" spans="1:14" ht="15" customHeight="1" x14ac:dyDescent="0.25">
      <c r="A81" s="69"/>
      <c r="B81" s="179"/>
      <c r="C81" s="179"/>
      <c r="D81" s="179"/>
      <c r="E81" s="179"/>
      <c r="F81" s="778"/>
      <c r="G81" s="416"/>
      <c r="H81" s="127"/>
      <c r="I81" s="171"/>
      <c r="J81" s="69"/>
      <c r="K81" s="69"/>
      <c r="L81" s="69"/>
      <c r="M81" s="69"/>
      <c r="N81" s="154"/>
    </row>
    <row r="82" spans="1:14" ht="15" customHeight="1" x14ac:dyDescent="0.25">
      <c r="A82" s="69"/>
      <c r="B82" s="800"/>
      <c r="C82" s="800"/>
      <c r="D82" s="800"/>
      <c r="E82" s="800"/>
      <c r="F82" s="776"/>
      <c r="G82" s="169"/>
      <c r="H82" s="171"/>
      <c r="I82" s="171"/>
      <c r="J82" s="69"/>
      <c r="K82" s="69"/>
      <c r="L82" s="69"/>
      <c r="M82" s="69"/>
    </row>
    <row r="83" spans="1:14" ht="15" customHeight="1" x14ac:dyDescent="0.25">
      <c r="A83" s="69"/>
      <c r="B83" s="800"/>
      <c r="C83" s="800"/>
      <c r="D83" s="800"/>
      <c r="E83" s="800"/>
      <c r="F83" s="776"/>
      <c r="G83" s="169"/>
      <c r="H83" s="171"/>
      <c r="I83" s="171"/>
      <c r="J83" s="69"/>
      <c r="K83" s="69"/>
      <c r="L83" s="69"/>
      <c r="M83" s="69"/>
    </row>
    <row r="84" spans="1:14" ht="15" customHeight="1" x14ac:dyDescent="0.25">
      <c r="A84" s="69"/>
      <c r="B84" s="800"/>
      <c r="C84" s="800"/>
      <c r="D84" s="800"/>
      <c r="E84" s="800"/>
      <c r="F84" s="171"/>
      <c r="G84" s="69"/>
      <c r="H84" s="69"/>
      <c r="I84" s="171"/>
      <c r="J84" s="69"/>
      <c r="K84" s="69"/>
      <c r="L84" s="69"/>
      <c r="M84" s="69"/>
    </row>
    <row r="85" spans="1:14" ht="15" customHeight="1" x14ac:dyDescent="0.25">
      <c r="A85" s="69"/>
      <c r="B85" s="800"/>
      <c r="C85" s="800"/>
      <c r="D85" s="800"/>
      <c r="E85" s="800"/>
      <c r="F85" s="776"/>
      <c r="G85" s="169"/>
      <c r="H85" s="171"/>
      <c r="I85" s="171"/>
      <c r="J85" s="69"/>
      <c r="K85" s="69"/>
      <c r="L85" s="69"/>
      <c r="M85" s="69"/>
    </row>
    <row r="86" spans="1:14" ht="15" customHeight="1" x14ac:dyDescent="0.25">
      <c r="A86" s="69"/>
      <c r="B86" s="800"/>
      <c r="C86" s="800"/>
      <c r="D86" s="800"/>
      <c r="E86" s="800"/>
      <c r="F86" s="776"/>
      <c r="G86" s="169"/>
      <c r="H86" s="171"/>
      <c r="I86" s="171"/>
      <c r="J86" s="69"/>
      <c r="K86" s="69"/>
      <c r="L86" s="69"/>
      <c r="M86" s="69"/>
    </row>
    <row r="87" spans="1:14" ht="15" customHeight="1" x14ac:dyDescent="0.25">
      <c r="A87" s="69"/>
      <c r="B87" s="800"/>
      <c r="C87" s="800"/>
      <c r="D87" s="800"/>
      <c r="E87" s="800"/>
      <c r="F87" s="776"/>
      <c r="G87" s="169"/>
      <c r="H87" s="69"/>
      <c r="I87" s="171"/>
      <c r="J87" s="69"/>
      <c r="K87" s="69"/>
      <c r="L87" s="69"/>
      <c r="M87" s="69"/>
    </row>
    <row r="88" spans="1:14" ht="15" customHeight="1" x14ac:dyDescent="0.25">
      <c r="A88" s="69"/>
      <c r="B88" s="800"/>
      <c r="C88" s="800"/>
      <c r="D88" s="800"/>
      <c r="E88" s="800"/>
      <c r="F88" s="776"/>
      <c r="G88" s="169"/>
      <c r="H88" s="69"/>
      <c r="I88" s="171"/>
      <c r="J88" s="69"/>
      <c r="K88" s="69"/>
      <c r="L88" s="69"/>
      <c r="M88" s="69"/>
    </row>
    <row r="89" spans="1:14" ht="15" customHeight="1" x14ac:dyDescent="0.25">
      <c r="A89" s="69"/>
      <c r="B89" s="800"/>
      <c r="C89" s="800"/>
      <c r="D89" s="800"/>
      <c r="E89" s="800"/>
      <c r="F89" s="776"/>
      <c r="G89" s="169"/>
      <c r="H89" s="69"/>
      <c r="I89" s="171"/>
      <c r="J89" s="69"/>
      <c r="K89" s="69"/>
      <c r="L89" s="69"/>
      <c r="M89" s="69"/>
    </row>
    <row r="90" spans="1:14" ht="15" customHeight="1" x14ac:dyDescent="0.25">
      <c r="A90" s="69"/>
      <c r="B90" s="800"/>
      <c r="C90" s="800"/>
      <c r="D90" s="800"/>
      <c r="E90" s="800"/>
      <c r="F90" s="776"/>
      <c r="G90" s="169"/>
      <c r="H90" s="69"/>
      <c r="I90" s="171"/>
      <c r="J90" s="69"/>
      <c r="K90" s="69"/>
      <c r="L90" s="69"/>
      <c r="M90" s="69"/>
    </row>
    <row r="91" spans="1:14" ht="15" customHeight="1" x14ac:dyDescent="0.25">
      <c r="A91" s="69"/>
      <c r="B91" s="800"/>
      <c r="C91" s="800"/>
      <c r="D91" s="800"/>
      <c r="E91" s="800"/>
      <c r="F91" s="776"/>
      <c r="G91" s="169"/>
      <c r="H91" s="69"/>
      <c r="I91" s="171"/>
      <c r="J91" s="69"/>
      <c r="K91" s="69"/>
      <c r="L91" s="69"/>
      <c r="M91" s="69"/>
    </row>
    <row r="92" spans="1:14" ht="15" customHeight="1" x14ac:dyDescent="0.25">
      <c r="A92" s="69"/>
      <c r="B92" s="800"/>
      <c r="C92" s="800"/>
      <c r="D92" s="800"/>
      <c r="E92" s="800"/>
      <c r="F92" s="776"/>
      <c r="G92" s="169"/>
      <c r="H92" s="69"/>
      <c r="I92" s="171"/>
      <c r="J92" s="69"/>
      <c r="K92" s="69"/>
      <c r="L92" s="69"/>
      <c r="M92" s="69"/>
    </row>
    <row r="93" spans="1:14" ht="15" customHeight="1" x14ac:dyDescent="0.25">
      <c r="A93" s="69"/>
      <c r="B93" s="800"/>
      <c r="C93" s="800"/>
      <c r="D93" s="800"/>
      <c r="E93" s="800"/>
      <c r="F93" s="776"/>
      <c r="G93" s="169"/>
      <c r="H93" s="69"/>
      <c r="I93" s="171"/>
      <c r="J93" s="69"/>
      <c r="K93" s="69"/>
      <c r="L93" s="69"/>
      <c r="M93" s="69"/>
    </row>
    <row r="94" spans="1:14" ht="15" customHeight="1" x14ac:dyDescent="0.25">
      <c r="A94" s="69"/>
      <c r="B94" s="800"/>
      <c r="C94" s="800"/>
      <c r="D94" s="800"/>
      <c r="E94" s="800"/>
      <c r="F94" s="171"/>
      <c r="G94" s="69"/>
      <c r="H94" s="69"/>
      <c r="I94" s="171"/>
      <c r="J94" s="69"/>
      <c r="K94" s="69"/>
      <c r="L94" s="69"/>
      <c r="M94" s="69"/>
    </row>
    <row r="95" spans="1:14" ht="15" customHeight="1" x14ac:dyDescent="0.25">
      <c r="A95" s="69"/>
      <c r="B95" s="800"/>
      <c r="C95" s="800"/>
      <c r="D95" s="800"/>
      <c r="E95" s="800"/>
      <c r="F95" s="776"/>
      <c r="G95" s="169"/>
      <c r="H95" s="69"/>
      <c r="I95" s="171"/>
      <c r="J95" s="69"/>
      <c r="K95" s="69"/>
      <c r="L95" s="69"/>
      <c r="M95" s="69"/>
    </row>
    <row r="96" spans="1:14" ht="15" customHeight="1" x14ac:dyDescent="0.25">
      <c r="A96" s="69"/>
      <c r="B96" s="800"/>
      <c r="C96" s="800"/>
      <c r="D96" s="800"/>
      <c r="E96" s="800"/>
      <c r="F96" s="776"/>
      <c r="G96" s="169"/>
      <c r="H96" s="69"/>
      <c r="I96" s="171"/>
      <c r="J96" s="69"/>
      <c r="K96" s="69"/>
      <c r="L96" s="69"/>
      <c r="M96" s="69"/>
    </row>
    <row r="97" spans="1:13" ht="15" customHeight="1" x14ac:dyDescent="0.25">
      <c r="A97" s="69"/>
      <c r="B97" s="800"/>
      <c r="C97" s="800"/>
      <c r="D97" s="800"/>
      <c r="E97" s="800"/>
      <c r="F97" s="776"/>
      <c r="G97" s="169"/>
      <c r="H97" s="69"/>
      <c r="I97" s="171"/>
      <c r="J97" s="69"/>
      <c r="K97" s="69"/>
      <c r="L97" s="69"/>
      <c r="M97" s="69"/>
    </row>
    <row r="98" spans="1:13" ht="15" customHeight="1" x14ac:dyDescent="0.25">
      <c r="A98" s="69"/>
      <c r="B98" s="800"/>
      <c r="C98" s="800"/>
      <c r="D98" s="800"/>
      <c r="E98" s="800"/>
      <c r="F98" s="776"/>
      <c r="G98" s="169"/>
      <c r="H98" s="69"/>
      <c r="I98" s="171"/>
      <c r="J98" s="69"/>
      <c r="K98" s="69"/>
      <c r="L98" s="69"/>
      <c r="M98" s="69"/>
    </row>
    <row r="99" spans="1:13" ht="15" customHeight="1" x14ac:dyDescent="0.25">
      <c r="A99" s="69"/>
      <c r="B99" s="800"/>
      <c r="C99" s="800"/>
      <c r="D99" s="800"/>
      <c r="E99" s="800"/>
      <c r="F99" s="776"/>
      <c r="G99" s="169"/>
      <c r="H99" s="69"/>
      <c r="I99" s="171"/>
      <c r="J99" s="69"/>
      <c r="K99" s="69"/>
      <c r="L99" s="69"/>
      <c r="M99" s="69"/>
    </row>
    <row r="100" spans="1:13" ht="15" customHeight="1" x14ac:dyDescent="0.25">
      <c r="A100" s="69"/>
      <c r="B100" s="800"/>
      <c r="C100" s="800"/>
      <c r="D100" s="800"/>
      <c r="E100" s="800"/>
      <c r="F100" s="776"/>
      <c r="G100" s="169"/>
      <c r="H100" s="69"/>
      <c r="I100" s="171"/>
      <c r="J100" s="69"/>
      <c r="K100" s="69"/>
      <c r="L100" s="69"/>
      <c r="M100" s="69"/>
    </row>
    <row r="101" spans="1:13" ht="15" customHeight="1" x14ac:dyDescent="0.25">
      <c r="A101" s="69"/>
      <c r="B101" s="800"/>
      <c r="C101" s="800"/>
      <c r="D101" s="800"/>
      <c r="E101" s="800"/>
      <c r="F101" s="776"/>
      <c r="G101" s="169"/>
      <c r="H101" s="69"/>
      <c r="I101" s="171"/>
      <c r="J101" s="69"/>
      <c r="K101" s="69"/>
      <c r="L101" s="69"/>
      <c r="M101" s="69"/>
    </row>
    <row r="102" spans="1:13" ht="15" customHeight="1" x14ac:dyDescent="0.25">
      <c r="A102" s="69"/>
      <c r="B102" s="800"/>
      <c r="C102" s="800"/>
      <c r="D102" s="800"/>
      <c r="E102" s="800"/>
      <c r="F102" s="171"/>
      <c r="G102" s="69"/>
      <c r="H102" s="69"/>
      <c r="I102" s="171"/>
      <c r="J102" s="69"/>
      <c r="K102" s="69"/>
      <c r="L102" s="69"/>
      <c r="M102" s="69"/>
    </row>
    <row r="103" spans="1:13" ht="15" customHeight="1" x14ac:dyDescent="0.25">
      <c r="A103" s="69"/>
      <c r="B103" s="800"/>
      <c r="C103" s="800"/>
      <c r="D103" s="800"/>
      <c r="E103" s="800"/>
      <c r="F103" s="776"/>
      <c r="G103" s="169"/>
      <c r="H103" s="69"/>
      <c r="I103" s="171"/>
      <c r="J103" s="69"/>
      <c r="K103" s="69"/>
      <c r="L103" s="69"/>
      <c r="M103" s="69"/>
    </row>
    <row r="104" spans="1:13" ht="15" customHeight="1" x14ac:dyDescent="0.25">
      <c r="A104" s="69"/>
      <c r="B104" s="800"/>
      <c r="C104" s="800"/>
      <c r="D104" s="800"/>
      <c r="E104" s="800"/>
      <c r="F104" s="776"/>
      <c r="G104" s="169"/>
      <c r="H104" s="69"/>
      <c r="I104" s="171"/>
      <c r="J104" s="69"/>
      <c r="K104" s="69"/>
      <c r="L104" s="69"/>
      <c r="M104" s="69"/>
    </row>
    <row r="105" spans="1:13" ht="15" customHeight="1" x14ac:dyDescent="0.25">
      <c r="A105" s="69"/>
      <c r="B105" s="776"/>
      <c r="C105" s="169"/>
      <c r="D105" s="69"/>
      <c r="E105" s="169"/>
      <c r="F105" s="776"/>
      <c r="G105" s="169"/>
      <c r="H105" s="69"/>
      <c r="I105" s="171"/>
      <c r="J105" s="69"/>
      <c r="K105" s="69"/>
      <c r="L105" s="69"/>
      <c r="M105" s="69"/>
    </row>
    <row r="106" spans="1:13" ht="15" customHeight="1" x14ac:dyDescent="0.25">
      <c r="A106" s="69"/>
      <c r="B106" s="776"/>
      <c r="C106" s="169"/>
      <c r="D106" s="69"/>
      <c r="E106" s="169"/>
      <c r="F106" s="776"/>
      <c r="G106" s="169"/>
      <c r="H106" s="69"/>
      <c r="I106" s="171"/>
      <c r="J106" s="69"/>
      <c r="K106" s="69"/>
      <c r="L106" s="69"/>
      <c r="M106" s="69"/>
    </row>
    <row r="107" spans="1:13" ht="15" customHeight="1" x14ac:dyDescent="0.25">
      <c r="A107" s="69"/>
      <c r="B107" s="776"/>
      <c r="C107" s="169"/>
      <c r="D107" s="69"/>
      <c r="E107" s="169"/>
      <c r="F107" s="776"/>
      <c r="G107" s="169"/>
      <c r="H107" s="69"/>
      <c r="I107" s="171"/>
      <c r="J107" s="69"/>
      <c r="K107" s="69"/>
      <c r="L107" s="69"/>
      <c r="M107" s="69"/>
    </row>
    <row r="108" spans="1:13" ht="15" customHeight="1" x14ac:dyDescent="0.25">
      <c r="A108" s="69"/>
      <c r="B108" s="776"/>
      <c r="C108" s="169"/>
      <c r="D108" s="69"/>
      <c r="E108" s="169"/>
      <c r="F108" s="776"/>
      <c r="G108" s="169"/>
      <c r="H108" s="69"/>
      <c r="I108" s="171"/>
      <c r="J108" s="69"/>
      <c r="K108" s="69"/>
      <c r="L108" s="69"/>
      <c r="M108" s="69"/>
    </row>
    <row r="109" spans="1:13" ht="15" customHeight="1" x14ac:dyDescent="0.25">
      <c r="A109" s="69"/>
      <c r="B109" s="776"/>
      <c r="C109" s="169"/>
      <c r="D109" s="69"/>
      <c r="E109" s="169"/>
      <c r="F109" s="776"/>
      <c r="G109" s="169"/>
      <c r="H109" s="69"/>
      <c r="I109" s="171"/>
      <c r="J109" s="69"/>
      <c r="K109" s="69"/>
      <c r="L109" s="69"/>
      <c r="M109" s="69"/>
    </row>
    <row r="110" spans="1:13" ht="15" customHeight="1" x14ac:dyDescent="0.25">
      <c r="A110" s="69"/>
      <c r="B110" s="776"/>
      <c r="C110" s="169"/>
      <c r="D110" s="69"/>
      <c r="E110" s="169"/>
      <c r="F110" s="776"/>
      <c r="G110" s="169"/>
      <c r="H110" s="69"/>
      <c r="I110" s="171"/>
      <c r="J110" s="69"/>
      <c r="K110" s="69"/>
      <c r="L110" s="69"/>
      <c r="M110" s="69"/>
    </row>
    <row r="111" spans="1:13" ht="15" customHeight="1" x14ac:dyDescent="0.25">
      <c r="A111" s="69"/>
      <c r="B111" s="776"/>
      <c r="C111" s="169"/>
      <c r="D111" s="69"/>
      <c r="E111" s="169"/>
      <c r="F111" s="776"/>
      <c r="G111" s="169"/>
      <c r="H111" s="69"/>
      <c r="I111" s="171"/>
      <c r="J111" s="69"/>
      <c r="K111" s="69"/>
      <c r="L111" s="69"/>
      <c r="M111" s="69"/>
    </row>
    <row r="112" spans="1:13" ht="15" customHeight="1" x14ac:dyDescent="0.25">
      <c r="A112" s="69"/>
      <c r="B112" s="776"/>
      <c r="C112" s="169"/>
      <c r="D112" s="69"/>
      <c r="E112" s="169"/>
      <c r="F112" s="776"/>
      <c r="G112" s="169"/>
      <c r="H112" s="69"/>
      <c r="I112" s="171"/>
      <c r="J112" s="69"/>
      <c r="K112" s="69"/>
      <c r="L112" s="69"/>
      <c r="M112" s="69"/>
    </row>
    <row r="113" spans="1:13" ht="15" customHeight="1" x14ac:dyDescent="0.25">
      <c r="A113" s="69"/>
      <c r="B113" s="776"/>
      <c r="C113" s="169"/>
      <c r="D113" s="69"/>
      <c r="E113" s="169"/>
      <c r="F113" s="776"/>
      <c r="G113" s="169"/>
      <c r="H113" s="69"/>
      <c r="I113" s="171"/>
      <c r="J113" s="69"/>
      <c r="K113" s="69"/>
      <c r="L113" s="69"/>
      <c r="M113" s="69"/>
    </row>
    <row r="114" spans="1:13" ht="15" customHeight="1" x14ac:dyDescent="0.25">
      <c r="A114" s="69"/>
      <c r="B114" s="776"/>
      <c r="C114" s="169"/>
      <c r="D114" s="69"/>
      <c r="E114" s="169"/>
      <c r="F114" s="776"/>
      <c r="G114" s="169"/>
      <c r="H114" s="69"/>
      <c r="I114" s="171"/>
      <c r="J114" s="69"/>
      <c r="K114" s="69"/>
      <c r="L114" s="69"/>
      <c r="M114" s="69"/>
    </row>
    <row r="115" spans="1:13" ht="15" customHeight="1" x14ac:dyDescent="0.25">
      <c r="A115" s="69"/>
      <c r="B115" s="776"/>
      <c r="C115" s="169"/>
      <c r="D115" s="69"/>
      <c r="E115" s="169"/>
      <c r="F115" s="776"/>
      <c r="G115" s="169"/>
      <c r="H115" s="69"/>
      <c r="I115" s="171"/>
      <c r="J115" s="69"/>
      <c r="K115" s="69"/>
      <c r="L115" s="69"/>
      <c r="M115" s="69"/>
    </row>
    <row r="116" spans="1:13" ht="15" customHeight="1" x14ac:dyDescent="0.25">
      <c r="A116" s="69"/>
      <c r="B116" s="776"/>
      <c r="C116" s="169"/>
      <c r="D116" s="69"/>
      <c r="E116" s="169"/>
      <c r="F116" s="776"/>
      <c r="G116" s="169"/>
      <c r="H116" s="69"/>
      <c r="I116" s="171"/>
      <c r="J116" s="69"/>
      <c r="K116" s="69"/>
      <c r="L116" s="69"/>
      <c r="M116" s="69"/>
    </row>
    <row r="117" spans="1:13" ht="15" customHeight="1" x14ac:dyDescent="0.25">
      <c r="A117" s="69"/>
      <c r="B117" s="776"/>
      <c r="C117" s="169"/>
      <c r="D117" s="69"/>
      <c r="E117" s="169"/>
      <c r="F117" s="776"/>
      <c r="G117" s="169"/>
      <c r="H117" s="69"/>
      <c r="I117" s="171"/>
      <c r="J117" s="69"/>
      <c r="K117" s="69"/>
      <c r="L117" s="69"/>
      <c r="M117" s="69"/>
    </row>
    <row r="118" spans="1:13" ht="15" customHeight="1" x14ac:dyDescent="0.25">
      <c r="A118" s="69"/>
      <c r="B118" s="776"/>
      <c r="C118" s="169"/>
      <c r="D118" s="69"/>
      <c r="E118" s="169"/>
      <c r="F118" s="776"/>
      <c r="G118" s="169"/>
      <c r="H118" s="69"/>
      <c r="I118" s="340"/>
    </row>
    <row r="119" spans="1:13" ht="15" customHeight="1" x14ac:dyDescent="0.25">
      <c r="A119" s="69"/>
      <c r="B119" s="776"/>
      <c r="C119" s="169"/>
      <c r="D119" s="69"/>
      <c r="E119" s="169"/>
      <c r="F119" s="776"/>
      <c r="G119" s="169"/>
      <c r="H119" s="69"/>
      <c r="I119" s="340"/>
    </row>
    <row r="120" spans="1:13" ht="15" customHeight="1" x14ac:dyDescent="0.25">
      <c r="A120" s="69"/>
      <c r="B120" s="776"/>
      <c r="C120" s="169"/>
      <c r="D120" s="69"/>
      <c r="E120" s="169"/>
      <c r="F120" s="776"/>
      <c r="G120" s="169"/>
      <c r="H120" s="69"/>
      <c r="I120" s="340"/>
    </row>
    <row r="121" spans="1:13" ht="15" customHeight="1" x14ac:dyDescent="0.25">
      <c r="A121" s="69"/>
      <c r="B121" s="776"/>
      <c r="C121" s="169"/>
      <c r="D121" s="69"/>
      <c r="E121" s="169"/>
      <c r="F121" s="776"/>
      <c r="G121" s="169"/>
      <c r="H121" s="69"/>
      <c r="I121" s="340"/>
    </row>
    <row r="122" spans="1:13" ht="15" customHeight="1" x14ac:dyDescent="0.25">
      <c r="A122" s="69"/>
      <c r="B122" s="776"/>
      <c r="C122" s="169"/>
      <c r="D122" s="69"/>
      <c r="E122" s="169"/>
      <c r="F122" s="776"/>
      <c r="G122" s="169"/>
      <c r="H122" s="69"/>
      <c r="I122" s="340"/>
    </row>
    <row r="123" spans="1:13" ht="15" customHeight="1" x14ac:dyDescent="0.25">
      <c r="A123" s="69"/>
      <c r="B123" s="776"/>
      <c r="C123" s="169"/>
      <c r="D123" s="69"/>
      <c r="E123" s="169"/>
      <c r="F123" s="171"/>
      <c r="G123" s="69"/>
      <c r="H123" s="69"/>
      <c r="I123" s="340"/>
    </row>
    <row r="124" spans="1:13" ht="15" customHeight="1" x14ac:dyDescent="0.25">
      <c r="A124" s="69"/>
      <c r="B124" s="776"/>
      <c r="C124" s="169"/>
      <c r="D124" s="69"/>
      <c r="E124" s="169"/>
      <c r="F124" s="776"/>
      <c r="G124" s="169"/>
      <c r="H124" s="69"/>
      <c r="I124" s="340"/>
    </row>
    <row r="125" spans="1:13" ht="15" customHeight="1" x14ac:dyDescent="0.25">
      <c r="A125" s="69"/>
      <c r="B125" s="776"/>
      <c r="C125" s="169"/>
      <c r="D125" s="69"/>
      <c r="E125" s="169"/>
      <c r="F125" s="776"/>
      <c r="G125" s="169"/>
      <c r="H125" s="69"/>
      <c r="I125" s="340"/>
    </row>
    <row r="126" spans="1:13" ht="15" customHeight="1" x14ac:dyDescent="0.25">
      <c r="A126" s="69"/>
      <c r="B126" s="776"/>
      <c r="C126" s="169"/>
      <c r="D126" s="69"/>
      <c r="E126" s="169"/>
      <c r="F126" s="171"/>
      <c r="G126" s="69"/>
      <c r="H126" s="69"/>
      <c r="I126" s="340"/>
    </row>
    <row r="127" spans="1:13" ht="15" customHeight="1" x14ac:dyDescent="0.25">
      <c r="A127" s="69"/>
      <c r="B127" s="776"/>
      <c r="C127" s="169"/>
      <c r="D127" s="69"/>
      <c r="E127" s="169"/>
      <c r="F127" s="776"/>
      <c r="G127" s="169"/>
      <c r="H127" s="69"/>
      <c r="I127" s="340"/>
    </row>
    <row r="128" spans="1:13" ht="15" customHeight="1" x14ac:dyDescent="0.25">
      <c r="A128" s="69"/>
      <c r="B128" s="776"/>
      <c r="C128" s="169"/>
      <c r="D128" s="69"/>
      <c r="E128" s="169"/>
      <c r="F128" s="871"/>
      <c r="G128" s="340"/>
      <c r="I128" s="340"/>
    </row>
    <row r="129" spans="1:9" ht="15" customHeight="1" x14ac:dyDescent="0.25">
      <c r="A129" s="69"/>
      <c r="B129" s="776"/>
      <c r="C129" s="169"/>
      <c r="D129" s="69"/>
      <c r="E129" s="169"/>
      <c r="F129" s="871"/>
      <c r="G129" s="340"/>
      <c r="I129" s="340"/>
    </row>
    <row r="130" spans="1:9" ht="15" customHeight="1" x14ac:dyDescent="0.25">
      <c r="A130" s="69"/>
      <c r="B130" s="776"/>
      <c r="C130" s="169"/>
      <c r="D130" s="69"/>
      <c r="E130" s="169"/>
      <c r="F130" s="871"/>
      <c r="G130" s="340"/>
    </row>
    <row r="131" spans="1:9" ht="15" customHeight="1" x14ac:dyDescent="0.25">
      <c r="A131" s="69"/>
      <c r="B131" s="776"/>
      <c r="C131" s="169"/>
      <c r="D131" s="69"/>
      <c r="E131" s="169"/>
      <c r="F131" s="871"/>
      <c r="G131" s="340"/>
      <c r="I131" s="340"/>
    </row>
    <row r="132" spans="1:9" ht="15" customHeight="1" x14ac:dyDescent="0.25">
      <c r="A132" s="69"/>
      <c r="B132" s="776"/>
      <c r="C132" s="169"/>
      <c r="D132" s="69"/>
      <c r="E132" s="169"/>
      <c r="F132" s="871"/>
      <c r="G132" s="340"/>
      <c r="I132" s="340"/>
    </row>
    <row r="133" spans="1:9" ht="15" customHeight="1" x14ac:dyDescent="0.25">
      <c r="A133" s="69"/>
      <c r="B133" s="776"/>
      <c r="C133" s="169"/>
      <c r="D133" s="69"/>
      <c r="E133" s="169"/>
      <c r="F133" s="871"/>
      <c r="G133" s="340"/>
      <c r="I133" s="340"/>
    </row>
    <row r="134" spans="1:9" ht="15" customHeight="1" x14ac:dyDescent="0.25">
      <c r="A134" s="69"/>
      <c r="B134" s="776"/>
      <c r="C134" s="169"/>
      <c r="D134" s="69"/>
      <c r="E134" s="169"/>
      <c r="F134" s="871"/>
      <c r="G134" s="340"/>
    </row>
    <row r="135" spans="1:9" ht="15" customHeight="1" x14ac:dyDescent="0.25">
      <c r="A135" s="69"/>
      <c r="B135" s="776"/>
      <c r="C135" s="169"/>
      <c r="D135" s="69"/>
      <c r="E135" s="169"/>
      <c r="F135" s="871"/>
      <c r="G135" s="340"/>
    </row>
    <row r="136" spans="1:9" ht="15" customHeight="1" x14ac:dyDescent="0.25">
      <c r="A136" s="69"/>
      <c r="B136" s="776"/>
      <c r="C136" s="169"/>
      <c r="D136" s="69"/>
      <c r="E136" s="169"/>
      <c r="F136" s="871"/>
      <c r="G136" s="340"/>
      <c r="I136" s="340"/>
    </row>
    <row r="137" spans="1:9" ht="15" customHeight="1" x14ac:dyDescent="0.25">
      <c r="A137" s="69"/>
      <c r="B137" s="776"/>
      <c r="C137" s="169"/>
      <c r="D137" s="69"/>
      <c r="E137" s="169"/>
      <c r="F137" s="871"/>
      <c r="G137" s="340"/>
      <c r="I137" s="340"/>
    </row>
    <row r="138" spans="1:9" ht="15" customHeight="1" x14ac:dyDescent="0.25">
      <c r="A138" s="69"/>
      <c r="B138" s="776"/>
      <c r="C138" s="169"/>
      <c r="D138" s="69"/>
      <c r="E138" s="169"/>
      <c r="F138" s="871"/>
      <c r="G138" s="340"/>
      <c r="I138" s="340"/>
    </row>
    <row r="139" spans="1:9" ht="15" customHeight="1" x14ac:dyDescent="0.25">
      <c r="A139" s="69"/>
      <c r="B139" s="776"/>
      <c r="C139" s="169"/>
      <c r="D139" s="69"/>
      <c r="E139" s="169"/>
      <c r="F139" s="871"/>
      <c r="G139" s="340"/>
      <c r="I139" s="340"/>
    </row>
    <row r="140" spans="1:9" ht="15" customHeight="1" x14ac:dyDescent="0.25">
      <c r="A140" s="69"/>
      <c r="B140" s="776"/>
      <c r="C140" s="169"/>
      <c r="D140" s="69"/>
      <c r="E140" s="169"/>
      <c r="F140" s="69"/>
      <c r="I140" s="340"/>
    </row>
    <row r="141" spans="1:9" ht="15" customHeight="1" x14ac:dyDescent="0.25">
      <c r="A141" s="69"/>
      <c r="B141" s="776"/>
      <c r="C141" s="169"/>
      <c r="D141" s="69"/>
      <c r="E141" s="169"/>
      <c r="F141" s="871"/>
      <c r="G141" s="340"/>
      <c r="I141" s="340"/>
    </row>
    <row r="142" spans="1:9" ht="15" customHeight="1" x14ac:dyDescent="0.25">
      <c r="A142" s="69"/>
      <c r="B142" s="776"/>
      <c r="C142" s="169"/>
      <c r="D142" s="69"/>
      <c r="E142" s="169"/>
      <c r="F142" s="871"/>
      <c r="G142" s="340"/>
      <c r="I142" s="340"/>
    </row>
    <row r="143" spans="1:9" ht="15" customHeight="1" x14ac:dyDescent="0.25">
      <c r="A143" s="69"/>
      <c r="B143" s="776"/>
      <c r="C143" s="169"/>
      <c r="D143" s="69"/>
      <c r="E143" s="169"/>
      <c r="F143" s="871"/>
      <c r="G143" s="340"/>
    </row>
    <row r="144" spans="1:9" ht="15" customHeight="1" x14ac:dyDescent="0.25">
      <c r="A144" s="69"/>
      <c r="B144" s="776"/>
      <c r="C144" s="169"/>
      <c r="D144" s="69"/>
      <c r="E144" s="169"/>
      <c r="F144" s="69"/>
    </row>
    <row r="145" spans="1:7" ht="15" customHeight="1" x14ac:dyDescent="0.25">
      <c r="A145" s="69"/>
      <c r="B145" s="776"/>
      <c r="C145" s="169"/>
      <c r="D145" s="69"/>
      <c r="E145" s="169"/>
      <c r="F145" s="69"/>
    </row>
    <row r="146" spans="1:7" ht="15" customHeight="1" x14ac:dyDescent="0.25">
      <c r="A146" s="69"/>
      <c r="B146" s="776"/>
      <c r="C146" s="169"/>
      <c r="D146" s="69"/>
      <c r="E146" s="169"/>
      <c r="F146" s="871"/>
      <c r="G146" s="340"/>
    </row>
    <row r="147" spans="1:7" ht="15" customHeight="1" x14ac:dyDescent="0.25">
      <c r="A147" s="69"/>
      <c r="B147" s="776"/>
      <c r="C147" s="169"/>
      <c r="D147" s="69"/>
      <c r="E147" s="169"/>
      <c r="F147" s="871"/>
      <c r="G147" s="340"/>
    </row>
    <row r="148" spans="1:7" ht="15" customHeight="1" x14ac:dyDescent="0.25">
      <c r="A148" s="69"/>
      <c r="B148" s="776"/>
      <c r="C148" s="169"/>
      <c r="D148" s="69"/>
      <c r="E148" s="169"/>
      <c r="F148" s="871"/>
      <c r="G148" s="340"/>
    </row>
    <row r="149" spans="1:7" ht="15" customHeight="1" x14ac:dyDescent="0.25">
      <c r="A149" s="69"/>
      <c r="B149" s="776"/>
      <c r="C149" s="169"/>
      <c r="D149" s="69"/>
      <c r="E149" s="169"/>
      <c r="F149" s="871"/>
      <c r="G149" s="340"/>
    </row>
    <row r="150" spans="1:7" ht="15" customHeight="1" x14ac:dyDescent="0.25">
      <c r="A150" s="69"/>
      <c r="B150" s="776"/>
      <c r="C150" s="169"/>
      <c r="D150" s="69"/>
      <c r="E150" s="169"/>
      <c r="F150" s="871"/>
      <c r="G150" s="340"/>
    </row>
    <row r="151" spans="1:7" ht="15" customHeight="1" x14ac:dyDescent="0.25">
      <c r="A151" s="69"/>
      <c r="B151" s="776"/>
      <c r="C151" s="169"/>
      <c r="D151" s="69"/>
      <c r="E151" s="169"/>
      <c r="F151" s="871"/>
      <c r="G151" s="340"/>
    </row>
    <row r="152" spans="1:7" ht="15" customHeight="1" x14ac:dyDescent="0.25">
      <c r="A152" s="69"/>
      <c r="B152" s="776"/>
      <c r="C152" s="169"/>
      <c r="D152" s="69"/>
      <c r="E152" s="169"/>
      <c r="F152" s="871"/>
      <c r="G152" s="340"/>
    </row>
    <row r="153" spans="1:7" ht="15" customHeight="1" x14ac:dyDescent="0.25">
      <c r="A153" s="69"/>
      <c r="B153" s="69"/>
      <c r="C153" s="69"/>
      <c r="D153" s="69"/>
      <c r="E153" s="69"/>
      <c r="F153" s="69"/>
    </row>
    <row r="154" spans="1:7" ht="15" customHeight="1" x14ac:dyDescent="0.25">
      <c r="A154" s="69"/>
      <c r="B154" s="69"/>
      <c r="C154" s="69"/>
      <c r="D154" s="69"/>
      <c r="E154" s="69"/>
      <c r="F154" s="69"/>
    </row>
    <row r="155" spans="1:7" ht="15" customHeight="1" x14ac:dyDescent="0.25">
      <c r="A155" s="69"/>
      <c r="B155" s="69"/>
      <c r="C155" s="69"/>
      <c r="D155" s="69"/>
      <c r="E155" s="69"/>
      <c r="F155" s="69"/>
    </row>
    <row r="156" spans="1:7" ht="15" customHeight="1" x14ac:dyDescent="0.25">
      <c r="A156" s="69"/>
      <c r="B156" s="69"/>
      <c r="C156" s="69"/>
      <c r="D156" s="69"/>
      <c r="E156" s="69"/>
      <c r="F156" s="69"/>
    </row>
    <row r="157" spans="1:7" ht="15" customHeight="1" x14ac:dyDescent="0.25">
      <c r="A157" s="69"/>
      <c r="B157" s="69"/>
      <c r="C157" s="69"/>
      <c r="D157" s="69"/>
      <c r="E157" s="69"/>
      <c r="F157" s="69"/>
    </row>
    <row r="158" spans="1:7" ht="15" customHeight="1" x14ac:dyDescent="0.25">
      <c r="A158" s="69"/>
      <c r="B158" s="69"/>
      <c r="C158" s="69"/>
      <c r="D158" s="69"/>
      <c r="E158" s="69"/>
      <c r="F158" s="69"/>
    </row>
  </sheetData>
  <mergeCells count="12">
    <mergeCell ref="C13:D13"/>
    <mergeCell ref="B5:M5"/>
    <mergeCell ref="H8:I11"/>
    <mergeCell ref="C10:D10"/>
    <mergeCell ref="C11:D11"/>
    <mergeCell ref="C12:D12"/>
    <mergeCell ref="H17:I20"/>
    <mergeCell ref="E25:H25"/>
    <mergeCell ref="E30:L30"/>
    <mergeCell ref="B55:F55"/>
    <mergeCell ref="B57:C57"/>
    <mergeCell ref="F57:G57"/>
  </mergeCells>
  <conditionalFormatting sqref="G34">
    <cfRule type="cellIs" dxfId="0" priority="1" operator="equal">
      <formula>#REF!</formula>
    </cfRule>
  </conditionalFormatting>
  <dataValidations count="1">
    <dataValidation type="list" allowBlank="1" showInputMessage="1" showErrorMessage="1" sqref="F10" xr:uid="{00000000-0002-0000-0400-000000000000}">
      <formula1>$N$3:$N$6</formula1>
    </dataValidation>
  </dataValidations>
  <pageMargins left="0.78740157499999996" right="0.74" top="0.51" bottom="0.5" header="0.4921259845" footer="0.4921259845"/>
  <pageSetup paperSize="9" scale="23" fitToHeight="2" orientation="landscape" r:id="rId1"/>
  <headerFooter alignWithMargins="0"/>
  <drawing r:id="rId2"/>
  <legacyDrawing r:id="rId3"/>
  <oleObjects>
    <mc:AlternateContent xmlns:mc="http://schemas.openxmlformats.org/markup-compatibility/2006">
      <mc:Choice Requires="x14">
        <oleObject progId="Equation.DSMT4" shapeId="35841" r:id="rId4">
          <objectPr defaultSize="0" autoPict="0" r:id="rId5">
            <anchor moveWithCells="1">
              <from>
                <xdr:col>2</xdr:col>
                <xdr:colOff>19050</xdr:colOff>
                <xdr:row>17</xdr:row>
                <xdr:rowOff>171450</xdr:rowOff>
              </from>
              <to>
                <xdr:col>2</xdr:col>
                <xdr:colOff>400050</xdr:colOff>
                <xdr:row>19</xdr:row>
                <xdr:rowOff>19050</xdr:rowOff>
              </to>
            </anchor>
          </objectPr>
        </oleObject>
      </mc:Choice>
      <mc:Fallback>
        <oleObject progId="Equation.DSMT4" shapeId="35841" r:id="rId4"/>
      </mc:Fallback>
    </mc:AlternateContent>
    <mc:AlternateContent xmlns:mc="http://schemas.openxmlformats.org/markup-compatibility/2006">
      <mc:Choice Requires="x14">
        <oleObject progId="Equation.DSMT4" shapeId="35842" r:id="rId6">
          <objectPr defaultSize="0" autoPict="0" r:id="rId7">
            <anchor moveWithCells="1">
              <from>
                <xdr:col>2</xdr:col>
                <xdr:colOff>9525</xdr:colOff>
                <xdr:row>33</xdr:row>
                <xdr:rowOff>28575</xdr:rowOff>
              </from>
              <to>
                <xdr:col>2</xdr:col>
                <xdr:colOff>171450</xdr:colOff>
                <xdr:row>34</xdr:row>
                <xdr:rowOff>9525</xdr:rowOff>
              </to>
            </anchor>
          </objectPr>
        </oleObject>
      </mc:Choice>
      <mc:Fallback>
        <oleObject progId="Equation.DSMT4" shapeId="35842" r:id="rId6"/>
      </mc:Fallback>
    </mc:AlternateContent>
    <mc:AlternateContent xmlns:mc="http://schemas.openxmlformats.org/markup-compatibility/2006">
      <mc:Choice Requires="x14">
        <oleObject progId="Equation.DSMT4" shapeId="35843" r:id="rId8">
          <objectPr defaultSize="0" autoPict="0" r:id="rId9">
            <anchor moveWithCells="1">
              <from>
                <xdr:col>2</xdr:col>
                <xdr:colOff>0</xdr:colOff>
                <xdr:row>24</xdr:row>
                <xdr:rowOff>0</xdr:rowOff>
              </from>
              <to>
                <xdr:col>2</xdr:col>
                <xdr:colOff>190500</xdr:colOff>
                <xdr:row>25</xdr:row>
                <xdr:rowOff>19050</xdr:rowOff>
              </to>
            </anchor>
          </objectPr>
        </oleObject>
      </mc:Choice>
      <mc:Fallback>
        <oleObject progId="Equation.DSMT4" shapeId="35843" r:id="rId8"/>
      </mc:Fallback>
    </mc:AlternateContent>
    <mc:AlternateContent xmlns:mc="http://schemas.openxmlformats.org/markup-compatibility/2006">
      <mc:Choice Requires="x14">
        <oleObject progId="Equation.DSMT4" shapeId="35844" r:id="rId10">
          <objectPr defaultSize="0" autoPict="0" r:id="rId11">
            <anchor moveWithCells="1">
              <from>
                <xdr:col>1</xdr:col>
                <xdr:colOff>2371725</xdr:colOff>
                <xdr:row>24</xdr:row>
                <xdr:rowOff>152400</xdr:rowOff>
              </from>
              <to>
                <xdr:col>2</xdr:col>
                <xdr:colOff>209550</xdr:colOff>
                <xdr:row>26</xdr:row>
                <xdr:rowOff>28575</xdr:rowOff>
              </to>
            </anchor>
          </objectPr>
        </oleObject>
      </mc:Choice>
      <mc:Fallback>
        <oleObject progId="Equation.DSMT4" shapeId="35844" r:id="rId10"/>
      </mc:Fallback>
    </mc:AlternateContent>
    <mc:AlternateContent xmlns:mc="http://schemas.openxmlformats.org/markup-compatibility/2006">
      <mc:Choice Requires="x14">
        <oleObject progId="Equation.DSMT4" shapeId="35845" r:id="rId12">
          <objectPr defaultSize="0" r:id="rId13">
            <anchor moveWithCells="1">
              <from>
                <xdr:col>2</xdr:col>
                <xdr:colOff>28575</xdr:colOff>
                <xdr:row>28</xdr:row>
                <xdr:rowOff>123825</xdr:rowOff>
              </from>
              <to>
                <xdr:col>2</xdr:col>
                <xdr:colOff>142875</xdr:colOff>
                <xdr:row>28</xdr:row>
                <xdr:rowOff>247650</xdr:rowOff>
              </to>
            </anchor>
          </objectPr>
        </oleObject>
      </mc:Choice>
      <mc:Fallback>
        <oleObject progId="Equation.DSMT4" shapeId="35845" r:id="rId12"/>
      </mc:Fallback>
    </mc:AlternateContent>
    <mc:AlternateContent xmlns:mc="http://schemas.openxmlformats.org/markup-compatibility/2006">
      <mc:Choice Requires="x14">
        <oleObject progId="Equation.DSMT4" shapeId="35846" r:id="rId14">
          <objectPr defaultSize="0" autoPict="0" r:id="rId15">
            <anchor moveWithCells="1">
              <from>
                <xdr:col>2</xdr:col>
                <xdr:colOff>9525</xdr:colOff>
                <xdr:row>34</xdr:row>
                <xdr:rowOff>28575</xdr:rowOff>
              </from>
              <to>
                <xdr:col>2</xdr:col>
                <xdr:colOff>171450</xdr:colOff>
                <xdr:row>35</xdr:row>
                <xdr:rowOff>9525</xdr:rowOff>
              </to>
            </anchor>
          </objectPr>
        </oleObject>
      </mc:Choice>
      <mc:Fallback>
        <oleObject progId="Equation.DSMT4" shapeId="35846" r:id="rId14"/>
      </mc:Fallback>
    </mc:AlternateContent>
    <mc:AlternateContent xmlns:mc="http://schemas.openxmlformats.org/markup-compatibility/2006">
      <mc:Choice Requires="x14">
        <oleObject progId="Equation.DSMT4" shapeId="35847" r:id="rId16">
          <objectPr defaultSize="0" autoPict="0" r:id="rId17">
            <anchor moveWithCells="1">
              <from>
                <xdr:col>2</xdr:col>
                <xdr:colOff>9525</xdr:colOff>
                <xdr:row>35</xdr:row>
                <xdr:rowOff>28575</xdr:rowOff>
              </from>
              <to>
                <xdr:col>2</xdr:col>
                <xdr:colOff>171450</xdr:colOff>
                <xdr:row>36</xdr:row>
                <xdr:rowOff>9525</xdr:rowOff>
              </to>
            </anchor>
          </objectPr>
        </oleObject>
      </mc:Choice>
      <mc:Fallback>
        <oleObject progId="Equation.DSMT4" shapeId="35847" r:id="rId16"/>
      </mc:Fallback>
    </mc:AlternateContent>
    <mc:AlternateContent xmlns:mc="http://schemas.openxmlformats.org/markup-compatibility/2006">
      <mc:Choice Requires="x14">
        <oleObject progId="Equation.DSMT4" shapeId="35848" r:id="rId18">
          <objectPr defaultSize="0" r:id="rId19">
            <anchor moveWithCells="1">
              <from>
                <xdr:col>2</xdr:col>
                <xdr:colOff>19050</xdr:colOff>
                <xdr:row>29</xdr:row>
                <xdr:rowOff>200025</xdr:rowOff>
              </from>
              <to>
                <xdr:col>2</xdr:col>
                <xdr:colOff>142875</xdr:colOff>
                <xdr:row>29</xdr:row>
                <xdr:rowOff>342900</xdr:rowOff>
              </to>
            </anchor>
          </objectPr>
        </oleObject>
      </mc:Choice>
      <mc:Fallback>
        <oleObject progId="Equation.DSMT4" shapeId="35848" r:id="rId18"/>
      </mc:Fallback>
    </mc:AlternateContent>
    <mc:AlternateContent xmlns:mc="http://schemas.openxmlformats.org/markup-compatibility/2006">
      <mc:Choice Requires="x14">
        <oleObject progId="Equation.DSMT4" shapeId="35849" r:id="rId20">
          <objectPr defaultSize="0" autoPict="0" r:id="rId5">
            <anchor moveWithCells="1">
              <from>
                <xdr:col>6</xdr:col>
                <xdr:colOff>19050</xdr:colOff>
                <xdr:row>35</xdr:row>
                <xdr:rowOff>180975</xdr:rowOff>
              </from>
              <to>
                <xdr:col>6</xdr:col>
                <xdr:colOff>400050</xdr:colOff>
                <xdr:row>37</xdr:row>
                <xdr:rowOff>28575</xdr:rowOff>
              </to>
            </anchor>
          </objectPr>
        </oleObject>
      </mc:Choice>
      <mc:Fallback>
        <oleObject progId="Equation.DSMT4" shapeId="35849" r:id="rId20"/>
      </mc:Fallback>
    </mc:AlternateContent>
    <mc:AlternateContent xmlns:mc="http://schemas.openxmlformats.org/markup-compatibility/2006">
      <mc:Choice Requires="x14">
        <oleObject progId="Equation.DSMT4" shapeId="35850" r:id="rId21">
          <objectPr defaultSize="0" autoPict="0" r:id="rId22">
            <anchor moveWithCells="1">
              <from>
                <xdr:col>1</xdr:col>
                <xdr:colOff>2371725</xdr:colOff>
                <xdr:row>25</xdr:row>
                <xdr:rowOff>152400</xdr:rowOff>
              </from>
              <to>
                <xdr:col>2</xdr:col>
                <xdr:colOff>228600</xdr:colOff>
                <xdr:row>27</xdr:row>
                <xdr:rowOff>28575</xdr:rowOff>
              </to>
            </anchor>
          </objectPr>
        </oleObject>
      </mc:Choice>
      <mc:Fallback>
        <oleObject progId="Equation.DSMT4" shapeId="35850" r:id="rId21"/>
      </mc:Fallback>
    </mc:AlternateContent>
    <mc:AlternateContent xmlns:mc="http://schemas.openxmlformats.org/markup-compatibility/2006">
      <mc:Choice Requires="x14">
        <oleObject progId="Equation.DSMT4" shapeId="35851" r:id="rId23">
          <objectPr defaultSize="0" autoPict="0" r:id="rId5">
            <anchor moveWithCells="1">
              <from>
                <xdr:col>6</xdr:col>
                <xdr:colOff>19050</xdr:colOff>
                <xdr:row>36</xdr:row>
                <xdr:rowOff>180975</xdr:rowOff>
              </from>
              <to>
                <xdr:col>6</xdr:col>
                <xdr:colOff>400050</xdr:colOff>
                <xdr:row>38</xdr:row>
                <xdr:rowOff>28575</xdr:rowOff>
              </to>
            </anchor>
          </objectPr>
        </oleObject>
      </mc:Choice>
      <mc:Fallback>
        <oleObject progId="Equation.DSMT4" shapeId="35851" r:id="rId23"/>
      </mc:Fallback>
    </mc:AlternateContent>
    <mc:AlternateContent xmlns:mc="http://schemas.openxmlformats.org/markup-compatibility/2006">
      <mc:Choice Requires="x14">
        <oleObject progId="Equation.DSMT4" shapeId="35852" r:id="rId24">
          <objectPr defaultSize="0" autoPict="0" r:id="rId25">
            <anchor moveWithCells="1">
              <from>
                <xdr:col>8</xdr:col>
                <xdr:colOff>28575</xdr:colOff>
                <xdr:row>24</xdr:row>
                <xdr:rowOff>0</xdr:rowOff>
              </from>
              <to>
                <xdr:col>11</xdr:col>
                <xdr:colOff>733425</xdr:colOff>
                <xdr:row>28</xdr:row>
                <xdr:rowOff>9525</xdr:rowOff>
              </to>
            </anchor>
          </objectPr>
        </oleObject>
      </mc:Choice>
      <mc:Fallback>
        <oleObject progId="Equation.DSMT4" shapeId="35852" r:id="rId2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tabColor rgb="FF00B050"/>
    <pageSetUpPr fitToPage="1"/>
  </sheetPr>
  <dimension ref="A1:O68"/>
  <sheetViews>
    <sheetView view="pageBreakPreview" zoomScaleNormal="100" zoomScaleSheetLayoutView="150" workbookViewId="0">
      <selection activeCell="D32" sqref="D32"/>
    </sheetView>
  </sheetViews>
  <sheetFormatPr defaultColWidth="9.140625" defaultRowHeight="12.75" x14ac:dyDescent="0.25"/>
  <cols>
    <col min="1" max="1" width="8.7109375" style="261" customWidth="1"/>
    <col min="2" max="2" width="25.85546875" style="261" customWidth="1"/>
    <col min="3" max="3" width="17.85546875" style="261" customWidth="1"/>
    <col min="4" max="4" width="18.85546875" style="261" customWidth="1"/>
    <col min="5" max="5" width="22.28515625" style="261" customWidth="1"/>
    <col min="6" max="6" width="23.5703125" style="261" customWidth="1"/>
    <col min="7" max="7" width="17.85546875" style="261" customWidth="1"/>
    <col min="8" max="9" width="7.85546875" style="261" customWidth="1"/>
    <col min="10" max="10" width="14.5703125" style="261" customWidth="1"/>
    <col min="11" max="11" width="23.85546875" style="261" customWidth="1"/>
    <col min="12" max="12" width="11.5703125" style="261" customWidth="1"/>
    <col min="13" max="13" width="11.42578125" style="261" customWidth="1"/>
    <col min="14" max="14" width="17.5703125" style="261" customWidth="1"/>
    <col min="15" max="15" width="17.85546875" style="261" customWidth="1"/>
    <col min="16" max="16384" width="9.140625" style="261"/>
  </cols>
  <sheetData>
    <row r="1" spans="2:14" ht="13.5" thickBot="1" x14ac:dyDescent="0.3"/>
    <row r="2" spans="2:14" ht="18" x14ac:dyDescent="0.2">
      <c r="B2" s="399" t="str">
        <f>'building data'!B2</f>
        <v>Mounting Systems GmbH</v>
      </c>
      <c r="C2" s="3"/>
      <c r="D2" s="4"/>
      <c r="E2" s="4"/>
      <c r="F2" s="4"/>
      <c r="G2" s="4"/>
      <c r="H2" s="402"/>
      <c r="I2" s="176" t="str">
        <f>IF($F$10="Deutsch","Die gelben Felder sind projektabhängig auszufüllen.",IF($F$10="English","The yellow cells have to be filled out depending on the project.","Fehler"))</f>
        <v>Die gelben Felder sind projektabhängig auszufüllen.</v>
      </c>
      <c r="J2" s="3"/>
      <c r="K2" s="4"/>
      <c r="L2" s="4"/>
      <c r="M2" s="7"/>
      <c r="N2" s="8" t="str">
        <f>IF($F$10="Deutsch","Sprache:",IF($F$10="English","Language:","Fehler"))</f>
        <v>Sprache:</v>
      </c>
    </row>
    <row r="3" spans="2:14" ht="18" x14ac:dyDescent="0.2">
      <c r="B3" s="405" t="str">
        <f>'building data'!B3</f>
        <v>Solar ballasted roof mount system</v>
      </c>
      <c r="C3" s="10"/>
      <c r="D3" s="11"/>
      <c r="E3" s="11"/>
      <c r="F3" s="11"/>
      <c r="G3" s="11"/>
      <c r="H3" s="408"/>
      <c r="I3" s="177" t="str">
        <f>IF($F$10="Deutsch","Die türkisfarbenen Felder werden berechnet.",IF($F$10="English","The turquoise cells are calculated.","Fehler"))</f>
        <v>Die türkisfarbenen Felder werden berechnet.</v>
      </c>
      <c r="J3" s="14"/>
      <c r="K3" s="11"/>
      <c r="L3" s="11"/>
      <c r="M3" s="15"/>
      <c r="N3" s="108" t="s">
        <v>0</v>
      </c>
    </row>
    <row r="4" spans="2:14" ht="18" x14ac:dyDescent="0.2">
      <c r="B4" s="405" t="str">
        <f>'building data'!B4</f>
        <v xml:space="preserve">Lambda Light EW+ </v>
      </c>
      <c r="C4" s="11"/>
      <c r="D4" s="11"/>
      <c r="E4" s="11"/>
      <c r="F4" s="11"/>
      <c r="G4" s="11"/>
      <c r="H4" s="11"/>
      <c r="I4" s="14"/>
      <c r="J4" s="11"/>
      <c r="K4" s="11"/>
      <c r="L4" s="11"/>
      <c r="M4" s="15"/>
      <c r="N4" s="108" t="s">
        <v>13</v>
      </c>
    </row>
    <row r="5" spans="2:14" ht="16.5" thickBot="1" x14ac:dyDescent="0.3">
      <c r="B5" s="949" t="str">
        <f>IF($F$10="Deutsch","ASCE 7-05",IF($F$10="English","ASCE 7-05","Fehler"))</f>
        <v>ASCE 7-05</v>
      </c>
      <c r="C5" s="1090"/>
      <c r="D5" s="1090"/>
      <c r="E5" s="1090"/>
      <c r="F5" s="1090"/>
      <c r="G5" s="1090"/>
      <c r="H5" s="1090"/>
      <c r="I5" s="1090"/>
      <c r="J5" s="1090"/>
      <c r="K5" s="1090"/>
      <c r="L5" s="1090"/>
      <c r="M5" s="951"/>
      <c r="N5" s="108"/>
    </row>
    <row r="6" spans="2:14" ht="15" x14ac:dyDescent="0.2">
      <c r="B6" s="721" t="str">
        <f>IF($F$10="Deutsch","Auslegungsgrundlage:",IF($F$10="English","Design Base:","Fehler"))</f>
        <v>Auslegungsgrundlage:</v>
      </c>
      <c r="C6" s="51" t="s">
        <v>83</v>
      </c>
      <c r="D6" s="1"/>
      <c r="E6" s="1"/>
      <c r="F6" s="1"/>
      <c r="G6" s="1"/>
      <c r="H6" s="1"/>
      <c r="I6" s="1"/>
      <c r="J6" s="1"/>
      <c r="K6" s="1"/>
      <c r="L6" s="1"/>
      <c r="M6" s="1"/>
      <c r="N6" s="108"/>
    </row>
    <row r="7" spans="2:14" ht="15" x14ac:dyDescent="0.2">
      <c r="B7" s="51"/>
      <c r="C7" s="51" t="s">
        <v>84</v>
      </c>
      <c r="D7" s="1"/>
      <c r="E7" s="1"/>
      <c r="F7" s="1"/>
      <c r="G7" s="1"/>
      <c r="H7" s="1"/>
      <c r="I7" s="1"/>
      <c r="J7" s="1"/>
      <c r="K7" s="1"/>
      <c r="L7" s="1"/>
      <c r="M7" s="1"/>
      <c r="N7" s="1"/>
    </row>
    <row r="8" spans="2:14" ht="15" x14ac:dyDescent="0.2">
      <c r="B8" s="1"/>
      <c r="C8" s="51"/>
      <c r="D8" s="1"/>
      <c r="E8" s="1"/>
      <c r="F8" s="1"/>
      <c r="G8" s="1"/>
      <c r="H8" s="1"/>
      <c r="I8" s="1"/>
      <c r="J8" s="1"/>
      <c r="K8" s="1"/>
      <c r="L8" s="1"/>
      <c r="M8" s="1"/>
      <c r="N8" s="1"/>
    </row>
    <row r="9" spans="2:14" ht="13.5" thickBot="1" x14ac:dyDescent="0.25">
      <c r="B9" s="722" t="str">
        <f>IF($F$10="Deutsch","Projektdaten:",IF($F$10="English","Project data:","Fehler"))</f>
        <v>Projektdaten:</v>
      </c>
      <c r="C9" s="1"/>
      <c r="D9" s="1"/>
      <c r="E9" s="1"/>
      <c r="F9" s="1"/>
      <c r="G9" s="1"/>
      <c r="H9" s="1"/>
      <c r="I9" s="1"/>
      <c r="J9" s="1"/>
      <c r="K9" s="1"/>
      <c r="L9" s="1"/>
      <c r="M9" s="1"/>
      <c r="N9" s="1"/>
    </row>
    <row r="10" spans="2:14" x14ac:dyDescent="0.2">
      <c r="B10" s="723" t="str">
        <f>IF($F$10="Deutsch","Projekt:",IF($F$10="English","Project:","Fehler"))</f>
        <v>Projekt:</v>
      </c>
      <c r="C10" s="1236" t="str">
        <f>'building data'!C9</f>
        <v>EN15-</v>
      </c>
      <c r="D10" s="1237"/>
      <c r="E10" s="724" t="str">
        <f>IF($F$10="Deutsch","Sprache:",IF($F$10="English","Language:","Fehler"))</f>
        <v>Sprache:</v>
      </c>
      <c r="F10" s="725" t="s">
        <v>0</v>
      </c>
      <c r="G10" s="26"/>
      <c r="H10" s="726"/>
      <c r="I10" s="1"/>
      <c r="J10" s="1"/>
      <c r="K10" s="1"/>
      <c r="L10" s="1"/>
      <c r="M10" s="1"/>
      <c r="N10" s="1"/>
    </row>
    <row r="11" spans="2:14" x14ac:dyDescent="0.2">
      <c r="B11" s="727" t="str">
        <f>IF($F$10="Deutsch","PLZ:",IF($F$10="English","Postal code:","Fehler"))</f>
        <v>PLZ:</v>
      </c>
      <c r="C11" s="1238">
        <f>'building data'!C10</f>
        <v>2301</v>
      </c>
      <c r="D11" s="1238"/>
      <c r="E11" s="728" t="str">
        <f>IF($F$10="Deutsch","Standort:",IF($F$10="English","Site:","Fehler"))</f>
        <v>Standort:</v>
      </c>
      <c r="F11" s="419" t="str">
        <f>'building data'!G10</f>
        <v>Hortsfelde</v>
      </c>
      <c r="G11" s="26"/>
      <c r="H11" s="1"/>
      <c r="I11" s="1"/>
      <c r="J11" s="1"/>
      <c r="K11" s="1"/>
      <c r="L11" s="1"/>
      <c r="M11" s="1"/>
      <c r="N11" s="1"/>
    </row>
    <row r="12" spans="2:14" x14ac:dyDescent="0.2">
      <c r="B12" s="727" t="str">
        <f>IF($F$10="Deutsch","Bearbeiter:",IF($F$10="English","Person in charge:","Fehler"))</f>
        <v>Bearbeiter:</v>
      </c>
      <c r="C12" s="1238" t="str">
        <f>'building data'!C11</f>
        <v>HGF</v>
      </c>
      <c r="D12" s="1238"/>
      <c r="E12" s="728" t="str">
        <f>IF($F$10="Deutsch","Land:",IF($F$10="English","Country:","Fehler"))</f>
        <v>Land:</v>
      </c>
      <c r="F12" s="419" t="str">
        <f>'building data'!G11</f>
        <v>Germany</v>
      </c>
      <c r="G12" s="26"/>
      <c r="H12" s="1"/>
      <c r="I12" s="1"/>
      <c r="J12" s="1"/>
      <c r="K12" s="1"/>
      <c r="L12" s="1"/>
      <c r="M12" s="1"/>
      <c r="N12" s="1"/>
    </row>
    <row r="13" spans="2:14" ht="13.5" thickBot="1" x14ac:dyDescent="0.25">
      <c r="B13" s="729" t="str">
        <f>IF($F$10="Deutsch","Stand:",IF($F$10="English","Last update:","Fehler"))</f>
        <v>Stand:</v>
      </c>
      <c r="C13" s="1241">
        <f>'building data'!C12</f>
        <v>42272</v>
      </c>
      <c r="D13" s="1242"/>
      <c r="E13" s="730" t="str">
        <f>IF($F$10="Deutsch","Norm:",IF($F$10="English","Standard:","Fehler"))</f>
        <v>Norm:</v>
      </c>
      <c r="F13" s="422" t="str">
        <f>'building data'!G12</f>
        <v>DIN EN 1991-1-4</v>
      </c>
      <c r="G13" s="26"/>
      <c r="H13" s="1"/>
      <c r="I13" s="1"/>
      <c r="J13" s="1"/>
      <c r="K13" s="1"/>
      <c r="L13" s="1"/>
      <c r="M13" s="1"/>
      <c r="N13" s="1"/>
    </row>
    <row r="14" spans="2:14" ht="12.75" customHeight="1" x14ac:dyDescent="0.2">
      <c r="B14" s="1"/>
      <c r="C14" s="26"/>
      <c r="D14" s="26"/>
      <c r="E14" s="26"/>
      <c r="F14" s="1"/>
      <c r="G14" s="1"/>
      <c r="H14" s="1"/>
      <c r="I14" s="1"/>
      <c r="J14" s="1"/>
      <c r="K14" s="1"/>
      <c r="L14" s="1"/>
      <c r="M14" s="1"/>
    </row>
    <row r="15" spans="2:14" x14ac:dyDescent="0.2">
      <c r="B15" s="1"/>
      <c r="C15" s="1"/>
      <c r="D15" s="1"/>
      <c r="E15" s="1"/>
      <c r="F15" s="1"/>
      <c r="G15" s="1"/>
      <c r="H15" s="1"/>
      <c r="I15" s="1"/>
      <c r="J15" s="1"/>
      <c r="K15" s="1"/>
      <c r="L15" s="1"/>
      <c r="M15" s="1"/>
    </row>
    <row r="16" spans="2:14" x14ac:dyDescent="0.2">
      <c r="B16" s="18" t="str">
        <f>IF($F$10="Deutsch","Ermittlung der Windzone, der Geländekategorie und zusätzlicher Werte nach",IF($F$10="English","Determination of wind zone, Exposure category and of additional values according to","Fehler"))</f>
        <v>Ermittlung der Windzone, der Geländekategorie und zusätzlicher Werte nach</v>
      </c>
      <c r="C16" s="1"/>
      <c r="D16" s="1"/>
      <c r="E16" s="1"/>
      <c r="F16" s="1"/>
      <c r="G16" s="1"/>
      <c r="H16" s="1"/>
      <c r="I16" s="1"/>
      <c r="J16" s="1"/>
      <c r="K16" s="1"/>
      <c r="L16" s="1"/>
      <c r="M16" s="1"/>
    </row>
    <row r="17" spans="2:13" x14ac:dyDescent="0.2">
      <c r="B17" s="18" t="str">
        <f>IF($F$10="Deutsch",CONCATENATE(C6," und ",C7),IF($F$10="English",CONCATENATE(C6," and ",C7),"Fehler"))</f>
        <v>ASCE/SEI 7-05: Section 6 und ASCE/SEI 7-05: Annex C6</v>
      </c>
      <c r="C17" s="1"/>
      <c r="D17" s="1"/>
      <c r="E17" s="1"/>
      <c r="F17" s="1"/>
      <c r="G17" s="1"/>
      <c r="H17" s="1"/>
      <c r="I17" s="1"/>
      <c r="J17" s="1"/>
      <c r="K17" s="1"/>
      <c r="L17" s="1"/>
      <c r="M17" s="1"/>
    </row>
    <row r="18" spans="2:13" ht="13.5" thickBot="1" x14ac:dyDescent="0.3">
      <c r="B18" s="134"/>
    </row>
    <row r="19" spans="2:13" ht="17.25" customHeight="1" thickBot="1" x14ac:dyDescent="0.25">
      <c r="B19" s="731" t="str">
        <f>IF($F$10="Deutsch","Böenstaudruck",IF($F$10="English","Peak velocity pressure","Fehler"))</f>
        <v>Böenstaudruck</v>
      </c>
      <c r="C19" s="732">
        <f>VLOOKUP(C24,B38:L40,6,0)/1000</f>
        <v>0.99981521436961207</v>
      </c>
      <c r="D19" s="733" t="s">
        <v>3</v>
      </c>
      <c r="E19" s="734" t="str">
        <f>IF($F$10="Deutsch","entspricht",IF($F$10="English","corresponds to","Fehler"))</f>
        <v>entspricht</v>
      </c>
      <c r="F19" s="735">
        <f>(2/1.25*1000*C19)^0.5</f>
        <v>39.996304116647821</v>
      </c>
      <c r="G19" s="736" t="s">
        <v>14</v>
      </c>
      <c r="H19" s="1243" t="str">
        <f>IF($F$10="Deutsch","bzw.",IF($F$10="English","respectively","Fehler"))</f>
        <v>bzw.</v>
      </c>
      <c r="I19" s="1243"/>
      <c r="J19" s="735">
        <f>F19*3.6</f>
        <v>143.98669481993215</v>
      </c>
      <c r="K19" s="737" t="s">
        <v>15</v>
      </c>
    </row>
    <row r="20" spans="2:13" ht="12.75" customHeight="1" x14ac:dyDescent="0.25"/>
    <row r="21" spans="2:13" ht="12.75" customHeight="1" x14ac:dyDescent="0.25"/>
    <row r="22" spans="2:13" ht="12.75" customHeight="1" x14ac:dyDescent="0.25">
      <c r="B22" s="134"/>
    </row>
    <row r="23" spans="2:13" ht="16.5" thickBot="1" x14ac:dyDescent="0.3">
      <c r="B23" s="738" t="str">
        <f>IF($F$10="Deutsch","Projektdaten:",IF($F$10="English","Project data:","Fehler"))</f>
        <v>Projektdaten:</v>
      </c>
    </row>
    <row r="24" spans="2:13" ht="13.5" customHeight="1" x14ac:dyDescent="0.25">
      <c r="B24" s="135" t="str">
        <f>IF($F$10="Deutsch","Geländekategorie:",IF($F$10="English","Exposure category:","Fehler"))</f>
        <v>Geländekategorie:</v>
      </c>
      <c r="C24" s="136" t="s">
        <v>16</v>
      </c>
      <c r="D24" s="83"/>
      <c r="E24" s="1244" t="str">
        <f>IF($F$10="Deutsch","Bestimmung der Geländekategorien nach Abschnitt 6.5.6.3",IF($F$10="English","Definition of exposure categories according to section 6.5.6.3","Fehler"))</f>
        <v>Bestimmung der Geländekategorien nach Abschnitt 6.5.6.3</v>
      </c>
      <c r="F24" s="1244"/>
      <c r="G24" s="1244"/>
      <c r="H24" s="1244"/>
      <c r="I24" s="1244"/>
      <c r="J24" s="1244"/>
      <c r="K24" s="1244"/>
      <c r="L24" s="1245"/>
    </row>
    <row r="25" spans="2:13" x14ac:dyDescent="0.25">
      <c r="B25" s="137" t="str">
        <f>IF($F$10="Deutsch","Geländebeschreibung:",IF($F$10="English","Designation:","Fehler"))</f>
        <v>Geländebeschreibung:</v>
      </c>
      <c r="C25" s="1246" t="str">
        <f>VLOOKUP(C24,B38:N40,7,0)</f>
        <v>Städte, Vorstädte, Wald oder anderes Gelände mit vielen nahe beieinander liegenden Hindernissen wie Einfamilienhäusern oder größer.</v>
      </c>
      <c r="D25" s="1246"/>
      <c r="E25" s="1246"/>
      <c r="F25" s="1246"/>
      <c r="G25" s="1246"/>
      <c r="H25" s="1246"/>
      <c r="I25" s="1246"/>
      <c r="J25" s="1246"/>
      <c r="K25" s="1246"/>
      <c r="L25" s="1247"/>
    </row>
    <row r="26" spans="2:13" ht="25.5" customHeight="1" x14ac:dyDescent="0.25">
      <c r="B26" s="138" t="str">
        <f>IF($F$10="Deutsch","Standorthöhe über Meeresniveau",IF($F$10="English","Local elevation above sea level:","Fehler"))</f>
        <v>Standorthöhe über Meeresniveau</v>
      </c>
      <c r="C26" s="139">
        <v>900</v>
      </c>
      <c r="D26" s="715" t="str">
        <f>IF($F$10="Deutsch","m über NHN",IF($F$10="English","m ASL","Fehler"))</f>
        <v>m über NHN</v>
      </c>
      <c r="E26" s="1248"/>
      <c r="F26" s="1248"/>
      <c r="G26" s="1248"/>
      <c r="H26" s="1248"/>
      <c r="I26" s="1248"/>
      <c r="J26" s="1248"/>
      <c r="K26" s="1248"/>
      <c r="L26" s="1249"/>
    </row>
    <row r="27" spans="2:13" ht="12.75" customHeight="1" x14ac:dyDescent="0.25">
      <c r="B27" s="140" t="str">
        <f>IF($F$10="Deutsch","Dachhöhe+Attikahöhe:",IF($F$10="English","Roof + parapet height:","Fehler"))</f>
        <v>Dachhöhe+Attikahöhe:</v>
      </c>
      <c r="C27" s="141">
        <f>'building data'!C16+'building data'!C18</f>
        <v>6.5</v>
      </c>
      <c r="D27" s="142" t="s">
        <v>1</v>
      </c>
      <c r="E27" s="1248" t="str">
        <f>IF($F$10="Deutsch","Der Nachweis beschränkt sich auf niedrige Gebäude mit einer maximalen Gebäudehöhe von 18.3 m (60 ft).",IF($F$10="English","The proof is restricted to low-rise buildings with a maximum building height of 18.3 m (60 ft).","Fehler"))</f>
        <v>Der Nachweis beschränkt sich auf niedrige Gebäude mit einer maximalen Gebäudehöhe von 18.3 m (60 ft).</v>
      </c>
      <c r="F27" s="1248"/>
      <c r="G27" s="1248"/>
      <c r="H27" s="1248"/>
      <c r="I27" s="1248"/>
      <c r="J27" s="1248"/>
      <c r="K27" s="1248"/>
      <c r="L27" s="1249"/>
    </row>
    <row r="28" spans="2:13" ht="25.5" customHeight="1" x14ac:dyDescent="0.25">
      <c r="B28" s="143" t="str">
        <f>IF($F$10="Deutsch","Basiswindgeschwindigkeit:",IF($F$10="English","Basic wind speed:","Fehler"))</f>
        <v>Basiswindgeschwindigkeit:</v>
      </c>
      <c r="C28" s="144">
        <v>48.25</v>
      </c>
      <c r="D28" s="142" t="s">
        <v>14</v>
      </c>
      <c r="E28" s="1239" t="str">
        <f>IF($F$10="Deutsch","Nach Abbildungen 6-1, 6-1A, B und C",IF($F$10="English","According to figures 6-1, 6-1A, B and C","Fehler"))</f>
        <v>Nach Abbildungen 6-1, 6-1A, B und C</v>
      </c>
      <c r="F28" s="1239"/>
      <c r="G28" s="1239"/>
      <c r="H28" s="1239"/>
      <c r="I28" s="1239"/>
      <c r="J28" s="1239"/>
      <c r="K28" s="1239"/>
      <c r="L28" s="1240"/>
    </row>
    <row r="29" spans="2:13" ht="42.75" customHeight="1" x14ac:dyDescent="0.25">
      <c r="B29" s="143" t="str">
        <f>IF($F$10="Deutsch","Gebäudestrukturtyp:",IF($F$10="English","Type of structure:","Fehler"))</f>
        <v>Gebäudestrukturtyp:</v>
      </c>
      <c r="C29" s="145" t="s">
        <v>85</v>
      </c>
      <c r="D29" s="142" t="s">
        <v>5</v>
      </c>
      <c r="E29" s="1239" t="str">
        <f>IF($F$10="Deutsch",CONCATENATE("Definition nach ASCE/SEI 7-10, Tabelle 6-3: Case 1 ist anzuwenden für a) alle Bauelemente und Verkleidungen;"," b) Tragstrukturen von flachen Gebäuden, die Windlasten aufnehmen. ","Case 2 ist anzuwenden für a) alle Gebäudetragstrukturen, mit Außnahme flacher Gebäude, die Windlasten aufnehmen;"," b) alle Windtragstrukturen der übrigen Gebäudeformen und Strukturen."),IF($F$10="English",CONCATENATE("According to ASCE/SEI 7-10, table 6-3, Case 1 shall be applied for a) all components and cladding;"," b) main wind force resisting system in low-rise buildings.  ","Case 2 shall be applied for a) all main wind force resisting systems in buildings except those in low-rise buildings;"," b) all main wind force resisting systems in other structures."),"Fehler"))</f>
        <v>Definition nach ASCE/SEI 7-10, Tabelle 6-3: Case 1 ist anzuwenden für a) alle Bauelemente und Verkleidungen; b) Tragstrukturen von flachen Gebäuden, die Windlasten aufnehmen. Case 2 ist anzuwenden für a) alle Gebäudetragstrukturen, mit Außnahme flacher Gebäude, die Windlasten aufnehmen; b) alle Windtragstrukturen der übrigen Gebäudeformen und Strukturen.</v>
      </c>
      <c r="F29" s="1239"/>
      <c r="G29" s="1239"/>
      <c r="H29" s="1239"/>
      <c r="I29" s="1239"/>
      <c r="J29" s="1239"/>
      <c r="K29" s="1239"/>
      <c r="L29" s="1240"/>
    </row>
    <row r="30" spans="2:13" ht="26.25" customHeight="1" x14ac:dyDescent="0.25">
      <c r="B30" s="509" t="str">
        <f>IF($F$10="Deutsch","Gebäudewichtigskeitsfaktor:",IF($F$10="English","Importance factor:","Fehler"))</f>
        <v>Gebäudewichtigskeitsfaktor:</v>
      </c>
      <c r="C30" s="510">
        <v>1</v>
      </c>
      <c r="D30" s="739"/>
      <c r="E30" s="1257" t="str">
        <f>IF($F$10="Deutsch","Der Gebäudewichtigkeitsbeiwert berücksichtigt die Gefährdung des Menschenlebens durch Versagen der Gebäudestruktur oder der Bauteile in Abhängigkeit der Gebäudenutzung. Zur Einteilung der Gebäudeklassen siehe Kapitel 6.5.5.",IF($F$10="English","The importance factor accounts for the degree of hazard to human life and damage to property and depends on the nature of occupancy of buildings and other structures, see section 6.5.5. ","Fehler"))</f>
        <v>Der Gebäudewichtigkeitsbeiwert berücksichtigt die Gefährdung des Menschenlebens durch Versagen der Gebäudestruktur oder der Bauteile in Abhängigkeit der Gebäudenutzung. Zur Einteilung der Gebäudeklassen siehe Kapitel 6.5.5.</v>
      </c>
      <c r="F30" s="1257"/>
      <c r="G30" s="1257"/>
      <c r="H30" s="1257"/>
      <c r="I30" s="1257"/>
      <c r="J30" s="1257"/>
      <c r="K30" s="1257"/>
      <c r="L30" s="1258"/>
    </row>
    <row r="31" spans="2:13" ht="12.75" customHeight="1" x14ac:dyDescent="0.25">
      <c r="B31" s="143" t="str">
        <f>IF($F$10="Deutsch","Windrichtungsfaktor:",IF($F$10="English","Wind directionality factor:","Fehler"))</f>
        <v>Windrichtungsfaktor:</v>
      </c>
      <c r="C31" s="146">
        <v>1</v>
      </c>
      <c r="D31" s="142"/>
      <c r="E31" s="1259" t="str">
        <f>IF($F$10="Deutsch","Dieser Faktor sollte nur angewandt werden, wenn Last-Kombinationen gemäß Abschnitt 2.3 und 2.4 auftreten.",IF($F$10="English","This factor shall only be applied when used in conjunction with load combinations specified in sections 2.3 and 2.4. ","Fehler"))</f>
        <v>Dieser Faktor sollte nur angewandt werden, wenn Last-Kombinationen gemäß Abschnitt 2.3 und 2.4 auftreten.</v>
      </c>
      <c r="F31" s="1259"/>
      <c r="G31" s="1259"/>
      <c r="H31" s="1259"/>
      <c r="I31" s="1259"/>
      <c r="J31" s="1259"/>
      <c r="K31" s="1259"/>
      <c r="L31" s="1260"/>
    </row>
    <row r="32" spans="2:13" ht="25.5" customHeight="1" thickBot="1" x14ac:dyDescent="0.3">
      <c r="B32" s="147" t="str">
        <f>IF($F$10="Deutsch","Topographiebeiwert:",IF($F$10="English","Topographic factor:","Fehler"))</f>
        <v>Topographiebeiwert:</v>
      </c>
      <c r="C32" s="148">
        <v>1</v>
      </c>
      <c r="D32" s="149"/>
      <c r="E32" s="1261" t="str">
        <f>IF($F$10="Deutsch","Der Topographiebeiwert, wie in Abschnitt 6.5.7 definiert, ist nur bei Bauwerken in exponierter Lage (Klippen, Geländesprünge, Kuppen, Hügelkämmen) anzuwenden.",IF($F$10="English","The topographic factor as defined in section 6.5.7 shall be applied when buildings and other site conditions and locations of structures constitute abrupt changes in the general topography (wind speed-up effects at isolated hills, ridges, escarpments).","Fehler"))</f>
        <v>Der Topographiebeiwert, wie in Abschnitt 6.5.7 definiert, ist nur bei Bauwerken in exponierter Lage (Klippen, Geländesprünge, Kuppen, Hügelkämmen) anzuwenden.</v>
      </c>
      <c r="F32" s="1261"/>
      <c r="G32" s="1261"/>
      <c r="H32" s="1261"/>
      <c r="I32" s="1261"/>
      <c r="J32" s="1261"/>
      <c r="K32" s="1261"/>
      <c r="L32" s="1262"/>
    </row>
    <row r="33" spans="1:15" ht="12.75" customHeight="1" x14ac:dyDescent="0.25">
      <c r="B33" s="70"/>
      <c r="C33" s="150"/>
      <c r="D33" s="151"/>
      <c r="E33" s="714"/>
      <c r="F33" s="714"/>
      <c r="G33" s="714"/>
      <c r="H33" s="714"/>
      <c r="I33" s="714"/>
      <c r="J33" s="714"/>
      <c r="K33" s="714"/>
      <c r="L33" s="714"/>
    </row>
    <row r="34" spans="1:15" ht="12.75" customHeight="1" x14ac:dyDescent="0.25">
      <c r="A34" s="69"/>
      <c r="B34" s="70"/>
      <c r="C34" s="150"/>
      <c r="D34" s="151"/>
      <c r="E34" s="714"/>
      <c r="F34" s="714"/>
      <c r="G34" s="714"/>
      <c r="H34" s="714"/>
      <c r="I34" s="714"/>
      <c r="J34" s="714"/>
      <c r="K34" s="714"/>
      <c r="L34" s="714"/>
    </row>
    <row r="35" spans="1:15" x14ac:dyDescent="0.25">
      <c r="G35" s="152"/>
      <c r="H35" s="152"/>
      <c r="J35" s="152"/>
      <c r="K35" s="153"/>
    </row>
    <row r="36" spans="1:15" ht="16.5" thickBot="1" x14ac:dyDescent="0.3">
      <c r="B36" s="740" t="str">
        <f>IF($F$10="Deutsch","Geländekategorie:",IF($F$10="English","Exposure category:","Fehler"))</f>
        <v>Geländekategorie:</v>
      </c>
      <c r="K36" s="154"/>
      <c r="L36" s="155"/>
      <c r="M36" s="154"/>
      <c r="N36" s="154"/>
      <c r="O36" s="154"/>
    </row>
    <row r="37" spans="1:15" ht="27" customHeight="1" thickBot="1" x14ac:dyDescent="0.3">
      <c r="B37" s="156" t="str">
        <f>IF($F$10="Deutsch","Geländekategorie",IF($F$10="English","Exposure category","Fehler"))</f>
        <v>Geländekategorie</v>
      </c>
      <c r="C37" s="157" t="s">
        <v>17</v>
      </c>
      <c r="D37" s="157" t="s">
        <v>18</v>
      </c>
      <c r="E37" s="157" t="s">
        <v>19</v>
      </c>
      <c r="F37" s="157" t="s">
        <v>20</v>
      </c>
      <c r="G37" s="157" t="s">
        <v>21</v>
      </c>
      <c r="H37" s="1263" t="str">
        <f>IF($F$10="Deutsch","Geländebeschreibung:",IF($F$10="English","Designation:","Fehler"))</f>
        <v>Geländebeschreibung:</v>
      </c>
      <c r="I37" s="1264"/>
      <c r="J37" s="1264"/>
      <c r="K37" s="1264"/>
      <c r="L37" s="1264"/>
      <c r="M37" s="1264"/>
      <c r="N37" s="1265"/>
    </row>
    <row r="38" spans="1:15" ht="25.5" customHeight="1" x14ac:dyDescent="0.25">
      <c r="B38" s="158" t="s">
        <v>16</v>
      </c>
      <c r="C38" s="103">
        <v>365.76</v>
      </c>
      <c r="D38" s="103">
        <v>9.14</v>
      </c>
      <c r="E38" s="123">
        <v>7</v>
      </c>
      <c r="F38" s="159">
        <f>IF($C$27&gt;C38,"Fehler",IF($C$27&gt;IF(C29=B51,15*0.3048,30*0.3048),2.01*($C$27/C38)^(2/E38),2.01*(IF(C29=B51,15*0.3048,30*0.3048)/C38)^(2/E38)))</f>
        <v>0.70059112483542563</v>
      </c>
      <c r="G38" s="160">
        <f>0.613*F38*$C$31*$C$32*$C$30*$C$28^2</f>
        <v>999.81521436961202</v>
      </c>
      <c r="H38" s="1266" t="str">
        <f>IF($F$10="Deutsch","Städte, Vorstädte, Wald oder anderes Gelände mit vielen nahe beieinander liegenden Hindernissen wie Einfamilienhäusern oder größer.",IF($F$10="English","Urban/ suburban areas, wooded areas, or other terrain with numerous closely spaced obstructions having the size of single-family dwellings or larger.","Fehler"))</f>
        <v>Städte, Vorstädte, Wald oder anderes Gelände mit vielen nahe beieinander liegenden Hindernissen wie Einfamilienhäusern oder größer.</v>
      </c>
      <c r="I38" s="1267"/>
      <c r="J38" s="1267"/>
      <c r="K38" s="1267"/>
      <c r="L38" s="1267"/>
      <c r="M38" s="1267"/>
      <c r="N38" s="1268"/>
    </row>
    <row r="39" spans="1:15" ht="25.5" customHeight="1" x14ac:dyDescent="0.25">
      <c r="B39" s="158" t="s">
        <v>22</v>
      </c>
      <c r="C39" s="159">
        <v>274.32</v>
      </c>
      <c r="D39" s="103">
        <v>4.57</v>
      </c>
      <c r="E39" s="123">
        <v>9.5</v>
      </c>
      <c r="F39" s="159">
        <f>IF($C$27&gt;C39,"Fehler",IF($C$27&gt;15*0.3048,2.01*($C$27/C39)^(2/E39),2.01*(15*0.3048/C39)^(2/E39)))</f>
        <v>0.91415186348614952</v>
      </c>
      <c r="G39" s="160">
        <f>0.613*F39*$C$31*$C$32*$C$30*$C$28^2</f>
        <v>1304.5882383572682</v>
      </c>
      <c r="H39" s="1269" t="str">
        <f>IF($F$10="Deutsch","Offenes Gelände mit vereinzelten Hindernissen, die weniger als 30ft (9,1m) hoch sind. Diese Kategorie umfasst flaches offenes Land, Grasland und Wasseroberflächen.",IF($F$10="English","Open terrain with scattered obstructions having heights generally less than 30ft (9,1 m). This category includes flat open country and grasslands.","Fehler"))</f>
        <v>Offenes Gelände mit vereinzelten Hindernissen, die weniger als 30ft (9,1m) hoch sind. Diese Kategorie umfasst flaches offenes Land, Grasland und Wasseroberflächen.</v>
      </c>
      <c r="I39" s="1267"/>
      <c r="J39" s="1267"/>
      <c r="K39" s="1267"/>
      <c r="L39" s="1267"/>
      <c r="M39" s="1267"/>
      <c r="N39" s="1268"/>
    </row>
    <row r="40" spans="1:15" ht="26.25" customHeight="1" thickBot="1" x14ac:dyDescent="0.3">
      <c r="B40" s="161" t="s">
        <v>23</v>
      </c>
      <c r="C40" s="162">
        <v>213.36</v>
      </c>
      <c r="D40" s="163">
        <v>2.13</v>
      </c>
      <c r="E40" s="164">
        <v>11.5</v>
      </c>
      <c r="F40" s="162">
        <f>IF($C$27&gt;C40,"Fehler",IF($C$27&gt;15*0.3048,2.01*($C$27/C40)^(2/E40),2.01*(15*0.3048/C40)^(2/E40)))</f>
        <v>1.0952396617636087</v>
      </c>
      <c r="G40" s="165">
        <f>0.613*F40*$C$31*$C$32*$C$30*$C$28^2</f>
        <v>1563.0190540445635</v>
      </c>
      <c r="H40" s="1250" t="str">
        <f>IF($F$10="Deutsch","Flache Gebiete ohne Hindernisse und Wasseroberflächen. Diese Kategorie umfasst glattes Watt, Salzflächen und ungebrochenes Eis.",IF($F$10="English","Flat, unobstructed areas and water surfaces. This category includes smooth mud flats, salt flats, and unbroken ice.","Fehler"))</f>
        <v>Flache Gebiete ohne Hindernisse und Wasseroberflächen. Diese Kategorie umfasst glattes Watt, Salzflächen und ungebrochenes Eis.</v>
      </c>
      <c r="I40" s="1251"/>
      <c r="J40" s="1251"/>
      <c r="K40" s="1251"/>
      <c r="L40" s="1251"/>
      <c r="M40" s="1251"/>
      <c r="N40" s="1252"/>
    </row>
    <row r="41" spans="1:15" ht="13.5" thickBot="1" x14ac:dyDescent="0.3">
      <c r="B41" s="166"/>
      <c r="C41" s="167"/>
      <c r="D41" s="167"/>
      <c r="F41" s="155"/>
      <c r="G41" s="154"/>
      <c r="H41" s="168"/>
    </row>
    <row r="42" spans="1:15" ht="12.75" customHeight="1" thickBot="1" x14ac:dyDescent="0.3">
      <c r="B42" s="1253" t="str">
        <f>IF($F$10="Deutsch","Gebäudewichtigkeitsfaktor",IF($F$10="English","Importance factor","Fehler"))</f>
        <v>Gebäudewichtigkeitsfaktor</v>
      </c>
      <c r="C42" s="1254"/>
      <c r="D42" s="1255"/>
      <c r="E42" s="713"/>
      <c r="F42" s="69"/>
      <c r="O42" s="69"/>
    </row>
    <row r="43" spans="1:15" ht="90.75" customHeight="1" thickBot="1" x14ac:dyDescent="0.3">
      <c r="B43" s="156" t="str">
        <f>IF($F$10="Deutsch","Gebäude- und Strukturkategorien nach ASCE/SEI 7-05, Tabelle 1-1",IF($F$10="English","building and structure classification categories according to ASCE/SEI 7-05, table 1-1","Fehler"))</f>
        <v>Gebäude- und Strukturkategorien nach ASCE/SEI 7-05, Tabelle 1-1</v>
      </c>
      <c r="C43" s="741" t="str">
        <f>IF($F$10="Deutsch","Alaska, nicht hurrikangefährdete Gebiete und Gebiete mit Hurrikangeschwindigkeiten von v = 85 - 100 mph",IF($F$10="English","Non Hurricane Prone Regions and Hurricane Prone Regions with v = 85 - 100 mph and Alaska","Fehler"))</f>
        <v>Alaska, nicht hurrikangefährdete Gebiete und Gebiete mit Hurrikangeschwindigkeiten von v = 85 - 100 mph</v>
      </c>
      <c r="D43" s="742" t="str">
        <f>IF($F$10="Deutsch","Gebiete mit Hurrikangeschwindigkeiten von v &gt; 100 mph",IF($F$10="English","Hurricane Prone Regions with v &gt; 100 mph","Fehler"))</f>
        <v>Gebiete mit Hurrikangeschwindigkeiten von v &gt; 100 mph</v>
      </c>
      <c r="E43" s="511"/>
      <c r="F43" s="69"/>
      <c r="O43" s="169"/>
    </row>
    <row r="44" spans="1:15" x14ac:dyDescent="0.25">
      <c r="B44" s="743" t="s">
        <v>52</v>
      </c>
      <c r="C44" s="744">
        <v>0.87</v>
      </c>
      <c r="D44" s="745">
        <v>0.77</v>
      </c>
      <c r="E44" s="511"/>
      <c r="F44" s="69"/>
      <c r="O44" s="169"/>
    </row>
    <row r="45" spans="1:15" x14ac:dyDescent="0.25">
      <c r="B45" s="746" t="s">
        <v>53</v>
      </c>
      <c r="C45" s="512">
        <v>1</v>
      </c>
      <c r="D45" s="747">
        <v>1</v>
      </c>
      <c r="E45" s="511"/>
      <c r="F45" s="69"/>
      <c r="O45" s="69"/>
    </row>
    <row r="46" spans="1:15" x14ac:dyDescent="0.25">
      <c r="B46" s="746" t="s">
        <v>54</v>
      </c>
      <c r="C46" s="512">
        <v>1.1499999999999999</v>
      </c>
      <c r="D46" s="747">
        <v>1.1499999999999999</v>
      </c>
      <c r="E46" s="511"/>
      <c r="F46" s="69"/>
      <c r="O46" s="69"/>
    </row>
    <row r="47" spans="1:15" ht="13.5" thickBot="1" x14ac:dyDescent="0.3">
      <c r="B47" s="748" t="s">
        <v>55</v>
      </c>
      <c r="C47" s="749">
        <v>1.1499999999999999</v>
      </c>
      <c r="D47" s="750">
        <v>1.1499999999999999</v>
      </c>
      <c r="E47" s="154"/>
      <c r="F47" s="513"/>
      <c r="G47" s="154"/>
      <c r="H47" s="514"/>
      <c r="I47" s="340"/>
    </row>
    <row r="48" spans="1:15" x14ac:dyDescent="0.25">
      <c r="B48" s="1256"/>
      <c r="C48" s="1256"/>
      <c r="D48" s="69"/>
    </row>
    <row r="49" spans="2:6" x14ac:dyDescent="0.25">
      <c r="B49" s="713"/>
      <c r="C49" s="713"/>
      <c r="D49" s="69"/>
    </row>
    <row r="50" spans="2:6" x14ac:dyDescent="0.25">
      <c r="B50" s="170" t="s">
        <v>85</v>
      </c>
      <c r="C50" s="171"/>
      <c r="D50" s="69"/>
    </row>
    <row r="51" spans="2:6" x14ac:dyDescent="0.25">
      <c r="B51" s="170" t="s">
        <v>86</v>
      </c>
      <c r="C51" s="171"/>
      <c r="D51" s="69"/>
    </row>
    <row r="52" spans="2:6" x14ac:dyDescent="0.25">
      <c r="B52" s="171"/>
      <c r="C52" s="171"/>
      <c r="D52" s="69"/>
    </row>
    <row r="53" spans="2:6" x14ac:dyDescent="0.25">
      <c r="B53" s="171"/>
      <c r="C53" s="171"/>
      <c r="D53" s="69"/>
    </row>
    <row r="54" spans="2:6" x14ac:dyDescent="0.25">
      <c r="B54" s="171"/>
      <c r="C54" s="171"/>
      <c r="D54" s="69"/>
    </row>
    <row r="55" spans="2:6" x14ac:dyDescent="0.25">
      <c r="B55" s="171"/>
      <c r="C55" s="171"/>
      <c r="D55" s="69"/>
    </row>
    <row r="56" spans="2:6" x14ac:dyDescent="0.25">
      <c r="B56" s="171"/>
      <c r="C56" s="171"/>
      <c r="D56" s="69"/>
    </row>
    <row r="57" spans="2:6" x14ac:dyDescent="0.25">
      <c r="B57" s="171"/>
      <c r="C57" s="171"/>
      <c r="D57" s="69"/>
    </row>
    <row r="58" spans="2:6" x14ac:dyDescent="0.25">
      <c r="B58" s="171"/>
      <c r="C58" s="171"/>
      <c r="D58" s="69"/>
    </row>
    <row r="59" spans="2:6" x14ac:dyDescent="0.25">
      <c r="B59" s="171"/>
      <c r="C59" s="171"/>
      <c r="D59" s="69"/>
    </row>
    <row r="60" spans="2:6" x14ac:dyDescent="0.25">
      <c r="B60" s="171"/>
      <c r="C60" s="171"/>
      <c r="D60" s="69"/>
    </row>
    <row r="61" spans="2:6" x14ac:dyDescent="0.25">
      <c r="B61" s="171"/>
      <c r="C61" s="171"/>
      <c r="D61" s="69"/>
    </row>
    <row r="62" spans="2:6" x14ac:dyDescent="0.25">
      <c r="B62" s="171"/>
      <c r="C62" s="171"/>
      <c r="D62" s="69"/>
    </row>
    <row r="63" spans="2:6" x14ac:dyDescent="0.25">
      <c r="B63" s="171"/>
      <c r="C63" s="171"/>
      <c r="D63" s="69"/>
      <c r="E63" s="172"/>
      <c r="F63" s="172"/>
    </row>
    <row r="64" spans="2:6" x14ac:dyDescent="0.25">
      <c r="B64" s="171"/>
      <c r="C64" s="171"/>
      <c r="D64" s="69"/>
      <c r="E64" s="172"/>
      <c r="F64" s="172"/>
    </row>
    <row r="65" spans="2:4" x14ac:dyDescent="0.25">
      <c r="B65" s="171"/>
      <c r="C65" s="171"/>
      <c r="D65" s="69"/>
    </row>
    <row r="66" spans="2:4" x14ac:dyDescent="0.25">
      <c r="B66" s="171"/>
      <c r="C66" s="171"/>
      <c r="D66" s="69"/>
    </row>
    <row r="67" spans="2:4" x14ac:dyDescent="0.25">
      <c r="B67" s="171"/>
      <c r="C67" s="171"/>
      <c r="D67" s="69"/>
    </row>
    <row r="68" spans="2:4" x14ac:dyDescent="0.25">
      <c r="B68" s="69"/>
      <c r="C68" s="69"/>
      <c r="D68" s="69"/>
    </row>
  </sheetData>
  <mergeCells count="21">
    <mergeCell ref="H40:N40"/>
    <mergeCell ref="B42:D42"/>
    <mergeCell ref="B48:C48"/>
    <mergeCell ref="E30:L30"/>
    <mergeCell ref="E31:L31"/>
    <mergeCell ref="E32:L32"/>
    <mergeCell ref="H37:N37"/>
    <mergeCell ref="H38:N38"/>
    <mergeCell ref="H39:N39"/>
    <mergeCell ref="E29:L29"/>
    <mergeCell ref="B5:M5"/>
    <mergeCell ref="C10:D10"/>
    <mergeCell ref="C11:D11"/>
    <mergeCell ref="C12:D12"/>
    <mergeCell ref="C13:D13"/>
    <mergeCell ref="H19:I19"/>
    <mergeCell ref="E24:L24"/>
    <mergeCell ref="C25:L25"/>
    <mergeCell ref="E26:L26"/>
    <mergeCell ref="E27:L27"/>
    <mergeCell ref="E28:L28"/>
  </mergeCells>
  <dataValidations count="3">
    <dataValidation type="list" allowBlank="1" showInputMessage="1" showErrorMessage="1" sqref="F10" xr:uid="{00000000-0002-0000-0500-000000000000}">
      <formula1>$N$3:$N$6</formula1>
    </dataValidation>
    <dataValidation type="list" allowBlank="1" showInputMessage="1" showErrorMessage="1" sqref="C29" xr:uid="{00000000-0002-0000-0500-000001000000}">
      <formula1>$B$50:$B$51</formula1>
    </dataValidation>
    <dataValidation type="list" allowBlank="1" showInputMessage="1" showErrorMessage="1" sqref="C24" xr:uid="{00000000-0002-0000-0500-000002000000}">
      <formula1>$B$38:$B$40</formula1>
    </dataValidation>
  </dataValidations>
  <pageMargins left="0.75" right="0.39" top="0.47" bottom="0.77" header="0.4921259845" footer="0.4921259845"/>
  <pageSetup paperSize="9" scale="66" orientation="landscape" r:id="rId1"/>
  <headerFooter alignWithMargins="0"/>
  <drawing r:id="rId2"/>
  <legacyDrawing r:id="rId3"/>
  <oleObjects>
    <mc:AlternateContent xmlns:mc="http://schemas.openxmlformats.org/markup-compatibility/2006">
      <mc:Choice Requires="x14">
        <oleObject progId="Equation.DSMT4" shapeId="29697" r:id="rId4">
          <objectPr defaultSize="0" autoPict="0" r:id="rId5">
            <anchor moveWithCells="1">
              <from>
                <xdr:col>2</xdr:col>
                <xdr:colOff>9525</xdr:colOff>
                <xdr:row>18</xdr:row>
                <xdr:rowOff>0</xdr:rowOff>
              </from>
              <to>
                <xdr:col>2</xdr:col>
                <xdr:colOff>190500</xdr:colOff>
                <xdr:row>18</xdr:row>
                <xdr:rowOff>200025</xdr:rowOff>
              </to>
            </anchor>
          </objectPr>
        </oleObject>
      </mc:Choice>
      <mc:Fallback>
        <oleObject progId="Equation.DSMT4" shapeId="29697" r:id="rId4"/>
      </mc:Fallback>
    </mc:AlternateContent>
    <mc:AlternateContent xmlns:mc="http://schemas.openxmlformats.org/markup-compatibility/2006">
      <mc:Choice Requires="x14">
        <oleObject progId="Equation.DSMT4" shapeId="29698" r:id="rId6">
          <objectPr defaultSize="0" autoPict="0" r:id="rId7">
            <anchor moveWithCells="1">
              <from>
                <xdr:col>2</xdr:col>
                <xdr:colOff>19050</xdr:colOff>
                <xdr:row>31</xdr:row>
                <xdr:rowOff>57150</xdr:rowOff>
              </from>
              <to>
                <xdr:col>2</xdr:col>
                <xdr:colOff>209550</xdr:colOff>
                <xdr:row>31</xdr:row>
                <xdr:rowOff>276225</xdr:rowOff>
              </to>
            </anchor>
          </objectPr>
        </oleObject>
      </mc:Choice>
      <mc:Fallback>
        <oleObject progId="Equation.DSMT4" shapeId="29698" r:id="rId6"/>
      </mc:Fallback>
    </mc:AlternateContent>
    <mc:AlternateContent xmlns:mc="http://schemas.openxmlformats.org/markup-compatibility/2006">
      <mc:Choice Requires="x14">
        <oleObject progId="Equation.DSMT4" shapeId="29700" r:id="rId8">
          <objectPr defaultSize="0" autoPict="0" r:id="rId9">
            <anchor moveWithCells="1">
              <from>
                <xdr:col>1</xdr:col>
                <xdr:colOff>1714500</xdr:colOff>
                <xdr:row>29</xdr:row>
                <xdr:rowOff>314325</xdr:rowOff>
              </from>
              <to>
                <xdr:col>2</xdr:col>
                <xdr:colOff>152400</xdr:colOff>
                <xdr:row>31</xdr:row>
                <xdr:rowOff>38100</xdr:rowOff>
              </to>
            </anchor>
          </objectPr>
        </oleObject>
      </mc:Choice>
      <mc:Fallback>
        <oleObject progId="Equation.DSMT4" shapeId="29700" r:id="rId8"/>
      </mc:Fallback>
    </mc:AlternateContent>
    <mc:AlternateContent xmlns:mc="http://schemas.openxmlformats.org/markup-compatibility/2006">
      <mc:Choice Requires="x14">
        <oleObject progId="Equation.DSMT4" shapeId="29701" r:id="rId10">
          <objectPr defaultSize="0" autoPict="0" r:id="rId11">
            <anchor moveWithCells="1">
              <from>
                <xdr:col>2</xdr:col>
                <xdr:colOff>9525</xdr:colOff>
                <xdr:row>27</xdr:row>
                <xdr:rowOff>66675</xdr:rowOff>
              </from>
              <to>
                <xdr:col>2</xdr:col>
                <xdr:colOff>171450</xdr:colOff>
                <xdr:row>27</xdr:row>
                <xdr:rowOff>285750</xdr:rowOff>
              </to>
            </anchor>
          </objectPr>
        </oleObject>
      </mc:Choice>
      <mc:Fallback>
        <oleObject progId="Equation.DSMT4" shapeId="29701" r:id="rId10"/>
      </mc:Fallback>
    </mc:AlternateContent>
    <mc:AlternateContent xmlns:mc="http://schemas.openxmlformats.org/markup-compatibility/2006">
      <mc:Choice Requires="x14">
        <oleObject progId="Equation.DSMT4" shapeId="29702" r:id="rId12">
          <objectPr defaultSize="0" autoPict="0" r:id="rId13">
            <anchor moveWithCells="1">
              <from>
                <xdr:col>2</xdr:col>
                <xdr:colOff>19050</xdr:colOff>
                <xdr:row>29</xdr:row>
                <xdr:rowOff>85725</xdr:rowOff>
              </from>
              <to>
                <xdr:col>2</xdr:col>
                <xdr:colOff>95250</xdr:colOff>
                <xdr:row>29</xdr:row>
                <xdr:rowOff>247650</xdr:rowOff>
              </to>
            </anchor>
          </objectPr>
        </oleObject>
      </mc:Choice>
      <mc:Fallback>
        <oleObject progId="Equation.DSMT4" shapeId="29702" r:id="rId12"/>
      </mc:Fallback>
    </mc:AlternateContent>
    <mc:AlternateContent xmlns:mc="http://schemas.openxmlformats.org/markup-compatibility/2006">
      <mc:Choice Requires="x14">
        <oleObject progId="Equation.DSMT4" shapeId="29705" r:id="rId14">
          <objectPr defaultSize="0" autoPict="0" r:id="rId15">
            <anchor moveWithCells="1">
              <from>
                <xdr:col>2</xdr:col>
                <xdr:colOff>19050</xdr:colOff>
                <xdr:row>26</xdr:row>
                <xdr:rowOff>28575</xdr:rowOff>
              </from>
              <to>
                <xdr:col>2</xdr:col>
                <xdr:colOff>133350</xdr:colOff>
                <xdr:row>26</xdr:row>
                <xdr:rowOff>152400</xdr:rowOff>
              </to>
            </anchor>
          </objectPr>
        </oleObject>
      </mc:Choice>
      <mc:Fallback>
        <oleObject progId="Equation.DSMT4" shapeId="29705" r:id="rId1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4">
    <tabColor rgb="FF00B050"/>
    <pageSetUpPr fitToPage="1"/>
  </sheetPr>
  <dimension ref="A1:O60"/>
  <sheetViews>
    <sheetView view="pageBreakPreview" topLeftCell="A4" zoomScaleNormal="100" zoomScaleSheetLayoutView="150" workbookViewId="0">
      <selection activeCell="C27" sqref="C27"/>
    </sheetView>
  </sheetViews>
  <sheetFormatPr defaultColWidth="9.140625" defaultRowHeight="12.75" x14ac:dyDescent="0.25"/>
  <cols>
    <col min="1" max="1" width="8.7109375" style="261" customWidth="1"/>
    <col min="2" max="2" width="25.85546875" style="261" customWidth="1"/>
    <col min="3" max="3" width="17.85546875" style="261" customWidth="1"/>
    <col min="4" max="4" width="18.85546875" style="261" customWidth="1"/>
    <col min="5" max="5" width="22.28515625" style="261" customWidth="1"/>
    <col min="6" max="6" width="23.5703125" style="261" customWidth="1"/>
    <col min="7" max="7" width="17.85546875" style="261" customWidth="1"/>
    <col min="8" max="9" width="7.85546875" style="261" customWidth="1"/>
    <col min="10" max="10" width="14.5703125" style="261" customWidth="1"/>
    <col min="11" max="11" width="23.85546875" style="261" customWidth="1"/>
    <col min="12" max="12" width="11.5703125" style="261" customWidth="1"/>
    <col min="13" max="13" width="11.42578125" style="261" customWidth="1"/>
    <col min="14" max="14" width="17.5703125" style="261" customWidth="1"/>
    <col min="15" max="15" width="17.85546875" style="261" customWidth="1"/>
    <col min="16" max="16384" width="9.140625" style="261"/>
  </cols>
  <sheetData>
    <row r="1" spans="2:14" ht="13.5" thickBot="1" x14ac:dyDescent="0.3"/>
    <row r="2" spans="2:14" ht="18" x14ac:dyDescent="0.25">
      <c r="B2" s="399" t="str">
        <f>'building data'!B2</f>
        <v>Mounting Systems GmbH</v>
      </c>
      <c r="C2" s="400"/>
      <c r="D2" s="401"/>
      <c r="E2" s="401"/>
      <c r="F2" s="401"/>
      <c r="G2" s="401"/>
      <c r="H2" s="402"/>
      <c r="I2" s="176" t="str">
        <f>IF($F$10="Deutsch","Die gelben Felder sind projektabhängig auszufüllen.",IF($F$10="English","The yellow cells have to be filled out depending on the project.","Fehler"))</f>
        <v>Die gelben Felder sind projektabhängig auszufüllen.</v>
      </c>
      <c r="J2" s="400"/>
      <c r="K2" s="401"/>
      <c r="L2" s="401"/>
      <c r="M2" s="403"/>
      <c r="N2" s="404" t="str">
        <f>IF($F$10="Deutsch","Sprache:",IF($F$10="English","Language:","Fehler"))</f>
        <v>Sprache:</v>
      </c>
    </row>
    <row r="3" spans="2:14" ht="18" x14ac:dyDescent="0.25">
      <c r="B3" s="405" t="str">
        <f>'building data'!B3</f>
        <v>Solar ballasted roof mount system</v>
      </c>
      <c r="C3" s="406"/>
      <c r="D3" s="407"/>
      <c r="E3" s="407"/>
      <c r="F3" s="407"/>
      <c r="G3" s="407"/>
      <c r="H3" s="408"/>
      <c r="I3" s="177" t="str">
        <f>IF($F$10="Deutsch","Die türkisfarbenen Felder werden berechnet.",IF($F$10="English","The turquoise cells are calculated.","Fehler"))</f>
        <v>Die türkisfarbenen Felder werden berechnet.</v>
      </c>
      <c r="J3" s="409"/>
      <c r="K3" s="407"/>
      <c r="L3" s="407"/>
      <c r="M3" s="410"/>
      <c r="N3" s="570" t="s">
        <v>0</v>
      </c>
    </row>
    <row r="4" spans="2:14" ht="18" x14ac:dyDescent="0.25">
      <c r="B4" s="405" t="str">
        <f>'building data'!B4</f>
        <v xml:space="preserve">Lambda Light EW+ </v>
      </c>
      <c r="C4" s="407"/>
      <c r="D4" s="407"/>
      <c r="E4" s="407"/>
      <c r="F4" s="407"/>
      <c r="G4" s="407"/>
      <c r="H4" s="407"/>
      <c r="I4" s="409"/>
      <c r="J4" s="407"/>
      <c r="K4" s="407"/>
      <c r="L4" s="407"/>
      <c r="M4" s="410"/>
      <c r="N4" s="570" t="s">
        <v>13</v>
      </c>
    </row>
    <row r="5" spans="2:14" ht="16.5" thickBot="1" x14ac:dyDescent="0.3">
      <c r="B5" s="1234" t="str">
        <f>IF($F$10="Deutsch","ASCE 7-10",IF($F$10="English","ASCE 7-10","Fehler"))</f>
        <v>ASCE 7-10</v>
      </c>
      <c r="C5" s="1066"/>
      <c r="D5" s="1066"/>
      <c r="E5" s="1066"/>
      <c r="F5" s="1066"/>
      <c r="G5" s="1066"/>
      <c r="H5" s="1066"/>
      <c r="I5" s="1066"/>
      <c r="J5" s="1066"/>
      <c r="K5" s="1066"/>
      <c r="L5" s="1066"/>
      <c r="M5" s="1067"/>
      <c r="N5" s="570"/>
    </row>
    <row r="6" spans="2:14" ht="15" x14ac:dyDescent="0.25">
      <c r="B6" s="411" t="str">
        <f>IF($F$10="Deutsch","Auslegungsgrundlage:",IF($F$10="English","Design Base:","Fehler"))</f>
        <v>Auslegungsgrundlage:</v>
      </c>
      <c r="C6" s="173" t="s">
        <v>28</v>
      </c>
      <c r="N6" s="570"/>
    </row>
    <row r="7" spans="2:14" ht="15" x14ac:dyDescent="0.25">
      <c r="B7" s="173"/>
      <c r="C7" s="173" t="s">
        <v>24</v>
      </c>
    </row>
    <row r="8" spans="2:14" ht="15" x14ac:dyDescent="0.25">
      <c r="C8" s="173"/>
    </row>
    <row r="9" spans="2:14" ht="13.5" thickBot="1" x14ac:dyDescent="0.3">
      <c r="B9" s="412" t="str">
        <f>IF($F$10="Deutsch","Projektdaten:",IF($F$10="English","Project data:","Fehler"))</f>
        <v>Projektdaten:</v>
      </c>
    </row>
    <row r="10" spans="2:14" x14ac:dyDescent="0.25">
      <c r="B10" s="413" t="str">
        <f>IF($F$10="Deutsch","Projekt:",IF($F$10="English","Project:","Fehler"))</f>
        <v>Projekt:</v>
      </c>
      <c r="C10" s="1236" t="str">
        <f>'building data'!C9</f>
        <v>EN15-</v>
      </c>
      <c r="D10" s="1237"/>
      <c r="E10" s="414" t="str">
        <f>IF($F$10="Deutsch","Sprache:",IF($F$10="English","Language:","Fehler"))</f>
        <v>Sprache:</v>
      </c>
      <c r="F10" s="415" t="s">
        <v>0</v>
      </c>
      <c r="H10" s="416"/>
    </row>
    <row r="11" spans="2:14" x14ac:dyDescent="0.25">
      <c r="B11" s="417" t="str">
        <f>IF($F$10="Deutsch","PLZ:",IF($F$10="English","Postal code:","Fehler"))</f>
        <v>PLZ:</v>
      </c>
      <c r="C11" s="1238">
        <f>'building data'!C10</f>
        <v>2301</v>
      </c>
      <c r="D11" s="1238"/>
      <c r="E11" s="418" t="str">
        <f>IF($F$10="Deutsch","Standort:",IF($F$10="English","Site:","Fehler"))</f>
        <v>Standort:</v>
      </c>
      <c r="F11" s="419" t="str">
        <f>'building data'!G10</f>
        <v>Hortsfelde</v>
      </c>
    </row>
    <row r="12" spans="2:14" x14ac:dyDescent="0.25">
      <c r="B12" s="417" t="str">
        <f>IF($F$10="Deutsch","Bearbeiter:",IF($F$10="English","Person in charge:","Fehler"))</f>
        <v>Bearbeiter:</v>
      </c>
      <c r="C12" s="1238" t="str">
        <f>'building data'!C11</f>
        <v>HGF</v>
      </c>
      <c r="D12" s="1238"/>
      <c r="E12" s="418" t="str">
        <f>IF($F$10="Deutsch","Land:",IF($F$10="English","Country:","Fehler"))</f>
        <v>Land:</v>
      </c>
      <c r="F12" s="419" t="str">
        <f>'building data'!G11</f>
        <v>Germany</v>
      </c>
    </row>
    <row r="13" spans="2:14" ht="13.5" thickBot="1" x14ac:dyDescent="0.3">
      <c r="B13" s="420" t="str">
        <f>IF($F$10="Deutsch","Stand:",IF($F$10="English","Last update:","Fehler"))</f>
        <v>Stand:</v>
      </c>
      <c r="C13" s="1241">
        <f>'building data'!C12</f>
        <v>42272</v>
      </c>
      <c r="D13" s="1242"/>
      <c r="E13" s="421" t="str">
        <f>IF($F$10="Deutsch","Norm:",IF($F$10="English","Standard:","Fehler"))</f>
        <v>Norm:</v>
      </c>
      <c r="F13" s="422" t="str">
        <f>'building data'!G12</f>
        <v>DIN EN 1991-1-4</v>
      </c>
      <c r="I13" s="154"/>
    </row>
    <row r="14" spans="2:14" ht="12.75" customHeight="1" x14ac:dyDescent="0.25">
      <c r="C14" s="173"/>
      <c r="K14" s="173"/>
      <c r="L14" s="173"/>
    </row>
    <row r="16" spans="2:14" x14ac:dyDescent="0.25">
      <c r="B16" s="423" t="str">
        <f>IF($F$10="Deutsch","Ermittlung der Windzone, der Geländekategorie und zusätzlicher Werte nach",IF($F$10="English","Determination of wind zone, exposure category and of additional values according to","Fehler"))</f>
        <v>Ermittlung der Windzone, der Geländekategorie und zusätzlicher Werte nach</v>
      </c>
    </row>
    <row r="17" spans="2:12" x14ac:dyDescent="0.25">
      <c r="B17" s="423" t="str">
        <f>IF($F$10="Deutsch",CONCATENATE(C6," und ",C7),IF($F$10="English",CONCATENATE(C6," and ",C7),"Fehler"))</f>
        <v>ASCE/SEI 7-10: Section 26 and 27 und ASCE/SEI 7-10: Annex C26 and C27</v>
      </c>
    </row>
    <row r="18" spans="2:12" ht="13.5" thickBot="1" x14ac:dyDescent="0.3">
      <c r="B18" s="134"/>
    </row>
    <row r="19" spans="2:12" ht="17.25" customHeight="1" thickBot="1" x14ac:dyDescent="0.3">
      <c r="B19" s="424" t="str">
        <f>IF($F$10="Deutsch","Böenstaudruck",IF($F$10="English","Peak velocity pressure","Fehler"))</f>
        <v>Böenstaudruck</v>
      </c>
      <c r="C19" s="425">
        <f>VLOOKUP(C24,B37:L39,6,0)/1000</f>
        <v>0.99981521436961207</v>
      </c>
      <c r="D19" s="426" t="s">
        <v>3</v>
      </c>
      <c r="E19" s="571" t="str">
        <f>IF($F$10="Deutsch","entspricht",IF($F$10="English","corresponds to","Fehler"))</f>
        <v>entspricht</v>
      </c>
      <c r="F19" s="427">
        <f>(2/1.25*1000*C19)^0.5</f>
        <v>39.996304116647821</v>
      </c>
      <c r="G19" s="428" t="s">
        <v>14</v>
      </c>
      <c r="H19" s="1270" t="str">
        <f>IF($F$10="Deutsch","bzw.",IF($F$10="English","respectively","Fehler"))</f>
        <v>bzw.</v>
      </c>
      <c r="I19" s="1270"/>
      <c r="J19" s="427">
        <f>F19*3.6</f>
        <v>143.98669481993215</v>
      </c>
      <c r="K19" s="429" t="s">
        <v>15</v>
      </c>
    </row>
    <row r="20" spans="2:12" ht="12.75" customHeight="1" x14ac:dyDescent="0.25"/>
    <row r="21" spans="2:12" ht="12.75" customHeight="1" x14ac:dyDescent="0.25"/>
    <row r="22" spans="2:12" ht="12.75" customHeight="1" x14ac:dyDescent="0.25">
      <c r="B22" s="134"/>
    </row>
    <row r="23" spans="2:12" ht="16.5" thickBot="1" x14ac:dyDescent="0.3">
      <c r="B23" s="430" t="str">
        <f>IF($F$10="Deutsch","Projektdaten:",IF($F$10="English","Project data:","Fehler"))</f>
        <v>Projektdaten:</v>
      </c>
    </row>
    <row r="24" spans="2:12" ht="13.5" customHeight="1" x14ac:dyDescent="0.25">
      <c r="B24" s="135" t="str">
        <f>IF($F$10="Deutsch","Geländekategorie:",IF($F$10="English","Exposure category:","Fehler"))</f>
        <v>Geländekategorie:</v>
      </c>
      <c r="C24" s="136" t="s">
        <v>16</v>
      </c>
      <c r="D24" s="83" t="s">
        <v>5</v>
      </c>
      <c r="E24" s="1244" t="str">
        <f>IF($F$10="Deutsch","Bestimmung der Geländekategorien nach Abschnitt 26.7",IF($F$10="English","Definition of exposure categories according to section 26.7","Fehler"))</f>
        <v>Bestimmung der Geländekategorien nach Abschnitt 26.7</v>
      </c>
      <c r="F24" s="1244"/>
      <c r="G24" s="1244"/>
      <c r="H24" s="1244"/>
      <c r="I24" s="1244"/>
      <c r="J24" s="1244"/>
      <c r="K24" s="1244"/>
      <c r="L24" s="1245"/>
    </row>
    <row r="25" spans="2:12" x14ac:dyDescent="0.25">
      <c r="B25" s="137" t="str">
        <f>IF($F$10="Deutsch","Geländebeschreibung:",IF($F$10="English","Designation:","Fehler"))</f>
        <v>Geländebeschreibung:</v>
      </c>
      <c r="C25" s="1246" t="str">
        <f>VLOOKUP(C24,B37:N39,7,0)</f>
        <v>Städte, Vorstädte, Wald oder anderes Gelände mit vielen nahe beieinander liegenden Hindernissen wie Einfamilienhäusern oder größer.</v>
      </c>
      <c r="D25" s="1246"/>
      <c r="E25" s="1246"/>
      <c r="F25" s="1246"/>
      <c r="G25" s="1246"/>
      <c r="H25" s="1246"/>
      <c r="I25" s="1246"/>
      <c r="J25" s="1246"/>
      <c r="K25" s="1246"/>
      <c r="L25" s="1247"/>
    </row>
    <row r="26" spans="2:12" ht="25.5" customHeight="1" x14ac:dyDescent="0.25">
      <c r="B26" s="138" t="str">
        <f>IF($F$10="Deutsch","Standorthöhe über Meeresniveau",IF($F$10="English","Local elevation above sea level:","Fehler"))</f>
        <v>Standorthöhe über Meeresniveau</v>
      </c>
      <c r="C26" s="139">
        <v>900</v>
      </c>
      <c r="D26" s="569" t="str">
        <f>IF($F$10="Deutsch","m über NHN",IF($F$10="English","m ASL","Fehler"))</f>
        <v>m über NHN</v>
      </c>
      <c r="E26" s="1248"/>
      <c r="F26" s="1248"/>
      <c r="G26" s="1248"/>
      <c r="H26" s="1248"/>
      <c r="I26" s="1248"/>
      <c r="J26" s="1248"/>
      <c r="K26" s="1248"/>
      <c r="L26" s="1249"/>
    </row>
    <row r="27" spans="2:12" ht="12.75" customHeight="1" x14ac:dyDescent="0.25">
      <c r="B27" s="140" t="str">
        <f>IF($F$10="Deutsch","Dachhöhe+Attikahöhe:",IF($F$10="English","Roof + parapet height:","Fehler"))</f>
        <v>Dachhöhe+Attikahöhe:</v>
      </c>
      <c r="C27" s="141">
        <f>'building data'!C16+'building data'!C18</f>
        <v>6.5</v>
      </c>
      <c r="D27" s="142" t="s">
        <v>1</v>
      </c>
      <c r="E27" s="1248" t="str">
        <f>IF($F$10="Deutsch","Der Nachweis beschränkt sich auf niedrige Gebäude mit einer maximalen Gebäudehöhe von 18.3 m (60 ft).",IF($F$10="English","The proof is restricted to low-rise buildings with a maximum building height of 18.3 m (60 ft).","Fehler"))</f>
        <v>Der Nachweis beschränkt sich auf niedrige Gebäude mit einer maximalen Gebäudehöhe von 18.3 m (60 ft).</v>
      </c>
      <c r="F27" s="1248"/>
      <c r="G27" s="1248"/>
      <c r="H27" s="1248"/>
      <c r="I27" s="1248"/>
      <c r="J27" s="1248"/>
      <c r="K27" s="1248"/>
      <c r="L27" s="1249"/>
    </row>
    <row r="28" spans="2:12" ht="25.5" customHeight="1" x14ac:dyDescent="0.25">
      <c r="B28" s="143" t="str">
        <f>IF($F$10="Deutsch","Basiswindgeschwindigkeit:",IF($F$10="English","Basic wind speed:","Fehler"))</f>
        <v>Basiswindgeschwindigkeit:</v>
      </c>
      <c r="C28" s="144">
        <v>48.25</v>
      </c>
      <c r="D28" s="142" t="s">
        <v>14</v>
      </c>
      <c r="E28" s="1239" t="str">
        <f>IF($F$10="Deutsch","Nach Abbildungen 26.5-1A, B und C für die Risikoklassen I, II, III einschließlich eines Wichtigkeits- und Sicherheitsfaktors von 1.6",IF($F$10="English","According to figures 26.5-1A, B and C for the risk categories I, II, III including an importance and a load factor of 1.6","Fehler"))</f>
        <v>Nach Abbildungen 26.5-1A, B und C für die Risikoklassen I, II, III einschließlich eines Wichtigkeits- und Sicherheitsfaktors von 1.6</v>
      </c>
      <c r="F28" s="1239" t="str">
        <f t="shared" ref="F28:L28" si="0">IF($F$10="Deutsch","Nach Abbildungen 26.5-1A, B und C für die Risikoklassen I, II, III einschließlich eines Wichtigkeits- und Sicherheitsfaktor von 1.6",IF($F$10="English","According to figures 26.5-1A, B and C for the risk categories I, II, III including an importance and a load factor of 1.6","Fehler"))</f>
        <v>Nach Abbildungen 26.5-1A, B und C für die Risikoklassen I, II, III einschließlich eines Wichtigkeits- und Sicherheitsfaktor von 1.6</v>
      </c>
      <c r="G28" s="1239" t="str">
        <f t="shared" si="0"/>
        <v>Nach Abbildungen 26.5-1A, B und C für die Risikoklassen I, II, III einschließlich eines Wichtigkeits- und Sicherheitsfaktor von 1.6</v>
      </c>
      <c r="H28" s="1239" t="str">
        <f t="shared" si="0"/>
        <v>Nach Abbildungen 26.5-1A, B und C für die Risikoklassen I, II, III einschließlich eines Wichtigkeits- und Sicherheitsfaktor von 1.6</v>
      </c>
      <c r="I28" s="1239" t="str">
        <f t="shared" si="0"/>
        <v>Nach Abbildungen 26.5-1A, B und C für die Risikoklassen I, II, III einschließlich eines Wichtigkeits- und Sicherheitsfaktor von 1.6</v>
      </c>
      <c r="J28" s="1239" t="str">
        <f t="shared" si="0"/>
        <v>Nach Abbildungen 26.5-1A, B und C für die Risikoklassen I, II, III einschließlich eines Wichtigkeits- und Sicherheitsfaktor von 1.6</v>
      </c>
      <c r="K28" s="1239" t="str">
        <f t="shared" si="0"/>
        <v>Nach Abbildungen 26.5-1A, B und C für die Risikoklassen I, II, III einschließlich eines Wichtigkeits- und Sicherheitsfaktor von 1.6</v>
      </c>
      <c r="L28" s="1240" t="str">
        <f t="shared" si="0"/>
        <v>Nach Abbildungen 26.5-1A, B und C für die Risikoklassen I, II, III einschließlich eines Wichtigkeits- und Sicherheitsfaktor von 1.6</v>
      </c>
    </row>
    <row r="29" spans="2:12" ht="30.75" customHeight="1" x14ac:dyDescent="0.25">
      <c r="B29" s="143" t="str">
        <f>IF($F$10="Deutsch","Gebäudestrukturtyp:",IF($F$10="English","Type of structure:","Fehler"))</f>
        <v>Gebäudestrukturtyp:</v>
      </c>
      <c r="C29" s="145" t="s">
        <v>26</v>
      </c>
      <c r="D29" s="142" t="s">
        <v>5</v>
      </c>
      <c r="E29" s="1239" t="str">
        <f>IF($F$10="Deutsch","Der Geländekoeffizient kz in Geländekategorie B ist abhängig von dem Strukturtyp.",IF($F$10="English","The exposure coefficient kz in Exposure B varies with the type of structure.","Fehler"))</f>
        <v>Der Geländekoeffizient kz in Geländekategorie B ist abhängig von dem Strukturtyp.</v>
      </c>
      <c r="F29" s="1239"/>
      <c r="G29" s="1239"/>
      <c r="H29" s="1239"/>
      <c r="I29" s="1239"/>
      <c r="J29" s="1239"/>
      <c r="K29" s="1239"/>
      <c r="L29" s="1240"/>
    </row>
    <row r="30" spans="2:12" ht="12.75" customHeight="1" x14ac:dyDescent="0.25">
      <c r="B30" s="143" t="str">
        <f>IF($F$10="Deutsch","Windrichtungsfaktor:",IF($F$10="English","Wind directionality factor:","Fehler"))</f>
        <v>Windrichtungsfaktor:</v>
      </c>
      <c r="C30" s="146">
        <v>1</v>
      </c>
      <c r="D30" s="142" t="s">
        <v>5</v>
      </c>
      <c r="E30" s="1259" t="str">
        <f>IF($F$10="Deutsch","Dieser Faktor sollte nur angewandt werden, wenn Last-Kombinationen gemäß Abschnitt 2.3 und 2.4 auftreten.",IF($F$10="English","This factor shall only be applied when used in conjunction with load combinations specified in sections 2.3 and 2.4. ","Fehler"))</f>
        <v>Dieser Faktor sollte nur angewandt werden, wenn Last-Kombinationen gemäß Abschnitt 2.3 und 2.4 auftreten.</v>
      </c>
      <c r="F30" s="1259"/>
      <c r="G30" s="1259"/>
      <c r="H30" s="1259"/>
      <c r="I30" s="1259"/>
      <c r="J30" s="1259"/>
      <c r="K30" s="1259"/>
      <c r="L30" s="1260"/>
    </row>
    <row r="31" spans="2:12" ht="25.5" customHeight="1" thickBot="1" x14ac:dyDescent="0.3">
      <c r="B31" s="147" t="str">
        <f>IF($F$10="Deutsch","Topographiebeiwert:",IF($F$10="English","Topographic factor:","Fehler"))</f>
        <v>Topographiebeiwert:</v>
      </c>
      <c r="C31" s="148">
        <v>1</v>
      </c>
      <c r="D31" s="149" t="s">
        <v>5</v>
      </c>
      <c r="E31" s="1261" t="str">
        <f>IF($F$10="Deutsch","Der Topographiebeiwert, wie in Abschnitt 26.8 definiert, ist nur bei Bauwerken in exponierter Lage (Klippen, Geländesprünge, Kuppen, Hügelkämmen) anzuwenden.",IF($F$10="English","The topographic factor as defined in section 26.8 shall be applied when buildings and other site conditions and locations of structures constitute abrupt changes in the general topography (wind speed-up effects at isolated hills, ridges, escarpments).","Fehler"))</f>
        <v>Der Topographiebeiwert, wie in Abschnitt 26.8 definiert, ist nur bei Bauwerken in exponierter Lage (Klippen, Geländesprünge, Kuppen, Hügelkämmen) anzuwenden.</v>
      </c>
      <c r="F31" s="1261"/>
      <c r="G31" s="1261"/>
      <c r="H31" s="1261"/>
      <c r="I31" s="1261"/>
      <c r="J31" s="1261"/>
      <c r="K31" s="1261"/>
      <c r="L31" s="1262"/>
    </row>
    <row r="32" spans="2:12" ht="12.75" customHeight="1" x14ac:dyDescent="0.25">
      <c r="B32" s="70"/>
      <c r="C32" s="150"/>
      <c r="D32" s="151"/>
      <c r="E32" s="568"/>
      <c r="F32" s="568"/>
      <c r="G32" s="568"/>
      <c r="H32" s="568"/>
      <c r="I32" s="568"/>
      <c r="J32" s="568"/>
      <c r="K32" s="568"/>
      <c r="L32" s="568"/>
    </row>
    <row r="33" spans="1:15" ht="12.75" customHeight="1" x14ac:dyDescent="0.25">
      <c r="A33" s="69"/>
      <c r="B33" s="70"/>
      <c r="C33" s="150"/>
      <c r="D33" s="151"/>
      <c r="E33" s="568"/>
      <c r="F33" s="568"/>
      <c r="G33" s="568"/>
      <c r="H33" s="568"/>
      <c r="I33" s="568"/>
      <c r="J33" s="568"/>
      <c r="K33" s="568"/>
      <c r="L33" s="568"/>
    </row>
    <row r="34" spans="1:15" x14ac:dyDescent="0.25">
      <c r="G34" s="152"/>
      <c r="H34" s="152"/>
      <c r="J34" s="152"/>
      <c r="K34" s="153"/>
    </row>
    <row r="35" spans="1:15" ht="16.5" thickBot="1" x14ac:dyDescent="0.3">
      <c r="B35" s="431" t="str">
        <f>IF($F$10="Deutsch","Geländekategorie:",IF($F$10="English","Exposure category:","Fehler"))</f>
        <v>Geländekategorie:</v>
      </c>
      <c r="K35" s="154"/>
      <c r="L35" s="155"/>
      <c r="M35" s="154"/>
      <c r="N35" s="154"/>
      <c r="O35" s="154"/>
    </row>
    <row r="36" spans="1:15" ht="27" customHeight="1" thickBot="1" x14ac:dyDescent="0.3">
      <c r="B36" s="156" t="str">
        <f>IF($F$10="Deutsch","Geländekategorie",IF($F$10="English","Exposure category","Fehler"))</f>
        <v>Geländekategorie</v>
      </c>
      <c r="C36" s="157" t="s">
        <v>17</v>
      </c>
      <c r="D36" s="157" t="s">
        <v>18</v>
      </c>
      <c r="E36" s="157" t="s">
        <v>19</v>
      </c>
      <c r="F36" s="157" t="s">
        <v>20</v>
      </c>
      <c r="G36" s="157" t="s">
        <v>21</v>
      </c>
      <c r="H36" s="1263" t="str">
        <f>IF($F$10="Deutsch","Geländebeschreibung:",IF($F$10="English","Designation:","Fehler"))</f>
        <v>Geländebeschreibung:</v>
      </c>
      <c r="I36" s="1264"/>
      <c r="J36" s="1264"/>
      <c r="K36" s="1264"/>
      <c r="L36" s="1264"/>
      <c r="M36" s="1264"/>
      <c r="N36" s="1265"/>
    </row>
    <row r="37" spans="1:15" ht="25.5" customHeight="1" x14ac:dyDescent="0.25">
      <c r="B37" s="158" t="s">
        <v>16</v>
      </c>
      <c r="C37" s="103">
        <v>365.76</v>
      </c>
      <c r="D37" s="103">
        <v>9.14</v>
      </c>
      <c r="E37" s="123">
        <v>7</v>
      </c>
      <c r="F37" s="159">
        <f>IF($C$27&gt;C37,"Fehler",IF($C$27&gt;IF(C29=B42,15*0.3048,30*0.3048),2.01*($C$27/C37)^(2/E37),2.01*(IF(C29=B42,15*0.3048,30*0.3048)/C37)^(2/E37)))</f>
        <v>0.70059112483542563</v>
      </c>
      <c r="G37" s="160">
        <f>0.613*F37*$C$30*$C$31*$C$28^2</f>
        <v>999.81521436961202</v>
      </c>
      <c r="H37" s="1266" t="str">
        <f>IF($F$10="Deutsch","Städte, Vorstädte, Wald oder anderes Gelände mit vielen nahe beieinander liegenden Hindernissen wie Einfamilienhäusern oder größer.",IF($F$10="English","Urban/ suburban areas, wooded areas, or other terrain with numerous closely spaced obstructions having the size of single-family dwellings or larger.","Fehler"))</f>
        <v>Städte, Vorstädte, Wald oder anderes Gelände mit vielen nahe beieinander liegenden Hindernissen wie Einfamilienhäusern oder größer.</v>
      </c>
      <c r="I37" s="1267"/>
      <c r="J37" s="1267"/>
      <c r="K37" s="1267"/>
      <c r="L37" s="1267"/>
      <c r="M37" s="1267"/>
      <c r="N37" s="1268"/>
    </row>
    <row r="38" spans="1:15" ht="25.5" customHeight="1" x14ac:dyDescent="0.25">
      <c r="B38" s="158" t="s">
        <v>22</v>
      </c>
      <c r="C38" s="159">
        <v>274.32</v>
      </c>
      <c r="D38" s="103">
        <v>4.57</v>
      </c>
      <c r="E38" s="123">
        <v>9.5</v>
      </c>
      <c r="F38" s="159">
        <f>IF($C$27&gt;C38,"Fehler",IF($C$27&gt;15*0.3048,2.01*($C$27/C38)^(2/E38),2.01*(15*0.3048/C38)^(2/E38)))</f>
        <v>0.91415186348614952</v>
      </c>
      <c r="G38" s="160">
        <f t="shared" ref="G38" si="1">0.613*F38*$C$30*$C$31*$C$28^2</f>
        <v>1304.5882383572682</v>
      </c>
      <c r="H38" s="1269" t="str">
        <f>IF($F$10="Deutsch","Offenes Gelände mit vereinzelten Hindernissen, die weniger als 30ft (9,1m) hoch sind. Diese Kategorie umfasst flaches offenes Land, Grasland und Wasseroberflächen.",IF($F$10="English","Open terrain with scattered obstructions having heights generally less than 30ft (9,1 m). This category includes flat open country and grasslands.","Fehler"))</f>
        <v>Offenes Gelände mit vereinzelten Hindernissen, die weniger als 30ft (9,1m) hoch sind. Diese Kategorie umfasst flaches offenes Land, Grasland und Wasseroberflächen.</v>
      </c>
      <c r="I38" s="1267"/>
      <c r="J38" s="1267"/>
      <c r="K38" s="1267"/>
      <c r="L38" s="1267"/>
      <c r="M38" s="1267"/>
      <c r="N38" s="1268"/>
    </row>
    <row r="39" spans="1:15" ht="27.75" customHeight="1" thickBot="1" x14ac:dyDescent="0.3">
      <c r="B39" s="161" t="s">
        <v>23</v>
      </c>
      <c r="C39" s="162">
        <v>213.36</v>
      </c>
      <c r="D39" s="163">
        <v>2.13</v>
      </c>
      <c r="E39" s="164">
        <v>11.5</v>
      </c>
      <c r="F39" s="162">
        <f>IF($C$27&gt;C39,"Fehler",IF($C$27&gt;15*0.3048,2.01*($C$27/C39)^(2/E39),2.01*(15*0.3048/C39)^(2/E39)))</f>
        <v>1.0952396617636087</v>
      </c>
      <c r="G39" s="165">
        <f>0.613*F39*$C$30*$C$31*$C$28^2</f>
        <v>1563.0190540445635</v>
      </c>
      <c r="H39" s="1250" t="str">
        <f>IF($F$10="Deutsch","Flache Gebiete ohne Hindernisse und Wasseroberflächen. Diese Kategorie umfasst glattes Watt, Salzflächen und ungebrochenes Eis.",IF($F$10="English","Flat, unobstructed areas and water surfaces. This category includes smooth mud flats, salt flats, and unbroken ice.","Fehler"))</f>
        <v>Flache Gebiete ohne Hindernisse und Wasseroberflächen. Diese Kategorie umfasst glattes Watt, Salzflächen und ungebrochenes Eis.</v>
      </c>
      <c r="I39" s="1251"/>
      <c r="J39" s="1251"/>
      <c r="K39" s="1251"/>
      <c r="L39" s="1251"/>
      <c r="M39" s="1251"/>
      <c r="N39" s="1252"/>
    </row>
    <row r="40" spans="1:15" x14ac:dyDescent="0.25">
      <c r="B40" s="166"/>
      <c r="C40" s="167"/>
      <c r="D40" s="167"/>
      <c r="F40" s="155"/>
      <c r="G40" s="154"/>
      <c r="H40" s="168"/>
    </row>
    <row r="41" spans="1:15" x14ac:dyDescent="0.25">
      <c r="B41" s="567"/>
      <c r="C41" s="567"/>
      <c r="D41" s="69"/>
    </row>
    <row r="42" spans="1:15" x14ac:dyDescent="0.25">
      <c r="B42" s="170" t="s">
        <v>25</v>
      </c>
      <c r="C42" s="171"/>
      <c r="D42" s="69"/>
    </row>
    <row r="43" spans="1:15" x14ac:dyDescent="0.25">
      <c r="B43" s="170" t="s">
        <v>26</v>
      </c>
      <c r="C43" s="171"/>
      <c r="D43" s="69"/>
    </row>
    <row r="44" spans="1:15" x14ac:dyDescent="0.25">
      <c r="B44" s="171"/>
      <c r="C44" s="171"/>
      <c r="D44" s="69"/>
    </row>
    <row r="45" spans="1:15" x14ac:dyDescent="0.25">
      <c r="B45" s="171"/>
      <c r="C45" s="171"/>
      <c r="D45" s="69"/>
    </row>
    <row r="46" spans="1:15" x14ac:dyDescent="0.25">
      <c r="B46" s="171"/>
      <c r="C46" s="171"/>
      <c r="D46" s="69"/>
    </row>
    <row r="47" spans="1:15" x14ac:dyDescent="0.25">
      <c r="B47" s="171"/>
      <c r="C47" s="171"/>
      <c r="D47" s="69"/>
    </row>
    <row r="48" spans="1:15" x14ac:dyDescent="0.25">
      <c r="B48" s="171"/>
      <c r="C48" s="171"/>
      <c r="D48" s="69"/>
    </row>
    <row r="49" spans="2:6" x14ac:dyDescent="0.25">
      <c r="B49" s="171"/>
      <c r="C49" s="171"/>
      <c r="D49" s="69"/>
    </row>
    <row r="50" spans="2:6" x14ac:dyDescent="0.25">
      <c r="B50" s="171"/>
      <c r="C50" s="171"/>
      <c r="D50" s="69"/>
    </row>
    <row r="51" spans="2:6" x14ac:dyDescent="0.25">
      <c r="B51" s="171"/>
      <c r="C51" s="171"/>
      <c r="D51" s="69"/>
    </row>
    <row r="52" spans="2:6" x14ac:dyDescent="0.25">
      <c r="B52" s="171"/>
      <c r="C52" s="171"/>
      <c r="D52" s="69"/>
    </row>
    <row r="53" spans="2:6" x14ac:dyDescent="0.25">
      <c r="B53" s="171"/>
      <c r="C53" s="171"/>
      <c r="D53" s="69"/>
    </row>
    <row r="54" spans="2:6" x14ac:dyDescent="0.25">
      <c r="B54" s="171"/>
      <c r="C54" s="171"/>
      <c r="D54" s="69"/>
    </row>
    <row r="55" spans="2:6" x14ac:dyDescent="0.25">
      <c r="B55" s="171"/>
      <c r="C55" s="171"/>
      <c r="D55" s="69"/>
      <c r="E55" s="172"/>
      <c r="F55" s="172"/>
    </row>
    <row r="56" spans="2:6" x14ac:dyDescent="0.25">
      <c r="B56" s="171"/>
      <c r="C56" s="171"/>
      <c r="D56" s="69"/>
      <c r="E56" s="172"/>
      <c r="F56" s="172"/>
    </row>
    <row r="57" spans="2:6" x14ac:dyDescent="0.25">
      <c r="B57" s="171"/>
      <c r="C57" s="171"/>
      <c r="D57" s="69"/>
    </row>
    <row r="58" spans="2:6" x14ac:dyDescent="0.25">
      <c r="B58" s="171"/>
      <c r="C58" s="171"/>
      <c r="D58" s="69"/>
    </row>
    <row r="59" spans="2:6" x14ac:dyDescent="0.25">
      <c r="B59" s="171"/>
      <c r="C59" s="171"/>
      <c r="D59" s="69"/>
    </row>
    <row r="60" spans="2:6" x14ac:dyDescent="0.25">
      <c r="B60" s="69"/>
      <c r="C60" s="69"/>
      <c r="D60" s="69"/>
    </row>
  </sheetData>
  <mergeCells count="18">
    <mergeCell ref="H39:N39"/>
    <mergeCell ref="E24:L24"/>
    <mergeCell ref="C25:L25"/>
    <mergeCell ref="E26:L26"/>
    <mergeCell ref="E27:L27"/>
    <mergeCell ref="E28:L28"/>
    <mergeCell ref="E29:L29"/>
    <mergeCell ref="E30:L30"/>
    <mergeCell ref="E31:L31"/>
    <mergeCell ref="H36:N36"/>
    <mergeCell ref="H37:N37"/>
    <mergeCell ref="H38:N38"/>
    <mergeCell ref="H19:I19"/>
    <mergeCell ref="B5:M5"/>
    <mergeCell ref="C10:D10"/>
    <mergeCell ref="C11:D11"/>
    <mergeCell ref="C12:D12"/>
    <mergeCell ref="C13:D13"/>
  </mergeCells>
  <dataValidations count="3">
    <dataValidation type="list" allowBlank="1" showInputMessage="1" showErrorMessage="1" sqref="C24" xr:uid="{00000000-0002-0000-0600-000000000000}">
      <formula1>$B$37:$B$39</formula1>
    </dataValidation>
    <dataValidation type="list" allowBlank="1" showInputMessage="1" showErrorMessage="1" sqref="C29" xr:uid="{00000000-0002-0000-0600-000001000000}">
      <formula1>$B$42:$B$43</formula1>
    </dataValidation>
    <dataValidation type="list" allowBlank="1" showInputMessage="1" showErrorMessage="1" sqref="F10" xr:uid="{00000000-0002-0000-0600-000002000000}">
      <formula1>$N$3:$N$6</formula1>
    </dataValidation>
  </dataValidations>
  <pageMargins left="0.75" right="0.39" top="0.47" bottom="0.77" header="0.4921259845" footer="0.4921259845"/>
  <pageSetup paperSize="9" scale="66" orientation="landscape" r:id="rId1"/>
  <headerFooter alignWithMargins="0"/>
  <drawing r:id="rId2"/>
  <legacyDrawing r:id="rId3"/>
  <oleObjects>
    <mc:AlternateContent xmlns:mc="http://schemas.openxmlformats.org/markup-compatibility/2006">
      <mc:Choice Requires="x14">
        <oleObject progId="Equation.DSMT4" shapeId="24577" r:id="rId4">
          <objectPr defaultSize="0" autoPict="0" r:id="rId5">
            <anchor moveWithCells="1">
              <from>
                <xdr:col>2</xdr:col>
                <xdr:colOff>9525</xdr:colOff>
                <xdr:row>18</xdr:row>
                <xdr:rowOff>0</xdr:rowOff>
              </from>
              <to>
                <xdr:col>2</xdr:col>
                <xdr:colOff>190500</xdr:colOff>
                <xdr:row>18</xdr:row>
                <xdr:rowOff>200025</xdr:rowOff>
              </to>
            </anchor>
          </objectPr>
        </oleObject>
      </mc:Choice>
      <mc:Fallback>
        <oleObject progId="Equation.DSMT4" shapeId="24577" r:id="rId4"/>
      </mc:Fallback>
    </mc:AlternateContent>
    <mc:AlternateContent xmlns:mc="http://schemas.openxmlformats.org/markup-compatibility/2006">
      <mc:Choice Requires="x14">
        <oleObject progId="Equation.DSMT4" shapeId="24578" r:id="rId6">
          <objectPr defaultSize="0" r:id="rId7">
            <anchor moveWithCells="1">
              <from>
                <xdr:col>2</xdr:col>
                <xdr:colOff>19050</xdr:colOff>
                <xdr:row>30</xdr:row>
                <xdr:rowOff>57150</xdr:rowOff>
              </from>
              <to>
                <xdr:col>2</xdr:col>
                <xdr:colOff>209550</xdr:colOff>
                <xdr:row>30</xdr:row>
                <xdr:rowOff>276225</xdr:rowOff>
              </to>
            </anchor>
          </objectPr>
        </oleObject>
      </mc:Choice>
      <mc:Fallback>
        <oleObject progId="Equation.DSMT4" shapeId="24578" r:id="rId6"/>
      </mc:Fallback>
    </mc:AlternateContent>
    <mc:AlternateContent xmlns:mc="http://schemas.openxmlformats.org/markup-compatibility/2006">
      <mc:Choice Requires="x14">
        <oleObject progId="Equation.DSMT4" shapeId="24579" r:id="rId8">
          <objectPr defaultSize="0" autoPict="0" r:id="rId9">
            <anchor moveWithCells="1">
              <from>
                <xdr:col>2</xdr:col>
                <xdr:colOff>19050</xdr:colOff>
                <xdr:row>26</xdr:row>
                <xdr:rowOff>28575</xdr:rowOff>
              </from>
              <to>
                <xdr:col>2</xdr:col>
                <xdr:colOff>133350</xdr:colOff>
                <xdr:row>26</xdr:row>
                <xdr:rowOff>152400</xdr:rowOff>
              </to>
            </anchor>
          </objectPr>
        </oleObject>
      </mc:Choice>
      <mc:Fallback>
        <oleObject progId="Equation.DSMT4" shapeId="24579" r:id="rId8"/>
      </mc:Fallback>
    </mc:AlternateContent>
    <mc:AlternateContent xmlns:mc="http://schemas.openxmlformats.org/markup-compatibility/2006">
      <mc:Choice Requires="x14">
        <oleObject progId="Equation.DSMT4" shapeId="24580" r:id="rId10">
          <objectPr defaultSize="0" r:id="rId11">
            <anchor moveWithCells="1">
              <from>
                <xdr:col>2</xdr:col>
                <xdr:colOff>9525</xdr:colOff>
                <xdr:row>28</xdr:row>
                <xdr:rowOff>361950</xdr:rowOff>
              </from>
              <to>
                <xdr:col>2</xdr:col>
                <xdr:colOff>171450</xdr:colOff>
                <xdr:row>30</xdr:row>
                <xdr:rowOff>28575</xdr:rowOff>
              </to>
            </anchor>
          </objectPr>
        </oleObject>
      </mc:Choice>
      <mc:Fallback>
        <oleObject progId="Equation.DSMT4" shapeId="24580" r:id="rId10"/>
      </mc:Fallback>
    </mc:AlternateContent>
    <mc:AlternateContent xmlns:mc="http://schemas.openxmlformats.org/markup-compatibility/2006">
      <mc:Choice Requires="x14">
        <oleObject progId="Equation.DSMT4" shapeId="24581" r:id="rId12">
          <objectPr defaultSize="0" r:id="rId13">
            <anchor moveWithCells="1">
              <from>
                <xdr:col>2</xdr:col>
                <xdr:colOff>9525</xdr:colOff>
                <xdr:row>27</xdr:row>
                <xdr:rowOff>66675</xdr:rowOff>
              </from>
              <to>
                <xdr:col>2</xdr:col>
                <xdr:colOff>171450</xdr:colOff>
                <xdr:row>27</xdr:row>
                <xdr:rowOff>285750</xdr:rowOff>
              </to>
            </anchor>
          </objectPr>
        </oleObject>
      </mc:Choice>
      <mc:Fallback>
        <oleObject progId="Equation.DSMT4" shapeId="24581" r:id="rId12"/>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pageSetUpPr fitToPage="1"/>
  </sheetPr>
  <dimension ref="B1:X182"/>
  <sheetViews>
    <sheetView showGridLines="0" zoomScaleNormal="100" workbookViewId="0">
      <selection activeCell="D124" sqref="D124"/>
    </sheetView>
  </sheetViews>
  <sheetFormatPr defaultColWidth="9.140625" defaultRowHeight="15" customHeight="1" x14ac:dyDescent="0.25"/>
  <cols>
    <col min="1" max="1" width="13" style="184" customWidth="1"/>
    <col min="2" max="2" width="44" style="184" customWidth="1"/>
    <col min="3" max="3" width="25.7109375" style="184" customWidth="1"/>
    <col min="4" max="8" width="15.7109375" style="184" customWidth="1"/>
    <col min="9" max="9" width="7.140625" style="184" customWidth="1"/>
    <col min="10" max="10" width="30.7109375" style="184" customWidth="1"/>
    <col min="11" max="11" width="25.7109375" style="184" customWidth="1"/>
    <col min="12" max="16" width="10.7109375" style="184" customWidth="1"/>
    <col min="17" max="17" width="9.140625" style="184"/>
    <col min="18" max="18" width="30.7109375" style="184" customWidth="1"/>
    <col min="19" max="19" width="25.7109375" style="184" customWidth="1"/>
    <col min="20" max="24" width="10.7109375" style="184" customWidth="1"/>
    <col min="25" max="16384" width="9.140625" style="184"/>
  </cols>
  <sheetData>
    <row r="1" spans="2:10" ht="15" customHeight="1" thickBot="1" x14ac:dyDescent="0.3"/>
    <row r="2" spans="2:10" ht="15" customHeight="1" x14ac:dyDescent="0.2">
      <c r="B2" s="185" t="str">
        <f>'building data'!B2</f>
        <v>Mounting Systems GmbH</v>
      </c>
      <c r="C2" s="188"/>
      <c r="D2" s="176" t="str">
        <f>IF($F$9="Deutsch","Die gelben Felder sind projektabhängig auszufüllen.",IF($F$9="English","The yellow cells have to be filled out depending on the project.","Fehler"))</f>
        <v>The yellow cells have to be filled out depending on the project.</v>
      </c>
      <c r="E2" s="187"/>
      <c r="F2" s="186"/>
      <c r="G2" s="186"/>
      <c r="H2" s="186"/>
      <c r="I2" s="189"/>
      <c r="J2" s="505"/>
    </row>
    <row r="3" spans="2:10" ht="15" customHeight="1" x14ac:dyDescent="0.25">
      <c r="B3" s="190" t="str">
        <f>'building data'!B3</f>
        <v>Solar ballasted roof mount system</v>
      </c>
      <c r="C3" s="192"/>
      <c r="D3" s="177" t="str">
        <f>IF($F$9="Deutsch","Die türkisfarbenen Felder werden berechnet.",IF($F$9="English","The turquoise cells are calculated.","Fehler"))</f>
        <v>The turquoise cells are calculated.</v>
      </c>
      <c r="E3" s="191"/>
      <c r="F3" s="191"/>
      <c r="G3" s="191"/>
      <c r="H3" s="193"/>
      <c r="I3" s="194"/>
      <c r="J3" s="209"/>
    </row>
    <row r="4" spans="2:10" ht="15" customHeight="1" x14ac:dyDescent="0.25">
      <c r="B4" s="190" t="str">
        <f>'building data'!B4</f>
        <v xml:space="preserve">Lambda Light EW+ </v>
      </c>
      <c r="C4" s="191"/>
      <c r="D4" s="191"/>
      <c r="E4" s="191"/>
      <c r="F4" s="191"/>
      <c r="G4" s="191"/>
      <c r="H4" s="191"/>
      <c r="I4" s="194"/>
      <c r="J4" s="209"/>
    </row>
    <row r="5" spans="2:10" ht="15" customHeight="1" thickBot="1" x14ac:dyDescent="0.3">
      <c r="B5" s="1279" t="str">
        <f>IF($F$9="Deutsch","Kraftbeiwerte",IF($F$9="English","Force coefficients","Fehler"))</f>
        <v>Force coefficients</v>
      </c>
      <c r="C5" s="1280"/>
      <c r="D5" s="1280"/>
      <c r="E5" s="1280"/>
      <c r="F5" s="1280"/>
      <c r="G5" s="1280"/>
      <c r="H5" s="1280"/>
      <c r="I5" s="1281"/>
      <c r="J5" s="209"/>
    </row>
    <row r="6" spans="2:10" ht="15" customHeight="1" x14ac:dyDescent="0.25">
      <c r="J6" s="359"/>
    </row>
    <row r="8" spans="2:10" ht="15" customHeight="1" thickBot="1" x14ac:dyDescent="0.3">
      <c r="B8" s="195" t="str">
        <f>IF($F$9="Deutsch","Projektdaten",IF($F$9="English","Project data","Fehler"))</f>
        <v>Project data</v>
      </c>
    </row>
    <row r="9" spans="2:10" ht="15" customHeight="1" x14ac:dyDescent="0.2">
      <c r="B9" s="196" t="str">
        <f>IF($F$9="Deutsch","Projekt:",IF($F$9="English","Project:","Fehler"))</f>
        <v>Project:</v>
      </c>
      <c r="C9" s="1282" t="str">
        <f>'building data'!C9</f>
        <v>EN15-</v>
      </c>
      <c r="D9" s="1282"/>
      <c r="E9" s="197" t="str">
        <f>IF($F$9="Deutsch","Sprache:",IF($F$9="English","Language:","Fehler"))</f>
        <v>Language:</v>
      </c>
      <c r="F9" s="198" t="str">
        <f>'building data'!G9</f>
        <v>English</v>
      </c>
    </row>
    <row r="10" spans="2:10" ht="15" customHeight="1" x14ac:dyDescent="0.25">
      <c r="B10" s="199" t="str">
        <f>IF($F$9="Deutsch","PLZ:",IF($F$9="English","Postal code:","Fehler"))</f>
        <v>Postal code:</v>
      </c>
      <c r="C10" s="1283">
        <f>'building data'!C10</f>
        <v>2301</v>
      </c>
      <c r="D10" s="1283"/>
      <c r="E10" s="200" t="str">
        <f>IF($F$9="Deutsch","Standort:",IF($F$9="English","Site:","Fehler"))</f>
        <v>Site:</v>
      </c>
      <c r="F10" s="201" t="str">
        <f>'building data'!G10</f>
        <v>Hortsfelde</v>
      </c>
      <c r="G10" s="202"/>
    </row>
    <row r="11" spans="2:10" ht="15" customHeight="1" x14ac:dyDescent="0.25">
      <c r="B11" s="199" t="str">
        <f>IF($F$9="Deutsch","Bearbeiter:",IF($F$9="English","Person in charge:","Fehler"))</f>
        <v>Person in charge:</v>
      </c>
      <c r="C11" s="1283" t="str">
        <f>'building data'!C11</f>
        <v>HGF</v>
      </c>
      <c r="D11" s="1283"/>
      <c r="E11" s="203" t="str">
        <f>IF($F$9="Deutsch","Land:",IF($F$9="English","Country:","Fehler"))</f>
        <v>Country:</v>
      </c>
      <c r="F11" s="201" t="str">
        <f>'building data'!G12</f>
        <v>DIN EN 1991-1-4</v>
      </c>
      <c r="G11" s="202"/>
    </row>
    <row r="12" spans="2:10" ht="15" customHeight="1" thickBot="1" x14ac:dyDescent="0.3">
      <c r="B12" s="204" t="str">
        <f>IF($F$9="Deutsch","Datum:",IF($F$9="English","Date:","Fehler"))</f>
        <v>Date:</v>
      </c>
      <c r="C12" s="1284">
        <f>'building data'!C12</f>
        <v>42272</v>
      </c>
      <c r="D12" s="1284"/>
      <c r="E12" s="205" t="str">
        <f>IF($F$9="Deutsch","Norm:",IF($F$9="English","Standard:","Fehler"))</f>
        <v>Standard:</v>
      </c>
      <c r="F12" s="206" t="str">
        <f>'building data'!G11</f>
        <v>Germany</v>
      </c>
      <c r="G12" s="202"/>
    </row>
    <row r="14" spans="2:10" ht="15" customHeight="1" x14ac:dyDescent="0.25">
      <c r="E14" s="356"/>
    </row>
    <row r="15" spans="2:10" ht="15" customHeight="1" x14ac:dyDescent="0.25">
      <c r="B15" s="207" t="str">
        <f>'wind load calc'!B38</f>
        <v>Load case 'Uplift'</v>
      </c>
      <c r="D15" s="488" t="str">
        <f>'wind load calc'!H38</f>
        <v>for large arrays</v>
      </c>
      <c r="E15" s="356"/>
    </row>
    <row r="16" spans="2:10" ht="15" customHeight="1" x14ac:dyDescent="0.25">
      <c r="B16" s="341" t="str">
        <f>'wind load calc'!F39</f>
        <v>Applied number of double modules per row which share loads:</v>
      </c>
      <c r="C16" s="342">
        <f>'wind load calc'!G39</f>
        <v>2</v>
      </c>
      <c r="D16" s="342">
        <f>'wind load calc'!H39</f>
        <v>2</v>
      </c>
      <c r="E16" s="562"/>
    </row>
    <row r="17" spans="2:10" ht="15" customHeight="1" x14ac:dyDescent="0.25">
      <c r="B17" s="341" t="str">
        <f>'wind load calc'!F40</f>
        <v>Applied number of rows which share loads:</v>
      </c>
      <c r="C17" s="342">
        <f>'wind load calc'!G40</f>
        <v>3</v>
      </c>
      <c r="D17" s="342">
        <f>'wind load calc'!H40</f>
        <v>3</v>
      </c>
      <c r="E17" s="562"/>
    </row>
    <row r="18" spans="2:10" ht="15" customHeight="1" x14ac:dyDescent="0.25">
      <c r="E18" s="356"/>
    </row>
    <row r="19" spans="2:10" ht="15" customHeight="1" x14ac:dyDescent="0.25">
      <c r="B19" s="207" t="str">
        <f>'wind load calc'!B41</f>
        <v>Load case 'Sliding'</v>
      </c>
      <c r="D19" s="488" t="str">
        <f>D15</f>
        <v>for large arrays</v>
      </c>
      <c r="E19" s="356"/>
      <c r="F19" s="207"/>
      <c r="G19" s="207"/>
    </row>
    <row r="20" spans="2:10" ht="15" customHeight="1" x14ac:dyDescent="0.25">
      <c r="B20" s="341" t="str">
        <f>'wind load calc'!F42</f>
        <v>Applied number of double modules per row which share loads:</v>
      </c>
      <c r="C20" s="342">
        <f>'wind load calc'!G42</f>
        <v>2</v>
      </c>
      <c r="D20" s="342">
        <f>'wind load calc'!H42</f>
        <v>2</v>
      </c>
      <c r="E20" s="562"/>
      <c r="F20" s="208"/>
    </row>
    <row r="21" spans="2:10" ht="15" customHeight="1" x14ac:dyDescent="0.25">
      <c r="B21" s="341" t="str">
        <f>'wind load calc'!F43</f>
        <v>Applied number of rows which share loads:</v>
      </c>
      <c r="C21" s="342">
        <f>'wind load calc'!G43</f>
        <v>3</v>
      </c>
      <c r="D21" s="342">
        <f>'wind load calc'!H43</f>
        <v>3</v>
      </c>
      <c r="E21" s="562"/>
      <c r="F21" s="208"/>
      <c r="G21" s="208"/>
    </row>
    <row r="22" spans="2:10" ht="15" customHeight="1" x14ac:dyDescent="0.25">
      <c r="B22" s="209"/>
      <c r="C22" s="209"/>
      <c r="D22" s="209"/>
      <c r="E22" s="209"/>
      <c r="G22" s="209"/>
    </row>
    <row r="23" spans="2:10" ht="15" customHeight="1" x14ac:dyDescent="0.25">
      <c r="B23" s="209"/>
      <c r="C23" s="209"/>
      <c r="D23" s="209"/>
      <c r="E23" s="209"/>
      <c r="G23" s="506"/>
      <c r="H23" s="506"/>
      <c r="I23" s="506"/>
      <c r="J23" s="506"/>
    </row>
    <row r="24" spans="2:10" ht="15" customHeight="1" x14ac:dyDescent="0.25">
      <c r="G24" s="354"/>
      <c r="H24" s="355"/>
      <c r="I24" s="355"/>
      <c r="J24" s="356"/>
    </row>
    <row r="25" spans="2:10" ht="15" customHeight="1" thickBot="1" x14ac:dyDescent="0.3">
      <c r="B25" s="210" t="str">
        <f>IF($F$9="Deutsch","Interpolation der Kraftbeiwerte",IF($F$9="English","interpolated force coefficients","Fehler"))</f>
        <v>interpolated force coefficients</v>
      </c>
      <c r="G25" s="357"/>
      <c r="H25" s="358"/>
      <c r="I25" s="358"/>
      <c r="J25" s="359"/>
    </row>
    <row r="26" spans="2:10" ht="15" customHeight="1" thickBot="1" x14ac:dyDescent="0.3">
      <c r="D26" s="1271" t="str">
        <f>IF($F$9="Deutsch","Verschieben",IF($F$9="English","Sliding","Fehler"))</f>
        <v>Sliding</v>
      </c>
      <c r="E26" s="1272"/>
      <c r="F26" s="1272"/>
      <c r="G26" s="1272"/>
      <c r="H26" s="303" t="str">
        <f>IF($F$9="Deutsch","Abheben",IF($F$9="English","Uplift","Fehler"))</f>
        <v>Uplift</v>
      </c>
      <c r="I26" s="358"/>
      <c r="J26" s="359"/>
    </row>
    <row r="27" spans="2:10" ht="15" customHeight="1" thickBot="1" x14ac:dyDescent="0.3">
      <c r="D27" s="211" t="s">
        <v>9</v>
      </c>
      <c r="E27" s="212" t="s">
        <v>10</v>
      </c>
      <c r="F27" s="212" t="s">
        <v>11</v>
      </c>
      <c r="G27" s="302" t="s">
        <v>12</v>
      </c>
      <c r="H27" s="304" t="s">
        <v>11</v>
      </c>
      <c r="I27" s="358"/>
      <c r="J27" s="359"/>
    </row>
    <row r="28" spans="2:10" ht="15" customHeight="1" x14ac:dyDescent="0.2">
      <c r="B28" s="1273" t="str">
        <f>IF($F$9="Deutsch","1. und 2. äußere Reihe",IF($F$9="English","1st and 2nd outer row","Fehler"))</f>
        <v>1st and 2nd outer row</v>
      </c>
      <c r="C28" s="274" t="str">
        <f>IF($F$9="Deutsch","Äußere Zone",IF($F$9="English","Outer zone","Fehler"))</f>
        <v>Outer zone</v>
      </c>
      <c r="D28" s="372">
        <f>D40</f>
        <v>0.10823248094334181</v>
      </c>
      <c r="E28" s="373">
        <f t="shared" ref="E28:F28" si="0">E40</f>
        <v>0.01</v>
      </c>
      <c r="F28" s="373">
        <f t="shared" si="0"/>
        <v>0.11714836017032958</v>
      </c>
      <c r="G28" s="374">
        <f>G40</f>
        <v>0.10869346774830053</v>
      </c>
      <c r="H28" s="375">
        <f>H40</f>
        <v>0.29056606351278802</v>
      </c>
      <c r="I28" s="358"/>
      <c r="J28" s="359"/>
    </row>
    <row r="29" spans="2:10" ht="15" customHeight="1" x14ac:dyDescent="0.2">
      <c r="B29" s="1274"/>
      <c r="C29" s="685" t="str">
        <f>IF($F$9="Deutsch","1. Modul in Innerer Zone",IF($F$9="English","1st module in Inner zone","Fehler"))</f>
        <v>1st module in Inner zone</v>
      </c>
      <c r="D29" s="686">
        <f t="shared" ref="D29:G29" si="1">D41</f>
        <v>9.1649366557102208E-2</v>
      </c>
      <c r="E29" s="687">
        <f t="shared" si="1"/>
        <v>0.01</v>
      </c>
      <c r="F29" s="687">
        <f t="shared" si="1"/>
        <v>0.13811680933951681</v>
      </c>
      <c r="G29" s="688">
        <f t="shared" si="1"/>
        <v>9.2193309900003503E-2</v>
      </c>
      <c r="H29" s="689">
        <f>H41</f>
        <v>0.29056606351278802</v>
      </c>
      <c r="I29" s="358"/>
      <c r="J29" s="359"/>
    </row>
    <row r="30" spans="2:10" ht="15" customHeight="1" thickBot="1" x14ac:dyDescent="0.25">
      <c r="B30" s="1274"/>
      <c r="C30" s="771" t="str">
        <f>IF($F$9="Deutsch","ab 2. Modul in Innerer Zone",IF($F$9="English","from 2nd module in Inner zone","Fehler"))</f>
        <v>from 2nd module in Inner zone</v>
      </c>
      <c r="D30" s="376">
        <f t="shared" ref="D30:G30" si="2">D42</f>
        <v>9.1649366557102208E-2</v>
      </c>
      <c r="E30" s="377">
        <f t="shared" si="2"/>
        <v>0.01</v>
      </c>
      <c r="F30" s="377">
        <f t="shared" si="2"/>
        <v>0.13811680933951681</v>
      </c>
      <c r="G30" s="378">
        <f t="shared" si="2"/>
        <v>9.2193309900003503E-2</v>
      </c>
      <c r="H30" s="379">
        <f>H42</f>
        <v>0.24488060578724541</v>
      </c>
      <c r="I30" s="358"/>
      <c r="J30" s="359"/>
    </row>
    <row r="31" spans="2:10" ht="15" customHeight="1" x14ac:dyDescent="0.2">
      <c r="B31" s="1273" t="str">
        <f>IF($F$9="Deutsch","Innere Reihen",IF($F$9="English","Inner rows","Fehler"))</f>
        <v>Inner rows</v>
      </c>
      <c r="C31" s="710" t="str">
        <f t="shared" ref="C31" si="3">$C$28</f>
        <v>Outer zone</v>
      </c>
      <c r="D31" s="372">
        <f t="shared" ref="D31:G31" si="4">D43</f>
        <v>8.0744900761157617E-2</v>
      </c>
      <c r="E31" s="373">
        <f t="shared" si="4"/>
        <v>0.01</v>
      </c>
      <c r="F31" s="373">
        <f t="shared" si="4"/>
        <v>0.12948673418987794</v>
      </c>
      <c r="G31" s="374">
        <f t="shared" si="4"/>
        <v>8.1361778489221784E-2</v>
      </c>
      <c r="H31" s="375">
        <f>H43</f>
        <v>0.27317199279274706</v>
      </c>
      <c r="I31" s="358"/>
      <c r="J31" s="359"/>
    </row>
    <row r="32" spans="2:10" ht="15" customHeight="1" x14ac:dyDescent="0.2">
      <c r="B32" s="1274"/>
      <c r="C32" s="685" t="str">
        <f t="shared" ref="C32" si="5">$C$29</f>
        <v>1st module in Inner zone</v>
      </c>
      <c r="D32" s="686">
        <f t="shared" ref="D32:G32" si="6">D44</f>
        <v>6.4912381971577879E-2</v>
      </c>
      <c r="E32" s="687">
        <f t="shared" si="6"/>
        <v>0.01</v>
      </c>
      <c r="F32" s="687">
        <f t="shared" si="6"/>
        <v>0.17000705070369915</v>
      </c>
      <c r="G32" s="688">
        <f t="shared" si="6"/>
        <v>6.5678134361627755E-2</v>
      </c>
      <c r="H32" s="689">
        <f>H44</f>
        <v>0.27317199279274706</v>
      </c>
      <c r="I32" s="358"/>
      <c r="J32" s="359"/>
    </row>
    <row r="33" spans="2:10" ht="15" customHeight="1" thickBot="1" x14ac:dyDescent="0.25">
      <c r="B33" s="1278"/>
      <c r="C33" s="772" t="str">
        <f t="shared" ref="C33" si="7">$C$30</f>
        <v>from 2nd module in Inner zone</v>
      </c>
      <c r="D33" s="380">
        <f t="shared" ref="D33:G33" si="8">D45</f>
        <v>5.5418541092023973E-2</v>
      </c>
      <c r="E33" s="381">
        <f t="shared" si="8"/>
        <v>0.01</v>
      </c>
      <c r="F33" s="381">
        <f t="shared" si="8"/>
        <v>0.12913058852821369</v>
      </c>
      <c r="G33" s="382">
        <f t="shared" si="8"/>
        <v>5.6313539195901631E-2</v>
      </c>
      <c r="H33" s="383">
        <f>H45</f>
        <v>0.23454283768226564</v>
      </c>
      <c r="I33" s="358"/>
      <c r="J33" s="359"/>
    </row>
    <row r="34" spans="2:10" ht="15" customHeight="1" x14ac:dyDescent="0.25">
      <c r="B34" s="215"/>
      <c r="C34" s="216"/>
      <c r="D34" s="288"/>
      <c r="E34" s="288"/>
      <c r="F34" s="288"/>
      <c r="G34" s="288"/>
      <c r="H34" s="288"/>
    </row>
    <row r="35" spans="2:10" s="219" customFormat="1" ht="15" customHeight="1" thickBot="1" x14ac:dyDescent="0.3">
      <c r="B35" s="217"/>
      <c r="C35" s="218"/>
      <c r="D35" s="289"/>
      <c r="E35" s="289"/>
      <c r="F35" s="289"/>
      <c r="G35" s="289"/>
      <c r="H35" s="289"/>
    </row>
    <row r="36" spans="2:10" ht="15" customHeight="1" x14ac:dyDescent="0.25">
      <c r="C36" s="488"/>
      <c r="D36" s="288"/>
      <c r="E36" s="288"/>
      <c r="F36" s="288"/>
      <c r="G36" s="288"/>
      <c r="H36" s="288"/>
    </row>
    <row r="37" spans="2:10" ht="15" customHeight="1" thickBot="1" x14ac:dyDescent="0.3">
      <c r="B37" s="210" t="str">
        <f>IF($F$9="Deutsch","Finale Wahl der Kraftbeiwerte, Attika-, Firsstspalt- und Seitenblechkorrektur",IF($F$9="English","final choice of force coefficients, parapet, ridge gap and side deflector correction","Fehler"))</f>
        <v>final choice of force coefficients, parapet, ridge gap and side deflector correction</v>
      </c>
      <c r="C37" s="488"/>
      <c r="D37" s="288"/>
      <c r="E37" s="288"/>
      <c r="F37" s="288"/>
      <c r="G37" s="288"/>
      <c r="H37" s="288"/>
    </row>
    <row r="38" spans="2:10" ht="15" customHeight="1" thickBot="1" x14ac:dyDescent="0.3">
      <c r="C38" s="488"/>
      <c r="D38" s="1275" t="str">
        <f>$D$26</f>
        <v>Sliding</v>
      </c>
      <c r="E38" s="1276"/>
      <c r="F38" s="1276"/>
      <c r="G38" s="1276"/>
      <c r="H38" s="308" t="str">
        <f>$H$26</f>
        <v>Uplift</v>
      </c>
    </row>
    <row r="39" spans="2:10" ht="15" customHeight="1" thickBot="1" x14ac:dyDescent="0.3">
      <c r="C39" s="488"/>
      <c r="D39" s="290" t="s">
        <v>9</v>
      </c>
      <c r="E39" s="291" t="s">
        <v>10</v>
      </c>
      <c r="F39" s="291" t="s">
        <v>11</v>
      </c>
      <c r="G39" s="292" t="s">
        <v>12</v>
      </c>
      <c r="H39" s="309" t="s">
        <v>11</v>
      </c>
    </row>
    <row r="40" spans="2:10" ht="15" customHeight="1" x14ac:dyDescent="0.2">
      <c r="B40" s="1273" t="str">
        <f>$B$28</f>
        <v>1st and 2nd outer row</v>
      </c>
      <c r="C40" s="275" t="str">
        <f>$C$28</f>
        <v>Outer zone</v>
      </c>
      <c r="D40" s="471">
        <f>IF(AND('wind load calc'!$C$43&gt;=4,'wind load calc'!$C$42&gt;=4),D52,D64)</f>
        <v>0.10823248094334181</v>
      </c>
      <c r="E40" s="472">
        <f>IF(AND('wind load calc'!$C$43&gt;=4,'wind load calc'!$C$42&gt;=4),E52,E64)</f>
        <v>0.01</v>
      </c>
      <c r="F40" s="472">
        <f>IF(AND('wind load calc'!$C$43&gt;=4,'wind load calc'!$C$42&gt;=4),F52,F64)*'wind load calc'!$G$75*'wind load calc'!$E$79*'wind load calc'!$F$81</f>
        <v>0.11714836017032958</v>
      </c>
      <c r="G40" s="473">
        <f>SQRT(D40^2+E40^2)*'wind load calc'!$G$75*'wind load calc'!$F$81</f>
        <v>0.10869346774830053</v>
      </c>
      <c r="H40" s="486">
        <f>IF(AND('wind load calc'!$C$40&gt;=4,'wind load calc'!$C$39&gt;=4),H52,H64)*'wind load calc'!$F$75*'wind load calc'!$E$79*'wind load calc'!$F$81</f>
        <v>0.29056606351278802</v>
      </c>
    </row>
    <row r="41" spans="2:10" ht="15" customHeight="1" x14ac:dyDescent="0.2">
      <c r="B41" s="1274"/>
      <c r="C41" s="685" t="str">
        <f>$C$29</f>
        <v>1st module in Inner zone</v>
      </c>
      <c r="D41" s="698">
        <f>IF(AND('wind load calc'!$C$43&gt;=4,'wind load calc'!$C$42&gt;=4),D53,D65)</f>
        <v>9.1649366557102208E-2</v>
      </c>
      <c r="E41" s="699">
        <f>IF(AND('wind load calc'!$C$43&gt;=4,'wind load calc'!$C$42&gt;=4),E53,E65)</f>
        <v>0.01</v>
      </c>
      <c r="F41" s="699">
        <f>IF(AND('wind load calc'!$C$43&gt;=4,'wind load calc'!$C$42&gt;=4),F53,F65)*'wind load calc'!$G$75*'wind load calc'!$E$79*'wind load calc'!$F$81</f>
        <v>0.13811680933951681</v>
      </c>
      <c r="G41" s="700">
        <f>SQRT(D41^2+E41^2)*'wind load calc'!$G$75*'wind load calc'!$F$81</f>
        <v>9.2193309900003503E-2</v>
      </c>
      <c r="H41" s="701">
        <f>IF(AND('wind load calc'!$C$40&gt;=4,'wind load calc'!$C$39&gt;=4),H53,H65)*'wind load calc'!$F$75*'wind load calc'!$E$79*'wind load calc'!$F$81</f>
        <v>0.29056606351278802</v>
      </c>
    </row>
    <row r="42" spans="2:10" ht="15" customHeight="1" thickBot="1" x14ac:dyDescent="0.25">
      <c r="B42" s="1278"/>
      <c r="C42" s="773" t="str">
        <f>$C$30</f>
        <v>from 2nd module in Inner zone</v>
      </c>
      <c r="D42" s="474">
        <f>IF(AND('wind load calc'!$C$43&gt;=4,'wind load calc'!$C$42&gt;=4),D54,D66)</f>
        <v>9.1649366557102208E-2</v>
      </c>
      <c r="E42" s="475">
        <f>IF(AND('wind load calc'!$C$43&gt;=4,'wind load calc'!$C$42&gt;=4),E54,E66)</f>
        <v>0.01</v>
      </c>
      <c r="F42" s="475">
        <f>IF(AND('wind load calc'!$C$43&gt;=4,'wind load calc'!$C$42&gt;=4),F54,F66)*'wind load calc'!$G$75*'wind load calc'!$E$79*'wind load calc'!$F$81</f>
        <v>0.13811680933951681</v>
      </c>
      <c r="G42" s="476">
        <f>SQRT(D42^2+E42^2)*'wind load calc'!$G$75*'wind load calc'!$F$81</f>
        <v>9.2193309900003503E-2</v>
      </c>
      <c r="H42" s="487">
        <f>IF(AND('wind load calc'!$C$40&gt;=4,'wind load calc'!$C$39&gt;=4),H54,H66)*'wind load calc'!$F$75*'wind load calc'!$E$79*'wind load calc'!$F$81</f>
        <v>0.24488060578724541</v>
      </c>
    </row>
    <row r="43" spans="2:10" ht="15" customHeight="1" x14ac:dyDescent="0.2">
      <c r="B43" s="1273" t="str">
        <f>$B$31</f>
        <v>Inner rows</v>
      </c>
      <c r="C43" s="275" t="str">
        <f>$C$28</f>
        <v>Outer zone</v>
      </c>
      <c r="D43" s="471">
        <f>IF(AND('wind load calc'!$C$43&gt;=4,'wind load calc'!$C$42&gt;=4),D55,D67)</f>
        <v>8.0744900761157617E-2</v>
      </c>
      <c r="E43" s="472">
        <f>IF(AND('wind load calc'!$C$43&gt;=4,'wind load calc'!$C$42&gt;=4),E55,E67)</f>
        <v>0.01</v>
      </c>
      <c r="F43" s="472">
        <f>IF(AND('wind load calc'!$C$43&gt;=4,'wind load calc'!$C$42&gt;=4),F55,F67)*'wind load calc'!$G$75*'wind load calc'!$E$79*'wind load calc'!$F$81</f>
        <v>0.12948673418987794</v>
      </c>
      <c r="G43" s="473">
        <f>SQRT(D43^2+E43^2)*'wind load calc'!$G$75*'wind load calc'!$F$81</f>
        <v>8.1361778489221784E-2</v>
      </c>
      <c r="H43" s="486">
        <f>IF(AND('wind load calc'!$C$40&gt;=4,'wind load calc'!$C$39&gt;=4),H55,H67)*'wind load calc'!$F$75*'wind load calc'!$E$79*'wind load calc'!$F$81</f>
        <v>0.27317199279274706</v>
      </c>
    </row>
    <row r="44" spans="2:10" ht="15" customHeight="1" x14ac:dyDescent="0.2">
      <c r="B44" s="1274"/>
      <c r="C44" s="685" t="str">
        <f>$C$29</f>
        <v>1st module in Inner zone</v>
      </c>
      <c r="D44" s="698">
        <f>IF(AND('wind load calc'!$C$43&gt;=4,'wind load calc'!$C$42&gt;=4),D56,D68)</f>
        <v>6.4912381971577879E-2</v>
      </c>
      <c r="E44" s="699">
        <f>IF(AND('wind load calc'!$C$43&gt;=4,'wind load calc'!$C$42&gt;=4),E56,E68)</f>
        <v>0.01</v>
      </c>
      <c r="F44" s="699">
        <f>IF(AND('wind load calc'!$C$43&gt;=4,'wind load calc'!$C$42&gt;=4),F56,F68)*'wind load calc'!$G$75*'wind load calc'!$E$79*'wind load calc'!$F$81</f>
        <v>0.17000705070369915</v>
      </c>
      <c r="G44" s="700">
        <f>SQRT(D44^2+E44^2)*'wind load calc'!$G$75*'wind load calc'!$F$81</f>
        <v>6.5678134361627755E-2</v>
      </c>
      <c r="H44" s="701">
        <f>IF(AND('wind load calc'!$C$40&gt;=4,'wind load calc'!$C$39&gt;=4),H56,H68)*'wind load calc'!$F$75*'wind load calc'!$E$79*'wind load calc'!$F$81</f>
        <v>0.27317199279274706</v>
      </c>
    </row>
    <row r="45" spans="2:10" ht="15" customHeight="1" thickBot="1" x14ac:dyDescent="0.25">
      <c r="B45" s="1278"/>
      <c r="C45" s="773" t="str">
        <f>$C$30</f>
        <v>from 2nd module in Inner zone</v>
      </c>
      <c r="D45" s="474">
        <f>IF(AND('wind load calc'!$C$43&gt;=4,'wind load calc'!$C$42&gt;=4),D57,D69)</f>
        <v>5.5418541092023973E-2</v>
      </c>
      <c r="E45" s="475">
        <f>IF(AND('wind load calc'!$C$43&gt;=4,'wind load calc'!$C$42&gt;=4),E57,E69)</f>
        <v>0.01</v>
      </c>
      <c r="F45" s="475">
        <f>IF(AND('wind load calc'!$C$43&gt;=4,'wind load calc'!$C$42&gt;=4),F57,F69)*'wind load calc'!$G$75*'wind load calc'!$E$79*'wind load calc'!$F$81</f>
        <v>0.12913058852821369</v>
      </c>
      <c r="G45" s="476">
        <f>SQRT(D45^2+E45^2)*'wind load calc'!$G$75*'wind load calc'!$F$81</f>
        <v>5.6313539195901631E-2</v>
      </c>
      <c r="H45" s="487">
        <f>IF(AND('wind load calc'!$C$40&gt;=4,'wind load calc'!$C$39&gt;=4),H57,H69)*'wind load calc'!$F$75*'wind load calc'!$E$79*'wind load calc'!$F$81</f>
        <v>0.23454283768226564</v>
      </c>
    </row>
    <row r="46" spans="2:10" ht="15" customHeight="1" x14ac:dyDescent="0.25">
      <c r="C46" s="488"/>
      <c r="D46" s="288"/>
      <c r="E46" s="288"/>
      <c r="F46" s="288"/>
      <c r="G46" s="288"/>
      <c r="H46" s="288"/>
    </row>
    <row r="47" spans="2:10" ht="15" customHeight="1" x14ac:dyDescent="0.25">
      <c r="C47" s="488"/>
      <c r="D47" s="288"/>
      <c r="E47" s="288"/>
      <c r="F47" s="288"/>
      <c r="G47" s="288"/>
      <c r="H47" s="288"/>
    </row>
    <row r="48" spans="2:10" ht="15" customHeight="1" x14ac:dyDescent="0.25">
      <c r="C48" s="488"/>
      <c r="D48" s="288"/>
      <c r="E48" s="288"/>
      <c r="F48" s="288"/>
      <c r="G48" s="288"/>
      <c r="H48" s="288"/>
    </row>
    <row r="49" spans="2:11" ht="15" customHeight="1" thickBot="1" x14ac:dyDescent="0.3">
      <c r="B49" s="210" t="str">
        <f>IF($F$9="Deutsch","Interpolation der Kraftbeiwerte zwischen Feldern und großen Feldern",IF($F$9="English","interpolation of force coefficients to large array of 8x8","Fehler"))</f>
        <v>interpolation of force coefficients to large array of 8x8</v>
      </c>
      <c r="C49" s="488"/>
      <c r="D49" s="288"/>
      <c r="E49" s="288"/>
      <c r="F49" s="288"/>
      <c r="G49" s="288"/>
      <c r="H49" s="288"/>
    </row>
    <row r="50" spans="2:11" ht="15" customHeight="1" thickBot="1" x14ac:dyDescent="0.3">
      <c r="C50" s="488"/>
      <c r="D50" s="1275" t="str">
        <f>$D$26</f>
        <v>Sliding</v>
      </c>
      <c r="E50" s="1276"/>
      <c r="F50" s="1276"/>
      <c r="G50" s="1277"/>
      <c r="H50" s="308" t="str">
        <f>$H$26</f>
        <v>Uplift</v>
      </c>
    </row>
    <row r="51" spans="2:11" ht="15" customHeight="1" thickBot="1" x14ac:dyDescent="0.3">
      <c r="C51" s="488"/>
      <c r="D51" s="290" t="s">
        <v>9</v>
      </c>
      <c r="E51" s="291" t="s">
        <v>10</v>
      </c>
      <c r="F51" s="291" t="s">
        <v>11</v>
      </c>
      <c r="G51" s="292" t="s">
        <v>12</v>
      </c>
      <c r="H51" s="309" t="s">
        <v>11</v>
      </c>
    </row>
    <row r="52" spans="2:11" ht="15" customHeight="1" x14ac:dyDescent="0.2">
      <c r="B52" s="1273" t="str">
        <f>$B$28</f>
        <v>1st and 2nd outer row</v>
      </c>
      <c r="C52" s="275" t="str">
        <f>$C$28</f>
        <v>Outer zone</v>
      </c>
      <c r="D52" s="477">
        <f>(D64-((D64-D$172)/(LOG10(8*8)-LOG10($C$20*$C$21))*(LOG10($D$20*$D$21)-LOG10($C$20*$C$21))))</f>
        <v>0.10823248094334181</v>
      </c>
      <c r="E52" s="478">
        <f t="shared" ref="D52:F57" si="9">(E64-((E64-E$172)/(LOG10(8*8)-LOG10($C$20*$C$21))*(LOG10($D$20*$D$21)-LOG10($C$20*$C$21))))</f>
        <v>0.01</v>
      </c>
      <c r="F52" s="478">
        <f t="shared" si="9"/>
        <v>0.11714836017032958</v>
      </c>
      <c r="G52" s="479">
        <f>SQRT(D52^2+E52^2)</f>
        <v>0.10869346774830053</v>
      </c>
      <c r="H52" s="515">
        <f t="shared" ref="H52:H57" si="10">(H64-((H64-H$172)/(LOG10(8*8)-LOG10($C$16*$C$17))*(LOG10($D$16*$D$17)-LOG10($C$16*$C$17))))</f>
        <v>0.29056606351278802</v>
      </c>
      <c r="K52" s="396"/>
    </row>
    <row r="53" spans="2:11" ht="15" customHeight="1" x14ac:dyDescent="0.2">
      <c r="B53" s="1274"/>
      <c r="C53" s="685" t="str">
        <f>$C$29</f>
        <v>1st module in Inner zone</v>
      </c>
      <c r="D53" s="694">
        <f t="shared" si="9"/>
        <v>9.1649366557102208E-2</v>
      </c>
      <c r="E53" s="695">
        <f t="shared" si="9"/>
        <v>0.01</v>
      </c>
      <c r="F53" s="695">
        <f t="shared" si="9"/>
        <v>0.13811680933951681</v>
      </c>
      <c r="G53" s="696">
        <f t="shared" ref="G53:G57" si="11">SQRT(D53^2+E53^2)</f>
        <v>9.2193309900003503E-2</v>
      </c>
      <c r="H53" s="697">
        <f>(H65-((H65-H$172)/(LOG10(8*8)-LOG10($C$16*$C$17))*(LOG10($D$16*$D$17)-LOG10($C$16*$C$17))))</f>
        <v>0.29056606351278802</v>
      </c>
      <c r="K53" s="396"/>
    </row>
    <row r="54" spans="2:11" ht="15" customHeight="1" thickBot="1" x14ac:dyDescent="0.25">
      <c r="B54" s="1278"/>
      <c r="C54" s="773" t="str">
        <f>$C$30</f>
        <v>from 2nd module in Inner zone</v>
      </c>
      <c r="D54" s="480">
        <f t="shared" si="9"/>
        <v>9.1649366557102208E-2</v>
      </c>
      <c r="E54" s="481">
        <f t="shared" si="9"/>
        <v>0.01</v>
      </c>
      <c r="F54" s="481">
        <f t="shared" si="9"/>
        <v>0.13811680933951681</v>
      </c>
      <c r="G54" s="482">
        <f t="shared" si="11"/>
        <v>9.2193309900003503E-2</v>
      </c>
      <c r="H54" s="516">
        <f t="shared" si="10"/>
        <v>0.24488060578724541</v>
      </c>
      <c r="K54" s="396"/>
    </row>
    <row r="55" spans="2:11" ht="15" customHeight="1" x14ac:dyDescent="0.2">
      <c r="B55" s="1273" t="str">
        <f>$B$31</f>
        <v>Inner rows</v>
      </c>
      <c r="C55" s="275" t="str">
        <f>$C$28</f>
        <v>Outer zone</v>
      </c>
      <c r="D55" s="477">
        <f t="shared" si="9"/>
        <v>8.0744900761157617E-2</v>
      </c>
      <c r="E55" s="478">
        <f t="shared" si="9"/>
        <v>0.01</v>
      </c>
      <c r="F55" s="478">
        <f t="shared" si="9"/>
        <v>0.12948673418987794</v>
      </c>
      <c r="G55" s="479">
        <f t="shared" si="11"/>
        <v>8.1361778489221784E-2</v>
      </c>
      <c r="H55" s="515">
        <f t="shared" si="10"/>
        <v>0.27317199279274706</v>
      </c>
      <c r="K55" s="396"/>
    </row>
    <row r="56" spans="2:11" ht="15" customHeight="1" x14ac:dyDescent="0.2">
      <c r="B56" s="1274"/>
      <c r="C56" s="685" t="str">
        <f>$C$29</f>
        <v>1st module in Inner zone</v>
      </c>
      <c r="D56" s="694">
        <f t="shared" si="9"/>
        <v>6.4912381971577879E-2</v>
      </c>
      <c r="E56" s="695">
        <f t="shared" si="9"/>
        <v>0.01</v>
      </c>
      <c r="F56" s="695">
        <f t="shared" si="9"/>
        <v>0.17000705070369915</v>
      </c>
      <c r="G56" s="696">
        <f t="shared" si="11"/>
        <v>6.5678134361627755E-2</v>
      </c>
      <c r="H56" s="697">
        <f t="shared" si="10"/>
        <v>0.27317199279274706</v>
      </c>
      <c r="K56" s="396"/>
    </row>
    <row r="57" spans="2:11" ht="15" customHeight="1" thickBot="1" x14ac:dyDescent="0.25">
      <c r="B57" s="1278"/>
      <c r="C57" s="774" t="str">
        <f>$C$30</f>
        <v>from 2nd module in Inner zone</v>
      </c>
      <c r="D57" s="483">
        <f t="shared" si="9"/>
        <v>5.5418541092023973E-2</v>
      </c>
      <c r="E57" s="484">
        <f t="shared" si="9"/>
        <v>0.01</v>
      </c>
      <c r="F57" s="484">
        <f t="shared" si="9"/>
        <v>0.12913058852821369</v>
      </c>
      <c r="G57" s="485">
        <f t="shared" si="11"/>
        <v>5.6313539195901631E-2</v>
      </c>
      <c r="H57" s="517">
        <f t="shared" si="10"/>
        <v>0.23454283768226564</v>
      </c>
      <c r="K57" s="396"/>
    </row>
    <row r="58" spans="2:11" ht="15" customHeight="1" x14ac:dyDescent="0.25">
      <c r="C58" s="488"/>
      <c r="D58" s="288"/>
      <c r="E58" s="288"/>
      <c r="F58" s="288"/>
      <c r="G58" s="288"/>
      <c r="H58" s="288"/>
    </row>
    <row r="59" spans="2:11" ht="15" customHeight="1" x14ac:dyDescent="0.25">
      <c r="C59" s="488"/>
      <c r="D59" s="288"/>
      <c r="E59" s="288"/>
      <c r="F59" s="288"/>
      <c r="G59" s="288"/>
      <c r="H59" s="288"/>
    </row>
    <row r="60" spans="2:11" ht="15" customHeight="1" x14ac:dyDescent="0.25">
      <c r="C60" s="488"/>
      <c r="D60" s="288"/>
      <c r="E60" s="288"/>
      <c r="F60" s="288"/>
      <c r="G60" s="288"/>
      <c r="H60" s="288"/>
    </row>
    <row r="61" spans="2:11" ht="15" customHeight="1" thickBot="1" x14ac:dyDescent="0.3">
      <c r="B61" s="210" t="str">
        <f>IF($F$9="Deutsch","Wahl der Kraftbeiwerte",IF($F$9="English","choice of force coefficients","Fehler"))</f>
        <v>choice of force coefficients</v>
      </c>
      <c r="C61" s="488"/>
      <c r="D61" s="288"/>
      <c r="E61" s="288"/>
      <c r="F61" s="288"/>
      <c r="G61" s="288"/>
      <c r="H61" s="288"/>
    </row>
    <row r="62" spans="2:11" ht="15" customHeight="1" thickBot="1" x14ac:dyDescent="0.3">
      <c r="C62" s="488"/>
      <c r="D62" s="1275" t="str">
        <f>$D$26</f>
        <v>Sliding</v>
      </c>
      <c r="E62" s="1276"/>
      <c r="F62" s="1276"/>
      <c r="G62" s="1276"/>
      <c r="H62" s="308" t="str">
        <f>$H$26</f>
        <v>Uplift</v>
      </c>
    </row>
    <row r="63" spans="2:11" ht="15" customHeight="1" thickBot="1" x14ac:dyDescent="0.3">
      <c r="C63" s="488"/>
      <c r="D63" s="290" t="s">
        <v>40</v>
      </c>
      <c r="E63" s="291" t="s">
        <v>41</v>
      </c>
      <c r="F63" s="291" t="s">
        <v>42</v>
      </c>
      <c r="G63" s="292" t="s">
        <v>43</v>
      </c>
      <c r="H63" s="309" t="s">
        <v>42</v>
      </c>
    </row>
    <row r="64" spans="2:11" ht="15" customHeight="1" x14ac:dyDescent="0.2">
      <c r="B64" s="1273" t="str">
        <f>$B$28</f>
        <v>1st and 2nd outer row</v>
      </c>
      <c r="C64" s="275" t="str">
        <f>$C$28</f>
        <v>Outer zone</v>
      </c>
      <c r="D64" s="384">
        <f t="shared" ref="D64:F69" si="12">IF($C$20=1,D88,IF($C$21=1,D112,IF($J64=$J76,D76,IF($J64=$J100,D100,"Fehler"))))</f>
        <v>0.10823248094334181</v>
      </c>
      <c r="E64" s="385">
        <f t="shared" si="12"/>
        <v>0.01</v>
      </c>
      <c r="F64" s="385">
        <f t="shared" si="12"/>
        <v>0.11714836017032958</v>
      </c>
      <c r="G64" s="393">
        <f t="shared" ref="G64:G69" si="13">SQRT(D64^2+E64^2)</f>
        <v>0.10869346774830053</v>
      </c>
      <c r="H64" s="386">
        <f t="shared" ref="H64:H69" si="14">IF($C$16=1,H88,IF($C$17=1,H112,MAX(H76,H100)))</f>
        <v>0.29056606351278802</v>
      </c>
      <c r="J64" s="716">
        <f t="shared" ref="J64:J69" si="15">MAX(J76,J100)</f>
        <v>0.33453529566693063</v>
      </c>
    </row>
    <row r="65" spans="2:12" ht="15" customHeight="1" x14ac:dyDescent="0.2">
      <c r="B65" s="1274"/>
      <c r="C65" s="685" t="str">
        <f>$C$29</f>
        <v>1st module in Inner zone</v>
      </c>
      <c r="D65" s="690">
        <f t="shared" si="12"/>
        <v>9.1649366557102208E-2</v>
      </c>
      <c r="E65" s="691">
        <f t="shared" si="12"/>
        <v>0.01</v>
      </c>
      <c r="F65" s="691">
        <f t="shared" si="12"/>
        <v>0.13811680933951681</v>
      </c>
      <c r="G65" s="692">
        <f t="shared" si="13"/>
        <v>9.2193309900003503E-2</v>
      </c>
      <c r="H65" s="693">
        <f t="shared" si="14"/>
        <v>0.29056606351278802</v>
      </c>
      <c r="J65" s="716">
        <f t="shared" si="15"/>
        <v>0.32250342913952379</v>
      </c>
    </row>
    <row r="66" spans="2:12" ht="15" customHeight="1" thickBot="1" x14ac:dyDescent="0.25">
      <c r="B66" s="1278"/>
      <c r="C66" s="773" t="str">
        <f>$C$30</f>
        <v>from 2nd module in Inner zone</v>
      </c>
      <c r="D66" s="387">
        <f t="shared" si="12"/>
        <v>9.1649366557102208E-2</v>
      </c>
      <c r="E66" s="388">
        <f t="shared" si="12"/>
        <v>0.01</v>
      </c>
      <c r="F66" s="388">
        <f t="shared" si="12"/>
        <v>0.13811680933951681</v>
      </c>
      <c r="G66" s="394">
        <f t="shared" si="13"/>
        <v>9.2193309900003503E-2</v>
      </c>
      <c r="H66" s="389">
        <f t="shared" si="14"/>
        <v>0.24488060578724541</v>
      </c>
      <c r="J66" s="716">
        <f t="shared" si="15"/>
        <v>0.32250342913952379</v>
      </c>
    </row>
    <row r="67" spans="2:12" ht="15" customHeight="1" x14ac:dyDescent="0.2">
      <c r="B67" s="1273" t="str">
        <f>$B$31</f>
        <v>Inner rows</v>
      </c>
      <c r="C67" s="275" t="str">
        <f>$C$28</f>
        <v>Outer zone</v>
      </c>
      <c r="D67" s="384">
        <f t="shared" si="12"/>
        <v>8.0744900761157617E-2</v>
      </c>
      <c r="E67" s="385">
        <f t="shared" si="12"/>
        <v>0.01</v>
      </c>
      <c r="F67" s="385">
        <f t="shared" si="12"/>
        <v>0.12948673418987794</v>
      </c>
      <c r="G67" s="393">
        <f t="shared" si="13"/>
        <v>8.1361778489221784E-2</v>
      </c>
      <c r="H67" s="386">
        <f>IF($C$16=1,H91,IF($C$17=1,H115,MAX(H79,H103)))</f>
        <v>0.27317199279274706</v>
      </c>
      <c r="J67" s="716">
        <f t="shared" si="15"/>
        <v>0.29221029116832153</v>
      </c>
    </row>
    <row r="68" spans="2:12" ht="15" customHeight="1" x14ac:dyDescent="0.2">
      <c r="B68" s="1274"/>
      <c r="C68" s="685" t="str">
        <f>$C$29</f>
        <v>1st module in Inner zone</v>
      </c>
      <c r="D68" s="690">
        <f t="shared" si="12"/>
        <v>6.4912381971577879E-2</v>
      </c>
      <c r="E68" s="691">
        <f t="shared" si="12"/>
        <v>0.01</v>
      </c>
      <c r="F68" s="691">
        <f t="shared" si="12"/>
        <v>0.17000705070369915</v>
      </c>
      <c r="G68" s="692">
        <f t="shared" si="13"/>
        <v>6.5678134361627755E-2</v>
      </c>
      <c r="H68" s="693">
        <f t="shared" si="14"/>
        <v>0.27317199279274706</v>
      </c>
      <c r="J68" s="716">
        <f t="shared" si="15"/>
        <v>0.30136331942695466</v>
      </c>
    </row>
    <row r="69" spans="2:12" ht="15" customHeight="1" thickBot="1" x14ac:dyDescent="0.25">
      <c r="B69" s="1278"/>
      <c r="C69" s="774" t="str">
        <f>$C$30</f>
        <v>from 2nd module in Inner zone</v>
      </c>
      <c r="D69" s="390">
        <f t="shared" si="12"/>
        <v>5.5418541092023973E-2</v>
      </c>
      <c r="E69" s="391">
        <f t="shared" si="12"/>
        <v>0.01</v>
      </c>
      <c r="F69" s="391">
        <f t="shared" si="12"/>
        <v>0.12913058852821369</v>
      </c>
      <c r="G69" s="395">
        <f t="shared" si="13"/>
        <v>5.6313539195901631E-2</v>
      </c>
      <c r="H69" s="392">
        <f t="shared" si="14"/>
        <v>0.23454283768226564</v>
      </c>
      <c r="J69" s="716">
        <f t="shared" si="15"/>
        <v>0.24175766692001693</v>
      </c>
    </row>
    <row r="70" spans="2:12" ht="15" customHeight="1" x14ac:dyDescent="0.25">
      <c r="C70" s="488"/>
      <c r="D70" s="288"/>
      <c r="E70" s="288"/>
      <c r="F70" s="288"/>
      <c r="G70" s="288"/>
      <c r="H70" s="288"/>
      <c r="J70" s="222"/>
    </row>
    <row r="71" spans="2:12" ht="15" customHeight="1" x14ac:dyDescent="0.25">
      <c r="C71" s="488"/>
      <c r="D71" s="288"/>
      <c r="E71" s="288"/>
      <c r="F71" s="288"/>
      <c r="G71" s="288"/>
      <c r="H71" s="288"/>
      <c r="J71" s="222"/>
    </row>
    <row r="72" spans="2:12" ht="15" customHeight="1" x14ac:dyDescent="0.25">
      <c r="C72" s="488"/>
      <c r="D72" s="288"/>
      <c r="E72" s="288"/>
      <c r="F72" s="288"/>
      <c r="G72" s="288"/>
      <c r="H72" s="288"/>
      <c r="J72" s="222"/>
    </row>
    <row r="73" spans="2:12" ht="15" customHeight="1" thickBot="1" x14ac:dyDescent="0.3">
      <c r="B73" s="210" t="str">
        <f>IF($F$9="Deutsch","Interpolation der Kraftbeiwerte zwischen Säulen und Feldern",IF($F$9="English","interpolation of force coefficients to array","Fehler"))</f>
        <v>interpolation of force coefficients to array</v>
      </c>
      <c r="C73" s="488"/>
      <c r="D73" s="288"/>
      <c r="E73" s="288"/>
      <c r="F73" s="288"/>
      <c r="G73" s="288"/>
      <c r="H73" s="288"/>
      <c r="J73" s="222"/>
    </row>
    <row r="74" spans="2:12" ht="15" customHeight="1" thickBot="1" x14ac:dyDescent="0.3">
      <c r="C74" s="488"/>
      <c r="D74" s="1275" t="str">
        <f>$D$26</f>
        <v>Sliding</v>
      </c>
      <c r="E74" s="1276"/>
      <c r="F74" s="1276"/>
      <c r="G74" s="1276"/>
      <c r="H74" s="308" t="str">
        <f>$H$26</f>
        <v>Uplift</v>
      </c>
      <c r="J74" s="222"/>
    </row>
    <row r="75" spans="2:12" ht="15" customHeight="1" thickBot="1" x14ac:dyDescent="0.3">
      <c r="C75" s="488"/>
      <c r="D75" s="290" t="s">
        <v>40</v>
      </c>
      <c r="E75" s="291" t="s">
        <v>41</v>
      </c>
      <c r="F75" s="291" t="s">
        <v>42</v>
      </c>
      <c r="G75" s="292" t="s">
        <v>43</v>
      </c>
      <c r="H75" s="309" t="s">
        <v>42</v>
      </c>
      <c r="J75" s="222"/>
    </row>
    <row r="76" spans="2:12" ht="15" customHeight="1" x14ac:dyDescent="0.2">
      <c r="B76" s="1273" t="str">
        <f>$B$28</f>
        <v>1st and 2nd outer row</v>
      </c>
      <c r="C76" s="275" t="str">
        <f>$C$28</f>
        <v>Outer zone</v>
      </c>
      <c r="D76" s="360">
        <f>D88-((D88-D160)/(LOG10(16)-LOG10($C$21))*(LOG10($C$20*$C$21)-LOG10($C$21)))</f>
        <v>0.12338755078371755</v>
      </c>
      <c r="E76" s="361">
        <f t="shared" ref="D76:F81" si="16">E88-((E88-E160)/(LOG10(16)-LOG10($C$21))*(LOG10($C$20*$C$21)-LOG10($C$21)))</f>
        <v>0.01</v>
      </c>
      <c r="F76" s="361">
        <f t="shared" si="16"/>
        <v>6.0904670226169674E-2</v>
      </c>
      <c r="G76" s="362">
        <f t="shared" ref="G76:G81" si="17">SQRT(D76^2+E76^2)</f>
        <v>0.12379211480706062</v>
      </c>
      <c r="H76" s="363">
        <f t="shared" ref="H76:H81" si="18">H88-((H88-H160)/(LOG10(16)-LOG10($C$17))*(LOG10($C$16*$C$17)-LOG10($C$17)))</f>
        <v>0.27775305224429148</v>
      </c>
      <c r="J76" s="716">
        <f>G76/'wind load calc'!$C$29+F76</f>
        <v>0.30848889984029093</v>
      </c>
      <c r="L76" s="222"/>
    </row>
    <row r="77" spans="2:12" ht="15" customHeight="1" x14ac:dyDescent="0.2">
      <c r="B77" s="1274"/>
      <c r="C77" s="685" t="str">
        <f>$C$29</f>
        <v>1st module in Inner zone</v>
      </c>
      <c r="D77" s="706">
        <f>D89-((D89-D161)/(LOG10(16)-LOG10($C$21))*(LOG10($C$20*$C$21)-LOG10($C$21)))</f>
        <v>0.11783132204452465</v>
      </c>
      <c r="E77" s="707">
        <f t="shared" si="16"/>
        <v>0.01</v>
      </c>
      <c r="F77" s="707">
        <f t="shared" si="16"/>
        <v>7.3569666226618896E-2</v>
      </c>
      <c r="G77" s="708">
        <f t="shared" si="17"/>
        <v>0.11825489611327085</v>
      </c>
      <c r="H77" s="709">
        <f>H89-((H89-H161)/(LOG10(16)-LOG10($C$17))*(LOG10($C$16*$C$17)-LOG10($C$17)))</f>
        <v>0.27775305224429148</v>
      </c>
      <c r="J77" s="716">
        <f>G77/'wind load calc'!$C$29+F77</f>
        <v>0.31007945845316059</v>
      </c>
      <c r="L77" s="222"/>
    </row>
    <row r="78" spans="2:12" ht="15" customHeight="1" thickBot="1" x14ac:dyDescent="0.25">
      <c r="B78" s="1278"/>
      <c r="C78" s="773" t="str">
        <f>$C$30</f>
        <v>from 2nd module in Inner zone</v>
      </c>
      <c r="D78" s="364">
        <f t="shared" si="16"/>
        <v>7.1101048333247513E-2</v>
      </c>
      <c r="E78" s="365">
        <f t="shared" si="16"/>
        <v>0.01</v>
      </c>
      <c r="F78" s="365">
        <f t="shared" si="16"/>
        <v>0.12564516428892616</v>
      </c>
      <c r="G78" s="366">
        <f t="shared" si="17"/>
        <v>7.1800829201944458E-2</v>
      </c>
      <c r="H78" s="367">
        <f t="shared" si="18"/>
        <v>0.2115919337497188</v>
      </c>
      <c r="J78" s="716">
        <f>G78/'wind load calc'!$C$29+F78</f>
        <v>0.26924682269281508</v>
      </c>
      <c r="L78" s="222"/>
    </row>
    <row r="79" spans="2:12" ht="15" customHeight="1" x14ac:dyDescent="0.2">
      <c r="B79" s="1273" t="str">
        <f>$B$31</f>
        <v>Inner rows</v>
      </c>
      <c r="C79" s="275" t="str">
        <f>$C$28</f>
        <v>Outer zone</v>
      </c>
      <c r="D79" s="360">
        <f t="shared" si="16"/>
        <v>8.3742974987612698E-2</v>
      </c>
      <c r="E79" s="361">
        <f t="shared" si="16"/>
        <v>0.01</v>
      </c>
      <c r="F79" s="361">
        <f t="shared" si="16"/>
        <v>8.2782038971443109E-2</v>
      </c>
      <c r="G79" s="362">
        <f t="shared" si="17"/>
        <v>8.4337926579777414E-2</v>
      </c>
      <c r="H79" s="363">
        <f t="shared" si="18"/>
        <v>0.27317199279274706</v>
      </c>
      <c r="J79" s="716">
        <f>G79/'wind load calc'!$C$29+F79</f>
        <v>0.25145789213099795</v>
      </c>
      <c r="L79" s="222"/>
    </row>
    <row r="80" spans="2:12" ht="15" customHeight="1" x14ac:dyDescent="0.2">
      <c r="B80" s="1274"/>
      <c r="C80" s="685" t="str">
        <f>$C$29</f>
        <v>1st module in Inner zone</v>
      </c>
      <c r="D80" s="706">
        <f t="shared" si="16"/>
        <v>8.0015162009710344E-2</v>
      </c>
      <c r="E80" s="707">
        <f t="shared" si="16"/>
        <v>0.01</v>
      </c>
      <c r="F80" s="707">
        <f t="shared" si="16"/>
        <v>9.5694610427399157E-2</v>
      </c>
      <c r="G80" s="708">
        <f t="shared" si="17"/>
        <v>8.0637622431717279E-2</v>
      </c>
      <c r="H80" s="709">
        <f t="shared" si="18"/>
        <v>0.27317199279274706</v>
      </c>
      <c r="J80" s="716">
        <f>G80/'wind load calc'!$C$29+F80</f>
        <v>0.25696985529083372</v>
      </c>
      <c r="L80" s="222"/>
    </row>
    <row r="81" spans="2:12" ht="15" customHeight="1" thickBot="1" x14ac:dyDescent="0.25">
      <c r="B81" s="1278"/>
      <c r="C81" s="774" t="str">
        <f>$C$30</f>
        <v>from 2nd module in Inner zone</v>
      </c>
      <c r="D81" s="368">
        <f t="shared" si="16"/>
        <v>4.3767944767796267E-2</v>
      </c>
      <c r="E81" s="369">
        <f t="shared" si="16"/>
        <v>0.01</v>
      </c>
      <c r="F81" s="369">
        <f t="shared" si="16"/>
        <v>0.12771354512366814</v>
      </c>
      <c r="G81" s="370">
        <f t="shared" si="17"/>
        <v>4.4895801465135519E-2</v>
      </c>
      <c r="H81" s="371">
        <f t="shared" si="18"/>
        <v>0.21485573784957651</v>
      </c>
      <c r="J81" s="716">
        <f>G81/'wind load calc'!$C$29+F81</f>
        <v>0.21750514805393917</v>
      </c>
      <c r="L81" s="222"/>
    </row>
    <row r="82" spans="2:12" ht="15" customHeight="1" x14ac:dyDescent="0.25">
      <c r="C82" s="488"/>
      <c r="D82" s="288"/>
      <c r="E82" s="288"/>
      <c r="F82" s="288"/>
      <c r="G82" s="288"/>
      <c r="H82" s="288"/>
      <c r="K82" s="222"/>
    </row>
    <row r="83" spans="2:12" ht="15" customHeight="1" x14ac:dyDescent="0.25">
      <c r="C83" s="488"/>
      <c r="D83" s="288"/>
      <c r="E83" s="288"/>
      <c r="F83" s="288"/>
      <c r="G83" s="288"/>
      <c r="H83" s="288"/>
      <c r="K83" s="222"/>
    </row>
    <row r="84" spans="2:12" ht="15" customHeight="1" x14ac:dyDescent="0.25">
      <c r="C84" s="488"/>
      <c r="D84" s="288"/>
      <c r="E84" s="288"/>
      <c r="F84" s="288"/>
      <c r="G84" s="288"/>
      <c r="H84" s="288"/>
      <c r="K84" s="222"/>
    </row>
    <row r="85" spans="2:12" ht="15" customHeight="1" thickBot="1" x14ac:dyDescent="0.3">
      <c r="B85" s="210" t="str">
        <f>IF($F$9="Deutsch","Interpolation der Kraftbeiwerte zwischen Einzelmodulen und Säulen",IF($F$9="English","interpolation of force coefficients to modules per column","Fehler"))</f>
        <v>interpolation of force coefficients to modules per column</v>
      </c>
      <c r="C85" s="488"/>
      <c r="D85" s="288"/>
      <c r="E85" s="288"/>
      <c r="F85" s="288"/>
      <c r="G85" s="288"/>
      <c r="H85" s="288"/>
      <c r="K85" s="222"/>
    </row>
    <row r="86" spans="2:12" ht="15" customHeight="1" thickBot="1" x14ac:dyDescent="0.3">
      <c r="C86" s="488"/>
      <c r="D86" s="1275" t="str">
        <f>$D$26</f>
        <v>Sliding</v>
      </c>
      <c r="E86" s="1276"/>
      <c r="F86" s="1276"/>
      <c r="G86" s="1276"/>
      <c r="H86" s="308" t="str">
        <f>$H$26</f>
        <v>Uplift</v>
      </c>
      <c r="K86" s="222"/>
    </row>
    <row r="87" spans="2:12" ht="15" customHeight="1" thickBot="1" x14ac:dyDescent="0.3">
      <c r="C87" s="488"/>
      <c r="D87" s="290" t="s">
        <v>44</v>
      </c>
      <c r="E87" s="291" t="s">
        <v>45</v>
      </c>
      <c r="F87" s="291" t="s">
        <v>46</v>
      </c>
      <c r="G87" s="292" t="s">
        <v>47</v>
      </c>
      <c r="H87" s="309" t="s">
        <v>46</v>
      </c>
      <c r="K87" s="222"/>
    </row>
    <row r="88" spans="2:12" ht="15" customHeight="1" x14ac:dyDescent="0.2">
      <c r="B88" s="1273" t="str">
        <f>$B$28</f>
        <v>1st and 2nd outer row</v>
      </c>
      <c r="C88" s="275" t="str">
        <f>$C$28</f>
        <v>Outer zone</v>
      </c>
      <c r="D88" s="279">
        <f>D124-((D124-D136)/(LOG10((4))-LOG10(1))*(LOG10($C$21)-LOG10(1)))</f>
        <v>0.1631709819746219</v>
      </c>
      <c r="E88" s="280">
        <f t="shared" ref="D88:F93" si="19">E124-((E124-E136)/(LOG10((4))-LOG10(1))*(LOG10($C$21)-LOG10(1)))</f>
        <v>0.01</v>
      </c>
      <c r="F88" s="280">
        <f t="shared" si="19"/>
        <v>8.2330413340623895E-2</v>
      </c>
      <c r="G88" s="281">
        <f t="shared" ref="G88:G93" si="20">SQRT(D88^2+E88^2)</f>
        <v>0.16347712182003446</v>
      </c>
      <c r="H88" s="305">
        <f t="shared" ref="H88:H93" si="21">H124-((H124-H136)/(LOG10((4))-LOG10(1))*(LOG10($C$17)-LOG10(1)))</f>
        <v>0.35875823469806706</v>
      </c>
      <c r="K88" s="222"/>
    </row>
    <row r="89" spans="2:12" ht="15" customHeight="1" x14ac:dyDescent="0.2">
      <c r="B89" s="1274"/>
      <c r="C89" s="685" t="str">
        <f>$C$29</f>
        <v>1st module in Inner zone</v>
      </c>
      <c r="D89" s="702">
        <f t="shared" si="19"/>
        <v>0.1631709819746219</v>
      </c>
      <c r="E89" s="703">
        <f t="shared" si="19"/>
        <v>0.01</v>
      </c>
      <c r="F89" s="703">
        <f t="shared" si="19"/>
        <v>8.2330413340623895E-2</v>
      </c>
      <c r="G89" s="704">
        <f t="shared" si="20"/>
        <v>0.16347712182003446</v>
      </c>
      <c r="H89" s="705">
        <f>H125-((H125-H137)/(LOG10((4))-LOG10(1))*(LOG10($C$17)-LOG10(1)))</f>
        <v>0.35875823469806706</v>
      </c>
      <c r="K89" s="222"/>
    </row>
    <row r="90" spans="2:12" ht="15" customHeight="1" thickBot="1" x14ac:dyDescent="0.25">
      <c r="B90" s="1278"/>
      <c r="C90" s="773" t="str">
        <f>$C$30</f>
        <v>from 2nd module in Inner zone</v>
      </c>
      <c r="D90" s="282">
        <f t="shared" si="19"/>
        <v>8.3416655024407566E-2</v>
      </c>
      <c r="E90" s="283">
        <f t="shared" si="19"/>
        <v>0.01</v>
      </c>
      <c r="F90" s="283">
        <f t="shared" si="19"/>
        <v>0.17120740824583949</v>
      </c>
      <c r="G90" s="284">
        <f t="shared" si="20"/>
        <v>8.4013917510499539E-2</v>
      </c>
      <c r="H90" s="306">
        <f t="shared" si="21"/>
        <v>0.24584138108814169</v>
      </c>
      <c r="K90" s="222"/>
    </row>
    <row r="91" spans="2:12" ht="15" customHeight="1" x14ac:dyDescent="0.2">
      <c r="B91" s="1273" t="str">
        <f>$B$31</f>
        <v>Inner rows</v>
      </c>
      <c r="C91" s="275" t="str">
        <f>$C$28</f>
        <v>Outer zone</v>
      </c>
      <c r="D91" s="279">
        <f t="shared" si="19"/>
        <v>0.11111252127008774</v>
      </c>
      <c r="E91" s="280">
        <f t="shared" si="19"/>
        <v>0.01</v>
      </c>
      <c r="F91" s="280">
        <f t="shared" si="19"/>
        <v>0.11924587453727628</v>
      </c>
      <c r="G91" s="281">
        <f t="shared" si="20"/>
        <v>0.11156160801546247</v>
      </c>
      <c r="H91" s="305">
        <f t="shared" si="21"/>
        <v>0.34868623890273576</v>
      </c>
      <c r="K91" s="222"/>
    </row>
    <row r="92" spans="2:12" ht="15" customHeight="1" x14ac:dyDescent="0.2">
      <c r="B92" s="1274"/>
      <c r="C92" s="685" t="str">
        <f>$C$29</f>
        <v>1st module in Inner zone</v>
      </c>
      <c r="D92" s="702">
        <f t="shared" si="19"/>
        <v>0.11111252127008774</v>
      </c>
      <c r="E92" s="703">
        <f t="shared" si="19"/>
        <v>0.01</v>
      </c>
      <c r="F92" s="703">
        <f t="shared" si="19"/>
        <v>0.11924587453727628</v>
      </c>
      <c r="G92" s="704">
        <f t="shared" si="20"/>
        <v>0.11156160801546247</v>
      </c>
      <c r="H92" s="705">
        <f t="shared" si="21"/>
        <v>0.34868623890273576</v>
      </c>
      <c r="K92" s="222"/>
    </row>
    <row r="93" spans="2:12" ht="15" customHeight="1" thickBot="1" x14ac:dyDescent="0.25">
      <c r="B93" s="1278"/>
      <c r="C93" s="774" t="str">
        <f>$C$30</f>
        <v>from 2nd module in Inner zone</v>
      </c>
      <c r="D93" s="285">
        <f t="shared" si="19"/>
        <v>4.9249574932381496E-2</v>
      </c>
      <c r="E93" s="286">
        <f t="shared" si="19"/>
        <v>0.01</v>
      </c>
      <c r="F93" s="286">
        <f t="shared" si="19"/>
        <v>0.1738924319732868</v>
      </c>
      <c r="G93" s="287">
        <f t="shared" si="20"/>
        <v>5.0254558310866289E-2</v>
      </c>
      <c r="H93" s="307">
        <f t="shared" si="21"/>
        <v>0.24915817510440014</v>
      </c>
      <c r="K93" s="222"/>
    </row>
    <row r="94" spans="2:12" ht="15" customHeight="1" x14ac:dyDescent="0.25">
      <c r="C94" s="488"/>
      <c r="D94" s="288"/>
      <c r="E94" s="288"/>
      <c r="F94" s="288"/>
      <c r="G94" s="288"/>
      <c r="H94" s="288"/>
      <c r="K94" s="222"/>
    </row>
    <row r="95" spans="2:12" ht="15" customHeight="1" x14ac:dyDescent="0.25">
      <c r="C95" s="488"/>
      <c r="D95" s="288"/>
      <c r="E95" s="288"/>
      <c r="F95" s="288"/>
      <c r="G95" s="288"/>
      <c r="H95" s="288"/>
      <c r="K95" s="222"/>
    </row>
    <row r="96" spans="2:12" ht="15" customHeight="1" x14ac:dyDescent="0.25">
      <c r="C96" s="488"/>
      <c r="D96" s="288"/>
      <c r="E96" s="288"/>
      <c r="F96" s="288"/>
      <c r="G96" s="288"/>
      <c r="H96" s="288"/>
      <c r="K96" s="222"/>
    </row>
    <row r="97" spans="2:12" ht="15" customHeight="1" thickBot="1" x14ac:dyDescent="0.3">
      <c r="B97" s="210" t="str">
        <f>IF($F$9="Deutsch","Interpolation der Kraftbeiwerte zwischen Reihen und Feldern",IF($F$9="English","interpolation of force coefficients to array","Fehler"))</f>
        <v>interpolation of force coefficients to array</v>
      </c>
      <c r="C97" s="488"/>
      <c r="D97" s="288"/>
      <c r="E97" s="288"/>
      <c r="F97" s="288"/>
      <c r="G97" s="288"/>
      <c r="H97" s="288"/>
      <c r="K97" s="222"/>
    </row>
    <row r="98" spans="2:12" ht="15" customHeight="1" thickBot="1" x14ac:dyDescent="0.3">
      <c r="C98" s="488"/>
      <c r="D98" s="1275" t="str">
        <f>$D$26</f>
        <v>Sliding</v>
      </c>
      <c r="E98" s="1276"/>
      <c r="F98" s="1276"/>
      <c r="G98" s="1276"/>
      <c r="H98" s="308" t="str">
        <f>$H$26</f>
        <v>Uplift</v>
      </c>
      <c r="K98" s="222"/>
    </row>
    <row r="99" spans="2:12" ht="15" customHeight="1" thickBot="1" x14ac:dyDescent="0.3">
      <c r="C99" s="488"/>
      <c r="D99" s="290" t="s">
        <v>40</v>
      </c>
      <c r="E99" s="291" t="s">
        <v>41</v>
      </c>
      <c r="F99" s="291" t="s">
        <v>42</v>
      </c>
      <c r="G99" s="292" t="s">
        <v>43</v>
      </c>
      <c r="H99" s="309" t="s">
        <v>42</v>
      </c>
      <c r="K99" s="222"/>
    </row>
    <row r="100" spans="2:12" ht="15" customHeight="1" x14ac:dyDescent="0.2">
      <c r="B100" s="1273" t="str">
        <f>$B$28</f>
        <v>1st and 2nd outer row</v>
      </c>
      <c r="C100" s="275" t="str">
        <f>$C$28</f>
        <v>Outer zone</v>
      </c>
      <c r="D100" s="360">
        <f>D112-((D112-D160)/(LOG10(16)-LOG10($C$20))*(LOG10($C$20*$C$21)-LOG10($C$20)))</f>
        <v>0.10823248094334181</v>
      </c>
      <c r="E100" s="361">
        <f t="shared" ref="D100:F105" si="22">E112-((E112-E160)/(LOG10(16)-LOG10($C$20))*(LOG10($C$20*$C$21)-LOG10($C$20)))</f>
        <v>0.01</v>
      </c>
      <c r="F100" s="361">
        <f t="shared" si="22"/>
        <v>0.11714836017032958</v>
      </c>
      <c r="G100" s="362">
        <f t="shared" ref="G100:G105" si="23">SQRT(D100^2+E100^2)</f>
        <v>0.10869346774830053</v>
      </c>
      <c r="H100" s="363">
        <f t="shared" ref="H100:H105" si="24">H112-((H112-H160)/(LOG10(16)-LOG10($C$16))*(LOG10($C$16*$C$17)-LOG10($C$16)))</f>
        <v>0.29056606351278802</v>
      </c>
      <c r="J100" s="716">
        <f>G100/'wind load calc'!$C$29+F100</f>
        <v>0.33453529566693063</v>
      </c>
      <c r="L100" s="222"/>
    </row>
    <row r="101" spans="2:12" ht="15" customHeight="1" x14ac:dyDescent="0.2">
      <c r="B101" s="1274"/>
      <c r="C101" s="685" t="str">
        <f>$C$29</f>
        <v>1st module in Inner zone</v>
      </c>
      <c r="D101" s="706">
        <f t="shared" si="22"/>
        <v>9.1649366557102208E-2</v>
      </c>
      <c r="E101" s="707">
        <f t="shared" si="22"/>
        <v>0.01</v>
      </c>
      <c r="F101" s="707">
        <f t="shared" si="22"/>
        <v>0.13811680933951681</v>
      </c>
      <c r="G101" s="708">
        <f t="shared" si="23"/>
        <v>9.2193309900003503E-2</v>
      </c>
      <c r="H101" s="709">
        <f>H113-((H113-H161)/(LOG10(16)-LOG10($C$16))*(LOG10($C$16*$C$17)-LOG10($C$16)))</f>
        <v>0.29056606351278802</v>
      </c>
      <c r="J101" s="716">
        <f>G101/'wind load calc'!$C$29+F101</f>
        <v>0.32250342913952379</v>
      </c>
      <c r="L101" s="222"/>
    </row>
    <row r="102" spans="2:12" ht="15" customHeight="1" thickBot="1" x14ac:dyDescent="0.25">
      <c r="B102" s="1278"/>
      <c r="C102" s="773" t="str">
        <f>$C$30</f>
        <v>from 2nd module in Inner zone</v>
      </c>
      <c r="D102" s="364">
        <f t="shared" si="22"/>
        <v>9.1649366557102208E-2</v>
      </c>
      <c r="E102" s="365">
        <f t="shared" si="22"/>
        <v>0.01</v>
      </c>
      <c r="F102" s="365">
        <f t="shared" si="22"/>
        <v>0.13811680933951681</v>
      </c>
      <c r="G102" s="366">
        <f t="shared" si="23"/>
        <v>9.2193309900003503E-2</v>
      </c>
      <c r="H102" s="367">
        <f t="shared" si="24"/>
        <v>0.24488060578724541</v>
      </c>
      <c r="J102" s="716">
        <f>G102/'wind load calc'!$C$29+F102</f>
        <v>0.32250342913952379</v>
      </c>
      <c r="L102" s="222"/>
    </row>
    <row r="103" spans="2:12" ht="15" customHeight="1" x14ac:dyDescent="0.2">
      <c r="B103" s="1273" t="str">
        <f>$B$31</f>
        <v>Inner rows</v>
      </c>
      <c r="C103" s="275" t="str">
        <f>$C$28</f>
        <v>Outer zone</v>
      </c>
      <c r="D103" s="360">
        <f t="shared" si="22"/>
        <v>8.0744900761157617E-2</v>
      </c>
      <c r="E103" s="361">
        <f t="shared" si="22"/>
        <v>0.01</v>
      </c>
      <c r="F103" s="361">
        <f t="shared" si="22"/>
        <v>0.12948673418987794</v>
      </c>
      <c r="G103" s="362">
        <f t="shared" si="23"/>
        <v>8.1361778489221784E-2</v>
      </c>
      <c r="H103" s="363">
        <f t="shared" si="24"/>
        <v>0.26339681098260836</v>
      </c>
      <c r="J103" s="716">
        <f>G103/'wind load calc'!$C$29+F103</f>
        <v>0.29221029116832153</v>
      </c>
      <c r="L103" s="222"/>
    </row>
    <row r="104" spans="2:12" ht="15" customHeight="1" x14ac:dyDescent="0.2">
      <c r="B104" s="1274"/>
      <c r="C104" s="685" t="str">
        <f>$C$29</f>
        <v>1st module in Inner zone</v>
      </c>
      <c r="D104" s="706">
        <f t="shared" si="22"/>
        <v>6.4912381971577879E-2</v>
      </c>
      <c r="E104" s="707">
        <f t="shared" si="22"/>
        <v>0.01</v>
      </c>
      <c r="F104" s="707">
        <f t="shared" si="22"/>
        <v>0.17000705070369915</v>
      </c>
      <c r="G104" s="708">
        <f t="shared" si="23"/>
        <v>6.5678134361627755E-2</v>
      </c>
      <c r="H104" s="709">
        <f t="shared" si="24"/>
        <v>0.26339681098260836</v>
      </c>
      <c r="J104" s="716">
        <f>G104/'wind load calc'!$C$29+F104</f>
        <v>0.30136331942695466</v>
      </c>
      <c r="L104" s="222"/>
    </row>
    <row r="105" spans="2:12" ht="15" customHeight="1" thickBot="1" x14ac:dyDescent="0.25">
      <c r="B105" s="1278"/>
      <c r="C105" s="774" t="str">
        <f>$C$30</f>
        <v>from 2nd module in Inner zone</v>
      </c>
      <c r="D105" s="368">
        <f t="shared" si="22"/>
        <v>5.5418541092023973E-2</v>
      </c>
      <c r="E105" s="369">
        <f t="shared" si="22"/>
        <v>0.01</v>
      </c>
      <c r="F105" s="369">
        <f t="shared" si="22"/>
        <v>0.12913058852821369</v>
      </c>
      <c r="G105" s="370">
        <f t="shared" si="23"/>
        <v>5.6313539195901631E-2</v>
      </c>
      <c r="H105" s="371">
        <f t="shared" si="24"/>
        <v>0.23454283768226564</v>
      </c>
      <c r="J105" s="716">
        <f>G105/'wind load calc'!$C$29+F105</f>
        <v>0.24175766692001693</v>
      </c>
      <c r="L105" s="222"/>
    </row>
    <row r="106" spans="2:12" ht="15" customHeight="1" x14ac:dyDescent="0.25">
      <c r="C106" s="488"/>
      <c r="D106" s="288"/>
      <c r="E106" s="288"/>
      <c r="F106" s="288"/>
      <c r="G106" s="288"/>
      <c r="H106" s="288"/>
    </row>
    <row r="107" spans="2:12" ht="15" customHeight="1" x14ac:dyDescent="0.25">
      <c r="C107" s="488"/>
      <c r="D107" s="288"/>
      <c r="E107" s="288"/>
      <c r="F107" s="288"/>
      <c r="G107" s="288"/>
      <c r="H107" s="288"/>
    </row>
    <row r="108" spans="2:12" ht="15" customHeight="1" x14ac:dyDescent="0.25">
      <c r="C108" s="488"/>
      <c r="D108" s="288"/>
      <c r="E108" s="288"/>
      <c r="F108" s="288"/>
      <c r="G108" s="288"/>
      <c r="H108" s="288"/>
    </row>
    <row r="109" spans="2:12" ht="15" customHeight="1" thickBot="1" x14ac:dyDescent="0.3">
      <c r="B109" s="210" t="str">
        <f>IF($F$9="Deutsch","Interpolation der Kraftbeiwerte zwischen Einzelmodulen und Modulen pro Reihe",IF($F$9="English","interpolation of force coefficients to modules per row","Fehler"))</f>
        <v>interpolation of force coefficients to modules per row</v>
      </c>
      <c r="C109" s="488"/>
      <c r="D109" s="288"/>
      <c r="E109" s="288"/>
      <c r="F109" s="288"/>
      <c r="G109" s="288"/>
      <c r="H109" s="288"/>
    </row>
    <row r="110" spans="2:12" ht="15" customHeight="1" thickBot="1" x14ac:dyDescent="0.3">
      <c r="C110" s="488"/>
      <c r="D110" s="1275" t="str">
        <f>$D$26</f>
        <v>Sliding</v>
      </c>
      <c r="E110" s="1276"/>
      <c r="F110" s="1276"/>
      <c r="G110" s="1276"/>
      <c r="H110" s="308" t="str">
        <f>$H$26</f>
        <v>Uplift</v>
      </c>
    </row>
    <row r="111" spans="2:12" ht="15" customHeight="1" thickBot="1" x14ac:dyDescent="0.3">
      <c r="C111" s="488"/>
      <c r="D111" s="290" t="s">
        <v>36</v>
      </c>
      <c r="E111" s="291" t="s">
        <v>37</v>
      </c>
      <c r="F111" s="291" t="s">
        <v>38</v>
      </c>
      <c r="G111" s="292" t="s">
        <v>39</v>
      </c>
      <c r="H111" s="309" t="s">
        <v>38</v>
      </c>
    </row>
    <row r="112" spans="2:12" ht="15" customHeight="1" x14ac:dyDescent="0.2">
      <c r="B112" s="1273" t="str">
        <f>$B$28</f>
        <v>1st and 2nd outer row</v>
      </c>
      <c r="C112" s="275" t="str">
        <f>$C$28</f>
        <v>Outer zone</v>
      </c>
      <c r="D112" s="279">
        <f>D124-((D124-D148)/(LOG10(4)-LOG10(1))*(LOG10($C$20)-LOG10(1)))</f>
        <v>0.15431275873679901</v>
      </c>
      <c r="E112" s="280">
        <f t="shared" ref="D112:F117" si="25">E124-((E124-E148)/(LOG10(4)-LOG10(1))*(LOG10($C$20)-LOG10(1)))</f>
        <v>0.01</v>
      </c>
      <c r="F112" s="280">
        <f t="shared" si="25"/>
        <v>0.21410508188511018</v>
      </c>
      <c r="G112" s="281">
        <f t="shared" ref="G112:G117" si="26">SQRT(D112^2+E112^2)</f>
        <v>0.15463643655025661</v>
      </c>
      <c r="H112" s="305">
        <f>H124-((H124-H148)/(LOG10(4)-LOG10(1))*(LOG10($C$16)-LOG10(1)))</f>
        <v>0.43330790381510398</v>
      </c>
    </row>
    <row r="113" spans="2:24" ht="15" customHeight="1" x14ac:dyDescent="0.2">
      <c r="B113" s="1274"/>
      <c r="C113" s="685" t="str">
        <f>$C$29</f>
        <v>1st module in Inner zone</v>
      </c>
      <c r="D113" s="702">
        <f t="shared" si="25"/>
        <v>0.13418500759721652</v>
      </c>
      <c r="E113" s="703">
        <f t="shared" si="25"/>
        <v>0.01</v>
      </c>
      <c r="F113" s="703">
        <f t="shared" si="25"/>
        <v>0.22430056197487735</v>
      </c>
      <c r="G113" s="704">
        <f t="shared" si="26"/>
        <v>0.13455711153211136</v>
      </c>
      <c r="H113" s="705">
        <f t="shared" ref="H113:H117" si="27">H125-((H125-H149)/(LOG10(4)-LOG10(1))*(LOG10($C$16)-LOG10(1)))</f>
        <v>0.43330790381510398</v>
      </c>
    </row>
    <row r="114" spans="2:24" ht="15" customHeight="1" thickBot="1" x14ac:dyDescent="0.25">
      <c r="B114" s="1278"/>
      <c r="C114" s="773" t="str">
        <f>$C$30</f>
        <v>from 2nd module in Inner zone</v>
      </c>
      <c r="D114" s="282">
        <f t="shared" si="25"/>
        <v>0.13418500759721652</v>
      </c>
      <c r="E114" s="283">
        <f t="shared" si="25"/>
        <v>0.01</v>
      </c>
      <c r="F114" s="283">
        <f t="shared" si="25"/>
        <v>0.22430056197487735</v>
      </c>
      <c r="G114" s="284">
        <f t="shared" si="26"/>
        <v>0.13455711153211136</v>
      </c>
      <c r="H114" s="306">
        <f t="shared" si="27"/>
        <v>0.33645084296231598</v>
      </c>
    </row>
    <row r="115" spans="2:24" ht="15" customHeight="1" x14ac:dyDescent="0.2">
      <c r="B115" s="1273" t="str">
        <f>$B$31</f>
        <v>Inner rows</v>
      </c>
      <c r="C115" s="275" t="str">
        <f>$C$28</f>
        <v>Outer zone</v>
      </c>
      <c r="D115" s="279">
        <f t="shared" si="25"/>
        <v>0.12076650683749487</v>
      </c>
      <c r="E115" s="280">
        <f t="shared" si="25"/>
        <v>0.01</v>
      </c>
      <c r="F115" s="280">
        <f t="shared" si="25"/>
        <v>0.23959378210952809</v>
      </c>
      <c r="G115" s="281">
        <f t="shared" si="26"/>
        <v>0.12117982164424362</v>
      </c>
      <c r="H115" s="305">
        <f t="shared" si="27"/>
        <v>0.372135023276501</v>
      </c>
    </row>
    <row r="116" spans="2:24" ht="15" customHeight="1" x14ac:dyDescent="0.2">
      <c r="B116" s="1274"/>
      <c r="C116" s="685" t="str">
        <f>$C$29</f>
        <v>1st module in Inner zone</v>
      </c>
      <c r="D116" s="702">
        <f t="shared" si="25"/>
        <v>9.7284130507981972E-2</v>
      </c>
      <c r="E116" s="703">
        <f t="shared" si="25"/>
        <v>0.01</v>
      </c>
      <c r="F116" s="703">
        <f t="shared" si="25"/>
        <v>0.29057118255836378</v>
      </c>
      <c r="G116" s="704">
        <f t="shared" si="26"/>
        <v>9.7796738435870487E-2</v>
      </c>
      <c r="H116" s="705">
        <f t="shared" si="27"/>
        <v>0.372135023276501</v>
      </c>
    </row>
    <row r="117" spans="2:24" ht="15" customHeight="1" thickBot="1" x14ac:dyDescent="0.25">
      <c r="B117" s="1278"/>
      <c r="C117" s="774" t="str">
        <f>$C$30</f>
        <v>from 2nd module in Inner zone</v>
      </c>
      <c r="D117" s="285">
        <f t="shared" si="25"/>
        <v>7.7156379368399475E-2</v>
      </c>
      <c r="E117" s="286">
        <f t="shared" si="25"/>
        <v>0.01</v>
      </c>
      <c r="F117" s="286">
        <f t="shared" si="25"/>
        <v>0.20390960179534301</v>
      </c>
      <c r="G117" s="287">
        <f t="shared" si="26"/>
        <v>7.7801715130454419E-2</v>
      </c>
      <c r="H117" s="307">
        <f t="shared" si="27"/>
        <v>0.31096214273789813</v>
      </c>
    </row>
    <row r="118" spans="2:24" ht="15" customHeight="1" x14ac:dyDescent="0.25">
      <c r="C118" s="488"/>
      <c r="D118" s="288"/>
      <c r="E118" s="288"/>
      <c r="F118" s="288"/>
      <c r="G118" s="288"/>
      <c r="H118" s="288"/>
    </row>
    <row r="119" spans="2:24" ht="15" customHeight="1" thickBot="1" x14ac:dyDescent="0.3">
      <c r="C119" s="488"/>
      <c r="D119" s="288"/>
      <c r="E119" s="288"/>
      <c r="F119" s="288"/>
      <c r="G119" s="288"/>
      <c r="H119" s="288"/>
      <c r="J119" s="873" t="s">
        <v>105</v>
      </c>
      <c r="K119" s="872"/>
      <c r="L119" s="872"/>
      <c r="M119" s="872"/>
      <c r="N119" s="872"/>
      <c r="O119" s="872"/>
      <c r="P119" s="872"/>
      <c r="R119" s="873" t="s">
        <v>104</v>
      </c>
      <c r="S119" s="872"/>
      <c r="T119" s="872"/>
      <c r="U119" s="872"/>
      <c r="V119" s="872"/>
      <c r="W119" s="872"/>
      <c r="X119" s="872"/>
    </row>
    <row r="120" spans="2:24" ht="15" customHeight="1" thickTop="1" x14ac:dyDescent="0.25">
      <c r="C120" s="488"/>
      <c r="D120" s="288"/>
      <c r="E120" s="288"/>
      <c r="F120" s="288"/>
      <c r="G120" s="288"/>
      <c r="H120" s="288"/>
    </row>
    <row r="121" spans="2:24" ht="15" customHeight="1" thickBot="1" x14ac:dyDescent="0.3">
      <c r="B121" s="210" t="str">
        <f>IF($F$9="Deutsch","Kraftbeiwerte cF Einzelmodule",IF($F$9="English","Force coefficients cF single modules","Fehler"))</f>
        <v>Force coefficients cF single modules</v>
      </c>
      <c r="C121" s="488"/>
      <c r="D121" s="288"/>
      <c r="E121" s="288"/>
      <c r="F121" s="288"/>
      <c r="G121" s="288"/>
      <c r="H121" s="288"/>
      <c r="J121" s="210" t="str">
        <f>IF($F$9="Deutsch","Kraftbeiwerte cF Einzelmodule",IF($F$9="English","Force coefficients cF single modules","Fehler"))</f>
        <v>Force coefficients cF single modules</v>
      </c>
      <c r="K121" s="488"/>
      <c r="L121" s="288"/>
      <c r="M121" s="288"/>
      <c r="N121" s="288"/>
      <c r="O121" s="288"/>
      <c r="P121" s="288"/>
      <c r="R121" s="210" t="str">
        <f>IF($F$9="Deutsch","Kraftbeiwerte cF Einzelmodule",IF($F$9="English","Force coefficients cF single modules","Fehler"))</f>
        <v>Force coefficients cF single modules</v>
      </c>
      <c r="S121" s="488"/>
      <c r="T121" s="288"/>
      <c r="U121" s="288"/>
      <c r="V121" s="288"/>
      <c r="W121" s="288"/>
      <c r="X121" s="288"/>
    </row>
    <row r="122" spans="2:24" ht="15" customHeight="1" thickBot="1" x14ac:dyDescent="0.3">
      <c r="C122" s="488"/>
      <c r="D122" s="1275" t="str">
        <f>$D$26</f>
        <v>Sliding</v>
      </c>
      <c r="E122" s="1276"/>
      <c r="F122" s="1276"/>
      <c r="G122" s="1276"/>
      <c r="H122" s="308" t="str">
        <f>$H$26</f>
        <v>Uplift</v>
      </c>
      <c r="K122" s="488"/>
      <c r="L122" s="1275" t="str">
        <f>$D$26</f>
        <v>Sliding</v>
      </c>
      <c r="M122" s="1276"/>
      <c r="N122" s="1276"/>
      <c r="O122" s="1276"/>
      <c r="P122" s="308" t="str">
        <f>$H$26</f>
        <v>Uplift</v>
      </c>
      <c r="S122" s="488"/>
      <c r="T122" s="1275" t="str">
        <f>$D$26</f>
        <v>Sliding</v>
      </c>
      <c r="U122" s="1276"/>
      <c r="V122" s="1276"/>
      <c r="W122" s="1276"/>
      <c r="X122" s="308" t="str">
        <f>$H$26</f>
        <v>Uplift</v>
      </c>
    </row>
    <row r="123" spans="2:24" ht="15" customHeight="1" thickBot="1" x14ac:dyDescent="0.3">
      <c r="C123" s="488"/>
      <c r="D123" s="290" t="s">
        <v>32</v>
      </c>
      <c r="E123" s="291" t="s">
        <v>33</v>
      </c>
      <c r="F123" s="291" t="s">
        <v>34</v>
      </c>
      <c r="G123" s="292" t="s">
        <v>35</v>
      </c>
      <c r="H123" s="309" t="s">
        <v>34</v>
      </c>
      <c r="K123" s="488"/>
      <c r="L123" s="290" t="s">
        <v>32</v>
      </c>
      <c r="M123" s="291" t="s">
        <v>33</v>
      </c>
      <c r="N123" s="291" t="s">
        <v>34</v>
      </c>
      <c r="O123" s="292" t="s">
        <v>35</v>
      </c>
      <c r="P123" s="309" t="s">
        <v>34</v>
      </c>
      <c r="S123" s="488"/>
      <c r="T123" s="290" t="s">
        <v>32</v>
      </c>
      <c r="U123" s="291" t="s">
        <v>33</v>
      </c>
      <c r="V123" s="291" t="s">
        <v>34</v>
      </c>
      <c r="W123" s="292" t="s">
        <v>35</v>
      </c>
      <c r="X123" s="309" t="s">
        <v>34</v>
      </c>
    </row>
    <row r="124" spans="2:24" ht="15" customHeight="1" x14ac:dyDescent="0.2">
      <c r="B124" s="1273" t="str">
        <f>$B$28</f>
        <v>1st and 2nd outer row</v>
      </c>
      <c r="C124" s="275" t="str">
        <f>$C$28</f>
        <v>Outer zone</v>
      </c>
      <c r="D124" s="293">
        <f>IF('wind load calc'!$C$21='wind load calc'!$B$96,L124,IF('wind load calc'!$C$21='wind load calc'!$B$97,T124,"FEHLER"))</f>
        <v>0.24824226405485056</v>
      </c>
      <c r="E124" s="294">
        <f>IF('wind load calc'!$C$21='wind load calc'!$B$96,M124,IF('wind load calc'!$C$21='wind load calc'!$B$97,U124,"FEHLER"))</f>
        <v>0.01</v>
      </c>
      <c r="F124" s="294">
        <f>IF('wind load calc'!$C$21='wind load calc'!$B$96,N124,IF('wind load calc'!$C$21='wind load calc'!$B$97,V124,"FEHLER"))</f>
        <v>0.16312768143627443</v>
      </c>
      <c r="G124" s="295">
        <f>IF('wind load calc'!$C$21='wind load calc'!$B$96,O124,IF('wind load calc'!$C$21='wind load calc'!$B$97,W124,"FEHLER"))</f>
        <v>0.24844359855524181</v>
      </c>
      <c r="H124" s="310">
        <f>IF('wind load calc'!$C$21='wind load calc'!$B$96,P124,IF('wind load calc'!$C$21='wind load calc'!$B$97,X124,"FEHLER"))</f>
        <v>0.56075140493719344</v>
      </c>
      <c r="I124" s="213"/>
      <c r="J124" s="1273" t="str">
        <f>$B$28</f>
        <v>1st and 2nd outer row</v>
      </c>
      <c r="K124" s="275" t="str">
        <f>$C$28</f>
        <v>Outer zone</v>
      </c>
      <c r="L124" s="293">
        <v>0.24824226405485056</v>
      </c>
      <c r="M124" s="294">
        <v>0.01</v>
      </c>
      <c r="N124" s="294">
        <v>0.16312768143627443</v>
      </c>
      <c r="O124" s="295">
        <v>0.24844359855524181</v>
      </c>
      <c r="P124" s="310">
        <v>0.56075140493719344</v>
      </c>
      <c r="R124" s="1273" t="str">
        <f>$B$28</f>
        <v>1st and 2nd outer row</v>
      </c>
      <c r="S124" s="275" t="str">
        <f>$C$28</f>
        <v>Outer zone</v>
      </c>
      <c r="T124" s="293">
        <v>0.37</v>
      </c>
      <c r="U124" s="294">
        <v>0.01</v>
      </c>
      <c r="V124" s="294">
        <v>0.16</v>
      </c>
      <c r="W124" s="295">
        <f t="shared" ref="W124:W129" si="28">SQRT(T124^2+U124^2)</f>
        <v>0.37013511046643494</v>
      </c>
      <c r="X124" s="310">
        <v>0.55000000000000004</v>
      </c>
    </row>
    <row r="125" spans="2:24" ht="15" customHeight="1" x14ac:dyDescent="0.2">
      <c r="B125" s="1274"/>
      <c r="C125" s="685" t="str">
        <f>$C$29</f>
        <v>1st module in Inner zone</v>
      </c>
      <c r="D125" s="681">
        <f>IF('wind load calc'!$C$21='wind load calc'!$B$96,L125,IF('wind load calc'!$C$21='wind load calc'!$B$97,T125,"FEHLER"))</f>
        <v>0.24824226405485056</v>
      </c>
      <c r="E125" s="682">
        <f>IF('wind load calc'!$C$21='wind load calc'!$B$96,M125,IF('wind load calc'!$C$21='wind load calc'!$B$97,U125,"FEHLER"))</f>
        <v>0.01</v>
      </c>
      <c r="F125" s="682">
        <f>IF('wind load calc'!$C$21='wind load calc'!$B$96,N125,IF('wind load calc'!$C$21='wind load calc'!$B$97,V125,"FEHLER"))</f>
        <v>0.16312768143627443</v>
      </c>
      <c r="G125" s="683">
        <f>IF('wind load calc'!$C$21='wind load calc'!$B$96,O125,IF('wind load calc'!$C$21='wind load calc'!$B$97,W125,"FEHLER"))</f>
        <v>0.24844359855524181</v>
      </c>
      <c r="H125" s="684">
        <f>IF('wind load calc'!$C$21='wind load calc'!$B$96,P125,IF('wind load calc'!$C$21='wind load calc'!$B$97,X125,"FEHLER"))</f>
        <v>0.56075140493719344</v>
      </c>
      <c r="I125" s="213"/>
      <c r="J125" s="1274"/>
      <c r="K125" s="685" t="str">
        <f>$C$29</f>
        <v>1st module in Inner zone</v>
      </c>
      <c r="L125" s="681">
        <v>0.24824226405485056</v>
      </c>
      <c r="M125" s="682">
        <v>0.01</v>
      </c>
      <c r="N125" s="682">
        <v>0.16312768143627443</v>
      </c>
      <c r="O125" s="683">
        <v>0.24844359855524181</v>
      </c>
      <c r="P125" s="684">
        <v>0.56075140493719344</v>
      </c>
      <c r="R125" s="1274"/>
      <c r="S125" s="685" t="str">
        <f>$C$29</f>
        <v>1st module in Inner zone</v>
      </c>
      <c r="T125" s="681">
        <v>0.37</v>
      </c>
      <c r="U125" s="682">
        <v>0.01</v>
      </c>
      <c r="V125" s="682">
        <v>0.16</v>
      </c>
      <c r="W125" s="683">
        <f t="shared" si="28"/>
        <v>0.37013511046643494</v>
      </c>
      <c r="X125" s="684">
        <v>0.55000000000000004</v>
      </c>
    </row>
    <row r="126" spans="2:24" ht="15" customHeight="1" thickBot="1" x14ac:dyDescent="0.25">
      <c r="B126" s="1278"/>
      <c r="C126" s="773" t="str">
        <f>$C$30</f>
        <v>from 2nd module in Inner zone</v>
      </c>
      <c r="D126" s="296">
        <f>IF('wind load calc'!$C$21='wind load calc'!$B$96,L126,IF('wind load calc'!$C$21='wind load calc'!$B$97,T126,"FEHLER"))</f>
        <v>0.24824226405485056</v>
      </c>
      <c r="E126" s="297">
        <f>IF('wind load calc'!$C$21='wind load calc'!$B$96,M126,IF('wind load calc'!$C$21='wind load calc'!$B$97,U126,"FEHLER"))</f>
        <v>0.01</v>
      </c>
      <c r="F126" s="297">
        <f>IF('wind load calc'!$C$21='wind load calc'!$B$96,N126,IF('wind load calc'!$C$21='wind load calc'!$B$97,V126,"FEHLER"))</f>
        <v>0.16312768143627443</v>
      </c>
      <c r="G126" s="298">
        <f>IF('wind load calc'!$C$21='wind load calc'!$B$96,O126,IF('wind load calc'!$C$21='wind load calc'!$B$97,W126,"FEHLER"))</f>
        <v>0.24844359855524181</v>
      </c>
      <c r="H126" s="311">
        <f>IF('wind load calc'!$C$21='wind load calc'!$B$96,P126,IF('wind load calc'!$C$21='wind load calc'!$B$97,X126,"FEHLER"))</f>
        <v>0.36703728323161744</v>
      </c>
      <c r="I126" s="214"/>
      <c r="J126" s="1278"/>
      <c r="K126" s="773" t="str">
        <f>$C$30</f>
        <v>from 2nd module in Inner zone</v>
      </c>
      <c r="L126" s="296">
        <v>0.24824226405485056</v>
      </c>
      <c r="M126" s="297">
        <v>0.01</v>
      </c>
      <c r="N126" s="297">
        <v>0.16312768143627443</v>
      </c>
      <c r="O126" s="298">
        <v>0.24844359855524181</v>
      </c>
      <c r="P126" s="311">
        <v>0.36703728323161744</v>
      </c>
      <c r="R126" s="1278"/>
      <c r="S126" s="773" t="str">
        <f>$C$30</f>
        <v>from 2nd module in Inner zone</v>
      </c>
      <c r="T126" s="296">
        <v>0.37</v>
      </c>
      <c r="U126" s="297">
        <v>0.01</v>
      </c>
      <c r="V126" s="297">
        <v>0.16</v>
      </c>
      <c r="W126" s="298">
        <f t="shared" si="28"/>
        <v>0.37013511046643494</v>
      </c>
      <c r="X126" s="311">
        <v>0.36</v>
      </c>
    </row>
    <row r="127" spans="2:24" ht="15" customHeight="1" x14ac:dyDescent="0.2">
      <c r="B127" s="1273" t="str">
        <f>$B$31</f>
        <v>Inner rows</v>
      </c>
      <c r="C127" s="275" t="str">
        <f>$C$28</f>
        <v>Outer zone</v>
      </c>
      <c r="D127" s="293">
        <f>IF('wind load calc'!$C$21='wind load calc'!$B$96,L127,IF('wind load calc'!$C$21='wind load calc'!$B$97,T127,"FEHLER"))</f>
        <v>0.17444050987638149</v>
      </c>
      <c r="E127" s="294">
        <f>IF('wind load calc'!$C$21='wind load calc'!$B$96,M127,IF('wind load calc'!$C$21='wind load calc'!$B$97,U127,"FEHLER"))</f>
        <v>0.01</v>
      </c>
      <c r="F127" s="294">
        <f>IF('wind load calc'!$C$21='wind load calc'!$B$96,N127,IF('wind load calc'!$C$21='wind load calc'!$B$97,V127,"FEHLER"))</f>
        <v>0.33645084296231598</v>
      </c>
      <c r="G127" s="295">
        <f>IF('wind load calc'!$C$21='wind load calc'!$B$96,O127,IF('wind load calc'!$C$21='wind load calc'!$B$97,W127,"FEHLER"))</f>
        <v>0.17472690544370076</v>
      </c>
      <c r="H127" s="310">
        <f>IF('wind load calc'!$C$21='wind load calc'!$B$96,P127,IF('wind load calc'!$C$21='wind load calc'!$B$97,X127,"FEHLER"))</f>
        <v>0.48938304430882323</v>
      </c>
      <c r="I127" s="214"/>
      <c r="J127" s="1273" t="str">
        <f>$B$31</f>
        <v>Inner rows</v>
      </c>
      <c r="K127" s="275" t="str">
        <f>$C$28</f>
        <v>Outer zone</v>
      </c>
      <c r="L127" s="293">
        <v>0.17444050987638149</v>
      </c>
      <c r="M127" s="294">
        <v>0.01</v>
      </c>
      <c r="N127" s="294">
        <v>0.33645084296231598</v>
      </c>
      <c r="O127" s="295">
        <v>0.17472690544370076</v>
      </c>
      <c r="P127" s="310">
        <v>0.48938304430882323</v>
      </c>
      <c r="R127" s="1273" t="str">
        <f>$B$31</f>
        <v>Inner rows</v>
      </c>
      <c r="S127" s="275" t="str">
        <f>$C$28</f>
        <v>Outer zone</v>
      </c>
      <c r="T127" s="293">
        <v>0.26</v>
      </c>
      <c r="U127" s="294">
        <v>0.01</v>
      </c>
      <c r="V127" s="294">
        <v>0.33</v>
      </c>
      <c r="W127" s="295">
        <f t="shared" si="28"/>
        <v>0.26019223662515378</v>
      </c>
      <c r="X127" s="310">
        <v>0.48</v>
      </c>
    </row>
    <row r="128" spans="2:24" ht="15" customHeight="1" x14ac:dyDescent="0.2">
      <c r="B128" s="1274"/>
      <c r="C128" s="685" t="str">
        <f>$C$29</f>
        <v>1st module in Inner zone</v>
      </c>
      <c r="D128" s="681">
        <f>IF('wind load calc'!$C$21='wind load calc'!$B$96,L128,IF('wind load calc'!$C$21='wind load calc'!$B$97,T128,"FEHLER"))</f>
        <v>0.17444050987638149</v>
      </c>
      <c r="E128" s="682">
        <f>IF('wind load calc'!$C$21='wind load calc'!$B$96,M128,IF('wind load calc'!$C$21='wind load calc'!$B$97,U128,"FEHLER"))</f>
        <v>0.01</v>
      </c>
      <c r="F128" s="682">
        <f>IF('wind load calc'!$C$21='wind load calc'!$B$96,N128,IF('wind load calc'!$C$21='wind load calc'!$B$97,V128,"FEHLER"))</f>
        <v>0.33645084296231598</v>
      </c>
      <c r="G128" s="683">
        <f>IF('wind load calc'!$C$21='wind load calc'!$B$96,O128,IF('wind load calc'!$C$21='wind load calc'!$B$97,W128,"FEHLER"))</f>
        <v>0.17472690544370076</v>
      </c>
      <c r="H128" s="684">
        <f>IF('wind load calc'!$C$21='wind load calc'!$B$96,P128,IF('wind load calc'!$C$21='wind load calc'!$B$97,X128,"FEHLER"))</f>
        <v>0.48938304430882323</v>
      </c>
      <c r="I128" s="214"/>
      <c r="J128" s="1274"/>
      <c r="K128" s="685" t="str">
        <f>$C$29</f>
        <v>1st module in Inner zone</v>
      </c>
      <c r="L128" s="681">
        <v>0.17444050987638149</v>
      </c>
      <c r="M128" s="682">
        <v>0.01</v>
      </c>
      <c r="N128" s="682">
        <v>0.33645084296231598</v>
      </c>
      <c r="O128" s="683">
        <v>0.17472690544370076</v>
      </c>
      <c r="P128" s="684">
        <v>0.48938304430882323</v>
      </c>
      <c r="R128" s="1274"/>
      <c r="S128" s="685" t="str">
        <f>$C$29</f>
        <v>1st module in Inner zone</v>
      </c>
      <c r="T128" s="681">
        <v>0.26</v>
      </c>
      <c r="U128" s="682">
        <v>0.01</v>
      </c>
      <c r="V128" s="682">
        <v>0.33</v>
      </c>
      <c r="W128" s="683">
        <f t="shared" si="28"/>
        <v>0.26019223662515378</v>
      </c>
      <c r="X128" s="684">
        <v>0.48</v>
      </c>
    </row>
    <row r="129" spans="2:24" ht="15" customHeight="1" thickBot="1" x14ac:dyDescent="0.25">
      <c r="B129" s="1278"/>
      <c r="C129" s="774" t="str">
        <f>$C$30</f>
        <v>from 2nd module in Inner zone</v>
      </c>
      <c r="D129" s="299">
        <f>IF('wind load calc'!$C$21='wind load calc'!$B$96,L129,IF('wind load calc'!$C$21='wind load calc'!$B$97,T129,"FEHLER"))</f>
        <v>0.13418500759721649</v>
      </c>
      <c r="E129" s="300">
        <f>IF('wind load calc'!$C$21='wind load calc'!$B$96,M129,IF('wind load calc'!$C$21='wind load calc'!$B$97,U129,"FEHLER"))</f>
        <v>0.01</v>
      </c>
      <c r="F129" s="300">
        <f>IF('wind load calc'!$C$21='wind load calc'!$B$96,N129,IF('wind load calc'!$C$21='wind load calc'!$B$97,V129,"FEHLER"))</f>
        <v>0.16312768143627443</v>
      </c>
      <c r="G129" s="301">
        <f>IF('wind load calc'!$C$21='wind load calc'!$B$96,O129,IF('wind load calc'!$C$21='wind load calc'!$B$97,W129,"FEHLER"))</f>
        <v>0.13455711153211133</v>
      </c>
      <c r="H129" s="312">
        <f>IF('wind load calc'!$C$21='wind load calc'!$B$96,P129,IF('wind load calc'!$C$21='wind load calc'!$B$97,X129,"FEHLER"))</f>
        <v>0.36703728323161744</v>
      </c>
      <c r="I129" s="214"/>
      <c r="J129" s="1278"/>
      <c r="K129" s="774" t="str">
        <f>$C$30</f>
        <v>from 2nd module in Inner zone</v>
      </c>
      <c r="L129" s="299">
        <v>0.13418500759721649</v>
      </c>
      <c r="M129" s="300">
        <v>0.01</v>
      </c>
      <c r="N129" s="300">
        <v>0.16312768143627443</v>
      </c>
      <c r="O129" s="301">
        <v>0.13455711153211133</v>
      </c>
      <c r="P129" s="312">
        <v>0.36703728323161744</v>
      </c>
      <c r="R129" s="1278"/>
      <c r="S129" s="774" t="str">
        <f>$C$30</f>
        <v>from 2nd module in Inner zone</v>
      </c>
      <c r="T129" s="299">
        <v>0.2</v>
      </c>
      <c r="U129" s="300">
        <v>0.01</v>
      </c>
      <c r="V129" s="300">
        <v>0.16</v>
      </c>
      <c r="W129" s="301">
        <f t="shared" si="28"/>
        <v>0.20024984394500789</v>
      </c>
      <c r="X129" s="312">
        <v>0.36</v>
      </c>
    </row>
    <row r="130" spans="2:24" ht="15" customHeight="1" x14ac:dyDescent="0.25">
      <c r="B130" s="215"/>
      <c r="C130" s="216"/>
      <c r="D130" s="288"/>
      <c r="E130" s="288"/>
      <c r="F130" s="288"/>
      <c r="G130" s="288"/>
      <c r="H130" s="288"/>
      <c r="J130" s="215"/>
      <c r="K130" s="216"/>
      <c r="L130" s="288"/>
      <c r="M130" s="288"/>
      <c r="N130" s="288"/>
      <c r="O130" s="288"/>
      <c r="P130" s="288"/>
      <c r="R130" s="215"/>
      <c r="S130" s="216"/>
      <c r="T130" s="288"/>
      <c r="U130" s="288"/>
      <c r="V130" s="288"/>
      <c r="W130" s="288"/>
      <c r="X130" s="288"/>
    </row>
    <row r="131" spans="2:24" ht="15" customHeight="1" x14ac:dyDescent="0.25">
      <c r="B131" s="215"/>
      <c r="C131" s="216"/>
      <c r="D131" s="288"/>
      <c r="E131" s="288"/>
      <c r="F131" s="288"/>
      <c r="G131" s="288"/>
      <c r="H131" s="288"/>
      <c r="J131" s="215"/>
      <c r="K131" s="216"/>
      <c r="L131" s="288"/>
      <c r="M131" s="288"/>
      <c r="N131" s="288"/>
      <c r="O131" s="288"/>
      <c r="P131" s="288"/>
      <c r="R131" s="215"/>
      <c r="S131" s="216"/>
      <c r="T131" s="288"/>
      <c r="U131" s="288"/>
      <c r="V131" s="288"/>
      <c r="W131" s="288"/>
      <c r="X131" s="288"/>
    </row>
    <row r="132" spans="2:24" ht="15" customHeight="1" x14ac:dyDescent="0.25">
      <c r="C132" s="488"/>
      <c r="D132" s="288"/>
      <c r="E132" s="288"/>
      <c r="F132" s="288"/>
      <c r="G132" s="288"/>
      <c r="H132" s="288"/>
      <c r="K132" s="488"/>
      <c r="L132" s="288"/>
      <c r="M132" s="288"/>
      <c r="N132" s="288"/>
      <c r="O132" s="288"/>
      <c r="P132" s="288"/>
      <c r="S132" s="488"/>
      <c r="T132" s="288"/>
      <c r="U132" s="288"/>
      <c r="V132" s="288"/>
      <c r="W132" s="288"/>
      <c r="X132" s="288"/>
    </row>
    <row r="133" spans="2:24" ht="15" customHeight="1" thickBot="1" x14ac:dyDescent="0.3">
      <c r="B133" s="210" t="str">
        <f>IF($F$9="Deutsch","Kraftbeiwerte cF 4 Module pro Säule",IF($F$9="English","Force coefficients cF 4 modules per column","Fehler"))</f>
        <v>Force coefficients cF 4 modules per column</v>
      </c>
      <c r="C133" s="488"/>
      <c r="D133" s="288"/>
      <c r="E133" s="288"/>
      <c r="F133" s="288"/>
      <c r="G133" s="288"/>
      <c r="H133" s="288"/>
      <c r="J133" s="210" t="str">
        <f>IF($F$9="Deutsch","Kraftbeiwerte cF 4 Module pro Säule",IF($F$9="English","Force coefficients cF 4 modules per column","Fehler"))</f>
        <v>Force coefficients cF 4 modules per column</v>
      </c>
      <c r="K133" s="488"/>
      <c r="L133" s="288"/>
      <c r="M133" s="288"/>
      <c r="N133" s="288"/>
      <c r="O133" s="288"/>
      <c r="P133" s="288"/>
      <c r="R133" s="210" t="str">
        <f>IF($F$9="Deutsch","Kraftbeiwerte cF 4 Module pro Säule",IF($F$9="English","Force coefficients cF 4 modules per column","Fehler"))</f>
        <v>Force coefficients cF 4 modules per column</v>
      </c>
      <c r="S133" s="488"/>
      <c r="T133" s="288"/>
      <c r="U133" s="288"/>
      <c r="V133" s="288"/>
      <c r="W133" s="288"/>
      <c r="X133" s="288"/>
    </row>
    <row r="134" spans="2:24" ht="15" customHeight="1" thickBot="1" x14ac:dyDescent="0.3">
      <c r="C134" s="488"/>
      <c r="D134" s="1275" t="str">
        <f>$D$26</f>
        <v>Sliding</v>
      </c>
      <c r="E134" s="1276"/>
      <c r="F134" s="1276"/>
      <c r="G134" s="1276"/>
      <c r="H134" s="308" t="str">
        <f>$H$26</f>
        <v>Uplift</v>
      </c>
      <c r="K134" s="488"/>
      <c r="L134" s="1275" t="str">
        <f>$D$26</f>
        <v>Sliding</v>
      </c>
      <c r="M134" s="1276"/>
      <c r="N134" s="1276"/>
      <c r="O134" s="1276"/>
      <c r="P134" s="308" t="str">
        <f>$H$26</f>
        <v>Uplift</v>
      </c>
      <c r="S134" s="488"/>
      <c r="T134" s="1275" t="str">
        <f>$D$26</f>
        <v>Sliding</v>
      </c>
      <c r="U134" s="1276"/>
      <c r="V134" s="1276"/>
      <c r="W134" s="1276"/>
      <c r="X134" s="308" t="str">
        <f>$H$26</f>
        <v>Uplift</v>
      </c>
    </row>
    <row r="135" spans="2:24" ht="15" customHeight="1" thickBot="1" x14ac:dyDescent="0.3">
      <c r="C135" s="488"/>
      <c r="D135" s="290" t="s">
        <v>58</v>
      </c>
      <c r="E135" s="291" t="s">
        <v>59</v>
      </c>
      <c r="F135" s="291" t="s">
        <v>60</v>
      </c>
      <c r="G135" s="292" t="s">
        <v>61</v>
      </c>
      <c r="H135" s="309" t="s">
        <v>60</v>
      </c>
      <c r="K135" s="488"/>
      <c r="L135" s="290" t="s">
        <v>58</v>
      </c>
      <c r="M135" s="291" t="s">
        <v>59</v>
      </c>
      <c r="N135" s="291" t="s">
        <v>60</v>
      </c>
      <c r="O135" s="292" t="s">
        <v>61</v>
      </c>
      <c r="P135" s="309" t="s">
        <v>60</v>
      </c>
      <c r="S135" s="488"/>
      <c r="T135" s="290" t="s">
        <v>58</v>
      </c>
      <c r="U135" s="291" t="s">
        <v>59</v>
      </c>
      <c r="V135" s="291" t="s">
        <v>60</v>
      </c>
      <c r="W135" s="292" t="s">
        <v>61</v>
      </c>
      <c r="X135" s="309" t="s">
        <v>60</v>
      </c>
    </row>
    <row r="136" spans="2:24" ht="15" customHeight="1" x14ac:dyDescent="0.2">
      <c r="B136" s="1273" t="str">
        <f>$B$28</f>
        <v>1st and 2nd outer row</v>
      </c>
      <c r="C136" s="275" t="str">
        <f>$C$28</f>
        <v>Outer zone</v>
      </c>
      <c r="D136" s="293">
        <f>IF('wind load calc'!$C$21='wind load calc'!$B$96,L136,IF('wind load calc'!$C$21='wind load calc'!$B$97,T136,"FEHLER"))</f>
        <v>0.14089425797707733</v>
      </c>
      <c r="E136" s="294">
        <f>IF('wind load calc'!$C$21='wind load calc'!$B$96,M136,IF('wind load calc'!$C$21='wind load calc'!$B$97,U136,"FEHLER"))</f>
        <v>0.01</v>
      </c>
      <c r="F136" s="294">
        <f>IF('wind load calc'!$C$21='wind load calc'!$B$96,N136,IF('wind load calc'!$C$21='wind load calc'!$B$97,V136,"FEHLER"))</f>
        <v>6.117288053860287E-2</v>
      </c>
      <c r="G136" s="295">
        <f>IF('wind load calc'!$C$21='wind load calc'!$B$96,O136,IF('wind load calc'!$C$21='wind load calc'!$B$97,W136,"FEHLER"))</f>
        <v>0.14124868824492218</v>
      </c>
      <c r="H136" s="310">
        <f>IF('wind load calc'!$C$21='wind load calc'!$B$96,P136,IF('wind load calc'!$C$21='wind load calc'!$B$97,X136,"FEHLER"))</f>
        <v>0.30586440269301451</v>
      </c>
      <c r="I136" s="213"/>
      <c r="J136" s="1273" t="str">
        <f>$B$28</f>
        <v>1st and 2nd outer row</v>
      </c>
      <c r="K136" s="275" t="str">
        <f>$C$28</f>
        <v>Outer zone</v>
      </c>
      <c r="L136" s="293">
        <v>0.14089425797707733</v>
      </c>
      <c r="M136" s="294">
        <v>0.01</v>
      </c>
      <c r="N136" s="294">
        <v>6.117288053860287E-2</v>
      </c>
      <c r="O136" s="295">
        <v>0.14124868824492218</v>
      </c>
      <c r="P136" s="310">
        <v>0.30586440269301451</v>
      </c>
      <c r="R136" s="1273" t="str">
        <f>$B$28</f>
        <v>1st and 2nd outer row</v>
      </c>
      <c r="S136" s="275" t="str">
        <f>$C$28</f>
        <v>Outer zone</v>
      </c>
      <c r="T136" s="293">
        <v>0.21000000000000002</v>
      </c>
      <c r="U136" s="294">
        <v>0.01</v>
      </c>
      <c r="V136" s="294">
        <v>6.0000000000000005E-2</v>
      </c>
      <c r="W136" s="295">
        <f t="shared" ref="W136:W141" si="29">SQRT(T136^2+U136^2)</f>
        <v>0.2102379604162864</v>
      </c>
      <c r="X136" s="310">
        <v>0.3</v>
      </c>
    </row>
    <row r="137" spans="2:24" ht="15" customHeight="1" x14ac:dyDescent="0.2">
      <c r="B137" s="1274"/>
      <c r="C137" s="685" t="str">
        <f>$C$29</f>
        <v>1st module in Inner zone</v>
      </c>
      <c r="D137" s="681">
        <f>IF('wind load calc'!$C$21='wind load calc'!$B$96,L137,IF('wind load calc'!$C$21='wind load calc'!$B$97,T137,"FEHLER"))</f>
        <v>0.14089425797707733</v>
      </c>
      <c r="E137" s="682">
        <f>IF('wind load calc'!$C$21='wind load calc'!$B$96,M137,IF('wind load calc'!$C$21='wind load calc'!$B$97,U137,"FEHLER"))</f>
        <v>0.01</v>
      </c>
      <c r="F137" s="682">
        <f>IF('wind load calc'!$C$21='wind load calc'!$B$96,N137,IF('wind load calc'!$C$21='wind load calc'!$B$97,V137,"FEHLER"))</f>
        <v>6.117288053860287E-2</v>
      </c>
      <c r="G137" s="683">
        <f>IF('wind load calc'!$C$21='wind load calc'!$B$96,O137,IF('wind load calc'!$C$21='wind load calc'!$B$97,W137,"FEHLER"))</f>
        <v>0.14124868824492218</v>
      </c>
      <c r="H137" s="684">
        <f>IF('wind load calc'!$C$21='wind load calc'!$B$96,P137,IF('wind load calc'!$C$21='wind load calc'!$B$97,X137,"FEHLER"))</f>
        <v>0.30586440269301451</v>
      </c>
      <c r="I137" s="213"/>
      <c r="J137" s="1274"/>
      <c r="K137" s="685" t="str">
        <f>$C$29</f>
        <v>1st module in Inner zone</v>
      </c>
      <c r="L137" s="681">
        <v>0.14089425797707733</v>
      </c>
      <c r="M137" s="682">
        <v>0.01</v>
      </c>
      <c r="N137" s="682">
        <v>6.117288053860287E-2</v>
      </c>
      <c r="O137" s="683">
        <v>0.14124868824492218</v>
      </c>
      <c r="P137" s="684">
        <v>0.30586440269301451</v>
      </c>
      <c r="R137" s="1274"/>
      <c r="S137" s="685" t="str">
        <f>$C$29</f>
        <v>1st module in Inner zone</v>
      </c>
      <c r="T137" s="681">
        <v>0.21000000000000002</v>
      </c>
      <c r="U137" s="682">
        <v>0.01</v>
      </c>
      <c r="V137" s="682">
        <v>6.0000000000000005E-2</v>
      </c>
      <c r="W137" s="683">
        <f t="shared" si="29"/>
        <v>0.2102379604162864</v>
      </c>
      <c r="X137" s="684">
        <v>0.3</v>
      </c>
    </row>
    <row r="138" spans="2:24" ht="15" customHeight="1" thickBot="1" x14ac:dyDescent="0.25">
      <c r="B138" s="1278"/>
      <c r="C138" s="773" t="str">
        <f>$C$30</f>
        <v>from 2nd module in Inner zone</v>
      </c>
      <c r="D138" s="296">
        <f>IF('wind load calc'!$C$21='wind load calc'!$B$96,L138,IF('wind load calc'!$C$21='wind load calc'!$B$97,T138,"FEHLER"))</f>
        <v>4.0255502279164954E-2</v>
      </c>
      <c r="E138" s="297">
        <f>IF('wind load calc'!$C$21='wind load calc'!$B$96,M138,IF('wind load calc'!$C$21='wind load calc'!$B$97,U138,"FEHLER"))</f>
        <v>0.01</v>
      </c>
      <c r="F138" s="297">
        <f>IF('wind load calc'!$C$21='wind load calc'!$B$96,N138,IF('wind load calc'!$C$21='wind load calc'!$B$97,V138,"FEHLER"))</f>
        <v>0.1733231615260416</v>
      </c>
      <c r="G138" s="298">
        <f>IF('wind load calc'!$C$21='wind load calc'!$B$96,O138,IF('wind load calc'!$C$21='wind load calc'!$B$97,W138,"FEHLER"))</f>
        <v>4.1478976165617382E-2</v>
      </c>
      <c r="H138" s="311">
        <f>IF('wind load calc'!$C$21='wind load calc'!$B$96,P138,IF('wind load calc'!$C$21='wind load calc'!$B$97,X138,"FEHLER"))</f>
        <v>0.21410508188511018</v>
      </c>
      <c r="I138" s="214"/>
      <c r="J138" s="1278"/>
      <c r="K138" s="773" t="str">
        <f>$C$30</f>
        <v>from 2nd module in Inner zone</v>
      </c>
      <c r="L138" s="296">
        <v>4.0255502279164954E-2</v>
      </c>
      <c r="M138" s="297">
        <v>0.01</v>
      </c>
      <c r="N138" s="297">
        <v>0.1733231615260416</v>
      </c>
      <c r="O138" s="298">
        <v>4.1478976165617382E-2</v>
      </c>
      <c r="P138" s="311">
        <v>0.21410508188511018</v>
      </c>
      <c r="R138" s="1278"/>
      <c r="S138" s="773" t="str">
        <f>$C$30</f>
        <v>from 2nd module in Inner zone</v>
      </c>
      <c r="T138" s="296">
        <v>6.0000000000000005E-2</v>
      </c>
      <c r="U138" s="297">
        <v>0.01</v>
      </c>
      <c r="V138" s="297">
        <v>0.17</v>
      </c>
      <c r="W138" s="298">
        <f t="shared" si="29"/>
        <v>6.0827625302982205E-2</v>
      </c>
      <c r="X138" s="311">
        <v>0.21000000000000002</v>
      </c>
    </row>
    <row r="139" spans="2:24" ht="15" customHeight="1" x14ac:dyDescent="0.2">
      <c r="B139" s="1273" t="str">
        <f>$B$31</f>
        <v>Inner rows</v>
      </c>
      <c r="C139" s="275" t="str">
        <f>$C$28</f>
        <v>Outer zone</v>
      </c>
      <c r="D139" s="293">
        <f>IF('wind load calc'!$C$21='wind load calc'!$B$96,L139,IF('wind load calc'!$C$21='wind load calc'!$B$97,T139,"FEHLER"))</f>
        <v>9.4529485385291517E-2</v>
      </c>
      <c r="E139" s="294">
        <f>IF('wind load calc'!$C$21='wind load calc'!$B$96,M139,IF('wind load calc'!$C$21='wind load calc'!$B$97,U139,"FEHLER"))</f>
        <v>0.01</v>
      </c>
      <c r="F139" s="294">
        <f>IF('wind load calc'!$C$21='wind load calc'!$B$96,N139,IF('wind load calc'!$C$21='wind load calc'!$B$97,V139,"FEHLER"))</f>
        <v>6.2368688556503016E-2</v>
      </c>
      <c r="G139" s="295">
        <f>IF('wind load calc'!$C$21='wind load calc'!$B$96,O139,IF('wind load calc'!$C$21='wind load calc'!$B$97,W139,"FEHLER"))</f>
        <v>9.5056949284142517E-2</v>
      </c>
      <c r="H139" s="310">
        <f>IF('wind load calc'!$C$21='wind load calc'!$B$96,P139,IF('wind load calc'!$C$21='wind load calc'!$B$97,X139,"FEHLER"))</f>
        <v>0.31184344278251513</v>
      </c>
      <c r="I139" s="214"/>
      <c r="J139" s="1273" t="str">
        <f>$B$31</f>
        <v>Inner rows</v>
      </c>
      <c r="K139" s="275" t="str">
        <f>$C$28</f>
        <v>Outer zone</v>
      </c>
      <c r="L139" s="293">
        <v>9.4529485385291517E-2</v>
      </c>
      <c r="M139" s="294">
        <v>0.01</v>
      </c>
      <c r="N139" s="294">
        <v>6.2368688556503016E-2</v>
      </c>
      <c r="O139" s="295">
        <v>9.5056949284142517E-2</v>
      </c>
      <c r="P139" s="310">
        <v>0.31184344278251513</v>
      </c>
      <c r="R139" s="1273" t="str">
        <f>$B$31</f>
        <v>Inner rows</v>
      </c>
      <c r="S139" s="275" t="str">
        <f>$C$28</f>
        <v>Outer zone</v>
      </c>
      <c r="T139" s="293">
        <f>$D$136</f>
        <v>0.14089425797707733</v>
      </c>
      <c r="U139" s="294">
        <f>$E$136</f>
        <v>0.01</v>
      </c>
      <c r="V139" s="294">
        <f>$F$136</f>
        <v>6.117288053860287E-2</v>
      </c>
      <c r="W139" s="295">
        <f t="shared" si="29"/>
        <v>0.14124868824492218</v>
      </c>
      <c r="X139" s="310">
        <f>$H$136</f>
        <v>0.30586440269301451</v>
      </c>
    </row>
    <row r="140" spans="2:24" ht="15" customHeight="1" x14ac:dyDescent="0.2">
      <c r="B140" s="1274"/>
      <c r="C140" s="685" t="str">
        <f>$C$29</f>
        <v>1st module in Inner zone</v>
      </c>
      <c r="D140" s="681">
        <f>IF('wind load calc'!$C$21='wind load calc'!$B$96,L140,IF('wind load calc'!$C$21='wind load calc'!$B$97,T140,"FEHLER"))</f>
        <v>9.4529485385291517E-2</v>
      </c>
      <c r="E140" s="682">
        <f>IF('wind load calc'!$C$21='wind load calc'!$B$96,M140,IF('wind load calc'!$C$21='wind load calc'!$B$97,U140,"FEHLER"))</f>
        <v>0.01</v>
      </c>
      <c r="F140" s="682">
        <f>IF('wind load calc'!$C$21='wind load calc'!$B$96,N140,IF('wind load calc'!$C$21='wind load calc'!$B$97,V140,"FEHLER"))</f>
        <v>6.2368688556503016E-2</v>
      </c>
      <c r="G140" s="683">
        <f>IF('wind load calc'!$C$21='wind load calc'!$B$96,O140,IF('wind load calc'!$C$21='wind load calc'!$B$97,W140,"FEHLER"))</f>
        <v>9.5056949284142517E-2</v>
      </c>
      <c r="H140" s="684">
        <f>IF('wind load calc'!$C$21='wind load calc'!$B$96,P140,IF('wind load calc'!$C$21='wind load calc'!$B$97,X140,"FEHLER"))</f>
        <v>0.31184344278251513</v>
      </c>
      <c r="I140" s="214"/>
      <c r="J140" s="1274"/>
      <c r="K140" s="685" t="str">
        <f>$C$29</f>
        <v>1st module in Inner zone</v>
      </c>
      <c r="L140" s="681">
        <v>9.4529485385291517E-2</v>
      </c>
      <c r="M140" s="682">
        <v>0.01</v>
      </c>
      <c r="N140" s="682">
        <v>6.2368688556503016E-2</v>
      </c>
      <c r="O140" s="683">
        <v>9.5056949284142517E-2</v>
      </c>
      <c r="P140" s="684">
        <v>0.31184344278251513</v>
      </c>
      <c r="R140" s="1274"/>
      <c r="S140" s="685" t="str">
        <f>$C$29</f>
        <v>1st module in Inner zone</v>
      </c>
      <c r="T140" s="681">
        <f>$D$137</f>
        <v>0.14089425797707733</v>
      </c>
      <c r="U140" s="682">
        <f>$E$137</f>
        <v>0.01</v>
      </c>
      <c r="V140" s="682">
        <f>$F$137</f>
        <v>6.117288053860287E-2</v>
      </c>
      <c r="W140" s="683">
        <f t="shared" si="29"/>
        <v>0.14124868824492218</v>
      </c>
      <c r="X140" s="684">
        <f>$H$137</f>
        <v>0.30586440269301451</v>
      </c>
    </row>
    <row r="141" spans="2:24" ht="15" customHeight="1" thickBot="1" x14ac:dyDescent="0.25">
      <c r="B141" s="1278"/>
      <c r="C141" s="774" t="str">
        <f>$C$30</f>
        <v>from 2nd module in Inner zone</v>
      </c>
      <c r="D141" s="299">
        <f>IF('wind load calc'!$C$21='wind load calc'!$B$96,L141,IF('wind load calc'!$C$21='wind load calc'!$B$97,T141,"FEHLER"))</f>
        <v>2.7008424395797568E-2</v>
      </c>
      <c r="E141" s="300">
        <f>IF('wind load calc'!$C$21='wind load calc'!$B$96,M141,IF('wind load calc'!$C$21='wind load calc'!$B$97,U141,"FEHLER"))</f>
        <v>0.01</v>
      </c>
      <c r="F141" s="300">
        <f>IF('wind load calc'!$C$21='wind load calc'!$B$96,N141,IF('wind load calc'!$C$21='wind load calc'!$B$97,V141,"FEHLER"))</f>
        <v>0.17671128424342528</v>
      </c>
      <c r="G141" s="301">
        <f>IF('wind load calc'!$C$21='wind load calc'!$B$96,O141,IF('wind load calc'!$C$21='wind load calc'!$B$97,W141,"FEHLER"))</f>
        <v>2.880026021312157E-2</v>
      </c>
      <c r="H141" s="312">
        <f>IF('wind load calc'!$C$21='wind load calc'!$B$96,P141,IF('wind load calc'!$C$21='wind load calc'!$B$97,X141,"FEHLER"))</f>
        <v>0.21829040994776064</v>
      </c>
      <c r="I141" s="214"/>
      <c r="J141" s="1278"/>
      <c r="K141" s="774" t="str">
        <f>$C$30</f>
        <v>from 2nd module in Inner zone</v>
      </c>
      <c r="L141" s="299">
        <v>2.7008424395797568E-2</v>
      </c>
      <c r="M141" s="300">
        <v>0.01</v>
      </c>
      <c r="N141" s="300">
        <v>0.17671128424342528</v>
      </c>
      <c r="O141" s="301">
        <v>2.880026021312157E-2</v>
      </c>
      <c r="P141" s="312">
        <v>0.21829040994776064</v>
      </c>
      <c r="R141" s="1278"/>
      <c r="S141" s="774" t="str">
        <f>$C$30</f>
        <v>from 2nd module in Inner zone</v>
      </c>
      <c r="T141" s="299">
        <f>$D$138</f>
        <v>4.0255502279164954E-2</v>
      </c>
      <c r="U141" s="300">
        <f>$E$138</f>
        <v>0.01</v>
      </c>
      <c r="V141" s="300">
        <f>$F$138</f>
        <v>0.1733231615260416</v>
      </c>
      <c r="W141" s="301">
        <f t="shared" si="29"/>
        <v>4.1478976165617382E-2</v>
      </c>
      <c r="X141" s="312">
        <f>$H$138</f>
        <v>0.21410508188511018</v>
      </c>
    </row>
    <row r="142" spans="2:24" ht="15" customHeight="1" x14ac:dyDescent="0.25">
      <c r="C142" s="488"/>
      <c r="D142" s="288"/>
      <c r="E142" s="288"/>
      <c r="F142" s="288"/>
      <c r="G142" s="288"/>
      <c r="H142" s="288"/>
      <c r="K142" s="488"/>
      <c r="L142" s="288"/>
      <c r="M142" s="288"/>
      <c r="N142" s="288"/>
      <c r="O142" s="288"/>
      <c r="P142" s="288"/>
      <c r="S142" s="488"/>
      <c r="T142" s="288"/>
      <c r="U142" s="288"/>
      <c r="V142" s="288"/>
      <c r="W142" s="288"/>
      <c r="X142" s="288"/>
    </row>
    <row r="143" spans="2:24" ht="15" customHeight="1" x14ac:dyDescent="0.25">
      <c r="C143" s="488"/>
      <c r="D143" s="288"/>
      <c r="E143" s="288"/>
      <c r="F143" s="288"/>
      <c r="G143" s="288"/>
      <c r="H143" s="288"/>
      <c r="K143" s="488"/>
      <c r="L143" s="288"/>
      <c r="M143" s="288"/>
      <c r="N143" s="288"/>
      <c r="O143" s="288"/>
      <c r="P143" s="288"/>
      <c r="S143" s="488"/>
      <c r="T143" s="288"/>
      <c r="U143" s="288"/>
      <c r="V143" s="288"/>
      <c r="W143" s="288"/>
      <c r="X143" s="288"/>
    </row>
    <row r="144" spans="2:24" ht="15" customHeight="1" x14ac:dyDescent="0.25">
      <c r="C144" s="488"/>
      <c r="D144" s="288"/>
      <c r="E144" s="288"/>
      <c r="F144" s="288"/>
      <c r="G144" s="288"/>
      <c r="H144" s="288"/>
      <c r="K144" s="488"/>
      <c r="L144" s="288"/>
      <c r="M144" s="288"/>
      <c r="N144" s="288"/>
      <c r="O144" s="288"/>
      <c r="P144" s="288"/>
      <c r="S144" s="488"/>
      <c r="T144" s="288"/>
      <c r="U144" s="288"/>
      <c r="V144" s="288"/>
      <c r="W144" s="288"/>
      <c r="X144" s="288"/>
    </row>
    <row r="145" spans="2:24" ht="15" customHeight="1" thickBot="1" x14ac:dyDescent="0.3">
      <c r="B145" s="210" t="str">
        <f>IF($F$9="Deutsch","Kraftbeiwerte cF 4 Module pro Reihe",IF($F$9="English","Force coefficients cF 4 modules per row","Fehler"))</f>
        <v>Force coefficients cF 4 modules per row</v>
      </c>
      <c r="C145" s="488"/>
      <c r="D145" s="288"/>
      <c r="E145" s="288"/>
      <c r="F145" s="288"/>
      <c r="G145" s="288"/>
      <c r="H145" s="288"/>
      <c r="J145" s="210" t="str">
        <f>IF($F$9="Deutsch","Kraftbeiwerte cF 4 Module pro Reihe",IF($F$9="English","Force coefficients cF 4 modules per row","Fehler"))</f>
        <v>Force coefficients cF 4 modules per row</v>
      </c>
      <c r="K145" s="488"/>
      <c r="L145" s="288"/>
      <c r="M145" s="288"/>
      <c r="N145" s="288"/>
      <c r="O145" s="288"/>
      <c r="P145" s="288"/>
      <c r="R145" s="210" t="str">
        <f>IF($F$9="Deutsch","Kraftbeiwerte cF 4 Module pro Reihe",IF($F$9="English","Force coefficients cF 4 modules per row","Fehler"))</f>
        <v>Force coefficients cF 4 modules per row</v>
      </c>
      <c r="S145" s="488"/>
      <c r="T145" s="288"/>
      <c r="U145" s="288"/>
      <c r="V145" s="288"/>
      <c r="W145" s="288"/>
      <c r="X145" s="288"/>
    </row>
    <row r="146" spans="2:24" ht="15" customHeight="1" thickBot="1" x14ac:dyDescent="0.3">
      <c r="C146" s="488"/>
      <c r="D146" s="1275" t="str">
        <f>$D$26</f>
        <v>Sliding</v>
      </c>
      <c r="E146" s="1276"/>
      <c r="F146" s="1276"/>
      <c r="G146" s="1276"/>
      <c r="H146" s="308" t="str">
        <f>$H$26</f>
        <v>Uplift</v>
      </c>
      <c r="K146" s="488"/>
      <c r="L146" s="1275" t="str">
        <f>$D$26</f>
        <v>Sliding</v>
      </c>
      <c r="M146" s="1276"/>
      <c r="N146" s="1276"/>
      <c r="O146" s="1276"/>
      <c r="P146" s="308" t="str">
        <f>$H$26</f>
        <v>Uplift</v>
      </c>
      <c r="S146" s="488"/>
      <c r="T146" s="1275" t="str">
        <f>$D$26</f>
        <v>Sliding</v>
      </c>
      <c r="U146" s="1276"/>
      <c r="V146" s="1276"/>
      <c r="W146" s="1276"/>
      <c r="X146" s="308" t="str">
        <f>$H$26</f>
        <v>Uplift</v>
      </c>
    </row>
    <row r="147" spans="2:24" ht="15" customHeight="1" thickBot="1" x14ac:dyDescent="0.3">
      <c r="C147" s="488"/>
      <c r="D147" s="290" t="s">
        <v>58</v>
      </c>
      <c r="E147" s="291" t="s">
        <v>59</v>
      </c>
      <c r="F147" s="291" t="s">
        <v>60</v>
      </c>
      <c r="G147" s="292" t="s">
        <v>61</v>
      </c>
      <c r="H147" s="309" t="s">
        <v>60</v>
      </c>
      <c r="K147" s="488"/>
      <c r="L147" s="290" t="s">
        <v>58</v>
      </c>
      <c r="M147" s="291" t="s">
        <v>59</v>
      </c>
      <c r="N147" s="291" t="s">
        <v>60</v>
      </c>
      <c r="O147" s="292" t="s">
        <v>61</v>
      </c>
      <c r="P147" s="309" t="s">
        <v>60</v>
      </c>
      <c r="S147" s="488"/>
      <c r="T147" s="290" t="s">
        <v>58</v>
      </c>
      <c r="U147" s="291" t="s">
        <v>59</v>
      </c>
      <c r="V147" s="291" t="s">
        <v>60</v>
      </c>
      <c r="W147" s="292" t="s">
        <v>61</v>
      </c>
      <c r="X147" s="309" t="s">
        <v>60</v>
      </c>
    </row>
    <row r="148" spans="2:24" ht="15" customHeight="1" x14ac:dyDescent="0.2">
      <c r="B148" s="1273" t="str">
        <f>$B$28</f>
        <v>1st and 2nd outer row</v>
      </c>
      <c r="C148" s="275" t="str">
        <f>$C$28</f>
        <v>Outer zone</v>
      </c>
      <c r="D148" s="293">
        <f>IF('wind load calc'!$C$21='wind load calc'!$B$96,L148,IF('wind load calc'!$C$21='wind load calc'!$B$97,T148,"FEHLER"))</f>
        <v>6.0383253418747423E-2</v>
      </c>
      <c r="E148" s="294">
        <f>IF('wind load calc'!$C$21='wind load calc'!$B$96,M148,IF('wind load calc'!$C$21='wind load calc'!$B$97,U148,"FEHLER"))</f>
        <v>0.01</v>
      </c>
      <c r="F148" s="294">
        <f>IF('wind load calc'!$C$21='wind load calc'!$B$96,N148,IF('wind load calc'!$C$21='wind load calc'!$B$97,V148,"FEHLER"))</f>
        <v>0.26508248233394593</v>
      </c>
      <c r="G148" s="295">
        <f>IF('wind load calc'!$C$21='wind load calc'!$B$96,O148,IF('wind load calc'!$C$21='wind load calc'!$B$97,W148,"FEHLER"))</f>
        <v>6.1205696576647768E-2</v>
      </c>
      <c r="H148" s="310">
        <f>IF('wind load calc'!$C$21='wind load calc'!$B$96,P148,IF('wind load calc'!$C$21='wind load calc'!$B$97,X148,"FEHLER"))</f>
        <v>0.30586440269301451</v>
      </c>
      <c r="J148" s="1273" t="str">
        <f>$B$28</f>
        <v>1st and 2nd outer row</v>
      </c>
      <c r="K148" s="275" t="str">
        <f>$C$28</f>
        <v>Outer zone</v>
      </c>
      <c r="L148" s="293">
        <v>6.0383253418747423E-2</v>
      </c>
      <c r="M148" s="294">
        <v>0.01</v>
      </c>
      <c r="N148" s="294">
        <v>0.26508248233394593</v>
      </c>
      <c r="O148" s="295">
        <v>6.1205696576647768E-2</v>
      </c>
      <c r="P148" s="310">
        <v>0.30586440269301451</v>
      </c>
      <c r="R148" s="1273" t="str">
        <f>$B$28</f>
        <v>1st and 2nd outer row</v>
      </c>
      <c r="S148" s="275" t="str">
        <f>$C$28</f>
        <v>Outer zone</v>
      </c>
      <c r="T148" s="293">
        <v>0.09</v>
      </c>
      <c r="U148" s="294">
        <v>0.01</v>
      </c>
      <c r="V148" s="294">
        <v>0.26</v>
      </c>
      <c r="W148" s="295">
        <f t="shared" ref="W148:W153" si="30">SQRT(T148^2+U148^2)</f>
        <v>9.0553851381374159E-2</v>
      </c>
      <c r="X148" s="310">
        <v>0.3</v>
      </c>
    </row>
    <row r="149" spans="2:24" ht="15" customHeight="1" x14ac:dyDescent="0.2">
      <c r="B149" s="1274"/>
      <c r="C149" s="685" t="str">
        <f>$C$29</f>
        <v>1st module in Inner zone</v>
      </c>
      <c r="D149" s="681">
        <f>IF('wind load calc'!$C$21='wind load calc'!$B$96,L149,IF('wind load calc'!$C$21='wind load calc'!$B$97,T149,"FEHLER"))</f>
        <v>2.0127751139582466E-2</v>
      </c>
      <c r="E149" s="682">
        <f>IF('wind load calc'!$C$21='wind load calc'!$B$96,M149,IF('wind load calc'!$C$21='wind load calc'!$B$97,U149,"FEHLER"))</f>
        <v>0.01</v>
      </c>
      <c r="F149" s="682">
        <f>IF('wind load calc'!$C$21='wind load calc'!$B$96,N149,IF('wind load calc'!$C$21='wind load calc'!$B$97,V149,"FEHLER"))</f>
        <v>0.28547344251348028</v>
      </c>
      <c r="G149" s="683">
        <f>IF('wind load calc'!$C$21='wind load calc'!$B$96,O149,IF('wind load calc'!$C$21='wind load calc'!$B$97,W149,"FEHLER"))</f>
        <v>2.2475016483574896E-2</v>
      </c>
      <c r="H149" s="684">
        <f>IF('wind load calc'!$C$21='wind load calc'!$B$96,P149,IF('wind load calc'!$C$21='wind load calc'!$B$97,X149,"FEHLER"))</f>
        <v>0.30586440269301451</v>
      </c>
      <c r="J149" s="1274"/>
      <c r="K149" s="685" t="str">
        <f>$C$29</f>
        <v>1st module in Inner zone</v>
      </c>
      <c r="L149" s="681">
        <v>2.0127751139582466E-2</v>
      </c>
      <c r="M149" s="682">
        <v>0.01</v>
      </c>
      <c r="N149" s="682">
        <v>0.28547344251348028</v>
      </c>
      <c r="O149" s="683">
        <v>2.2475016483574896E-2</v>
      </c>
      <c r="P149" s="684">
        <v>0.30586440269301451</v>
      </c>
      <c r="R149" s="1274"/>
      <c r="S149" s="685" t="str">
        <f>$C$29</f>
        <v>1st module in Inner zone</v>
      </c>
      <c r="T149" s="681">
        <v>0.03</v>
      </c>
      <c r="U149" s="682">
        <v>0.01</v>
      </c>
      <c r="V149" s="682">
        <v>0.28000000000000003</v>
      </c>
      <c r="W149" s="683">
        <f t="shared" si="30"/>
        <v>3.1622776601683791E-2</v>
      </c>
      <c r="X149" s="684">
        <v>0.3</v>
      </c>
    </row>
    <row r="150" spans="2:24" ht="15" customHeight="1" thickBot="1" x14ac:dyDescent="0.25">
      <c r="B150" s="1278"/>
      <c r="C150" s="773" t="str">
        <f>$C$30</f>
        <v>from 2nd module in Inner zone</v>
      </c>
      <c r="D150" s="296">
        <f>IF('wind load calc'!$C$21='wind load calc'!$B$96,L150,IF('wind load calc'!$C$21='wind load calc'!$B$97,T150,"FEHLER"))</f>
        <v>2.0127751139582466E-2</v>
      </c>
      <c r="E150" s="297">
        <f>IF('wind load calc'!$C$21='wind load calc'!$B$96,M150,IF('wind load calc'!$C$21='wind load calc'!$B$97,U150,"FEHLER"))</f>
        <v>0.01</v>
      </c>
      <c r="F150" s="297">
        <f>IF('wind load calc'!$C$21='wind load calc'!$B$96,N150,IF('wind load calc'!$C$21='wind load calc'!$B$97,V150,"FEHLER"))</f>
        <v>0.28547344251348028</v>
      </c>
      <c r="G150" s="298">
        <f>IF('wind load calc'!$C$21='wind load calc'!$B$96,O150,IF('wind load calc'!$C$21='wind load calc'!$B$97,W150,"FEHLER"))</f>
        <v>2.2475016483574896E-2</v>
      </c>
      <c r="H150" s="311">
        <f>IF('wind load calc'!$C$21='wind load calc'!$B$96,P150,IF('wind load calc'!$C$21='wind load calc'!$B$97,X150,"FEHLER"))</f>
        <v>0.30586440269301451</v>
      </c>
      <c r="J150" s="1278"/>
      <c r="K150" s="773" t="str">
        <f>$C$30</f>
        <v>from 2nd module in Inner zone</v>
      </c>
      <c r="L150" s="296">
        <v>2.0127751139582466E-2</v>
      </c>
      <c r="M150" s="297">
        <v>0.01</v>
      </c>
      <c r="N150" s="297">
        <v>0.28547344251348028</v>
      </c>
      <c r="O150" s="298">
        <v>2.2475016483574896E-2</v>
      </c>
      <c r="P150" s="311">
        <v>0.30586440269301451</v>
      </c>
      <c r="R150" s="1278"/>
      <c r="S150" s="773" t="str">
        <f>$C$30</f>
        <v>from 2nd module in Inner zone</v>
      </c>
      <c r="T150" s="296">
        <f>T149</f>
        <v>0.03</v>
      </c>
      <c r="U150" s="297">
        <f t="shared" ref="U150:V150" si="31">U149</f>
        <v>0.01</v>
      </c>
      <c r="V150" s="297">
        <f t="shared" si="31"/>
        <v>0.28000000000000003</v>
      </c>
      <c r="W150" s="298">
        <f t="shared" si="30"/>
        <v>3.1622776601683791E-2</v>
      </c>
      <c r="X150" s="311">
        <f>X149</f>
        <v>0.3</v>
      </c>
    </row>
    <row r="151" spans="2:24" ht="15" customHeight="1" x14ac:dyDescent="0.2">
      <c r="B151" s="1273" t="str">
        <f>$B$31</f>
        <v>Inner rows</v>
      </c>
      <c r="C151" s="275" t="str">
        <f>$C$28</f>
        <v>Outer zone</v>
      </c>
      <c r="D151" s="293">
        <f>IF('wind load calc'!$C$21='wind load calc'!$B$96,L151,IF('wind load calc'!$C$21='wind load calc'!$B$97,T151,"FEHLER"))</f>
        <v>6.7092503798608261E-2</v>
      </c>
      <c r="E151" s="294">
        <f>IF('wind load calc'!$C$21='wind load calc'!$B$96,M151,IF('wind load calc'!$C$21='wind load calc'!$B$97,U151,"FEHLER"))</f>
        <v>0.01</v>
      </c>
      <c r="F151" s="294">
        <f>IF('wind load calc'!$C$21='wind load calc'!$B$96,N151,IF('wind load calc'!$C$21='wind load calc'!$B$97,V151,"FEHLER"))</f>
        <v>0.14273672125674017</v>
      </c>
      <c r="G151" s="295">
        <f>IF('wind load calc'!$C$21='wind load calc'!$B$96,O151,IF('wind load calc'!$C$21='wind load calc'!$B$97,W151,"FEHLER"))</f>
        <v>6.7833649953148362E-2</v>
      </c>
      <c r="H151" s="310">
        <f>IF('wind load calc'!$C$21='wind load calc'!$B$96,P151,IF('wind load calc'!$C$21='wind load calc'!$B$97,X151,"FEHLER"))</f>
        <v>0.25488700224417876</v>
      </c>
      <c r="J151" s="1273" t="str">
        <f>$B$31</f>
        <v>Inner rows</v>
      </c>
      <c r="K151" s="275" t="str">
        <f>$C$28</f>
        <v>Outer zone</v>
      </c>
      <c r="L151" s="293">
        <v>6.7092503798608261E-2</v>
      </c>
      <c r="M151" s="294">
        <v>0.01</v>
      </c>
      <c r="N151" s="294">
        <v>0.14273672125674017</v>
      </c>
      <c r="O151" s="295">
        <v>6.7833649953148362E-2</v>
      </c>
      <c r="P151" s="310">
        <v>0.25488700224417876</v>
      </c>
      <c r="R151" s="1273" t="str">
        <f>$B$31</f>
        <v>Inner rows</v>
      </c>
      <c r="S151" s="275" t="str">
        <f>$C$28</f>
        <v>Outer zone</v>
      </c>
      <c r="T151" s="293">
        <v>0.1</v>
      </c>
      <c r="U151" s="294">
        <v>0.01</v>
      </c>
      <c r="V151" s="294">
        <v>0.14000000000000001</v>
      </c>
      <c r="W151" s="295">
        <f t="shared" si="30"/>
        <v>0.10049875621120891</v>
      </c>
      <c r="X151" s="310">
        <v>0.25</v>
      </c>
    </row>
    <row r="152" spans="2:24" ht="15" customHeight="1" x14ac:dyDescent="0.2">
      <c r="B152" s="1274"/>
      <c r="C152" s="685" t="str">
        <f>$C$29</f>
        <v>1st module in Inner zone</v>
      </c>
      <c r="D152" s="681">
        <f>IF('wind load calc'!$C$21='wind load calc'!$B$96,L152,IF('wind load calc'!$C$21='wind load calc'!$B$97,T152,"FEHLER"))</f>
        <v>2.0127751139582463E-2</v>
      </c>
      <c r="E152" s="682">
        <f>IF('wind load calc'!$C$21='wind load calc'!$B$96,M152,IF('wind load calc'!$C$21='wind load calc'!$B$97,U152,"FEHLER"))</f>
        <v>0.01</v>
      </c>
      <c r="F152" s="682">
        <f>IF('wind load calc'!$C$21='wind load calc'!$B$96,N152,IF('wind load calc'!$C$21='wind load calc'!$B$97,V152,"FEHLER"))</f>
        <v>0.24469152215441159</v>
      </c>
      <c r="G152" s="683">
        <f>IF('wind load calc'!$C$21='wind load calc'!$B$96,O152,IF('wind load calc'!$C$21='wind load calc'!$B$97,W152,"FEHLER"))</f>
        <v>2.2475016483574892E-2</v>
      </c>
      <c r="H152" s="684">
        <f>IF('wind load calc'!$C$21='wind load calc'!$B$96,P152,IF('wind load calc'!$C$21='wind load calc'!$B$97,X152,"FEHLER"))</f>
        <v>0.25488700224417876</v>
      </c>
      <c r="J152" s="1274"/>
      <c r="K152" s="685" t="str">
        <f>$C$29</f>
        <v>1st module in Inner zone</v>
      </c>
      <c r="L152" s="681">
        <v>2.0127751139582463E-2</v>
      </c>
      <c r="M152" s="682">
        <v>0.01</v>
      </c>
      <c r="N152" s="682">
        <v>0.24469152215441159</v>
      </c>
      <c r="O152" s="683">
        <v>2.2475016483574892E-2</v>
      </c>
      <c r="P152" s="684">
        <v>0.25488700224417876</v>
      </c>
      <c r="R152" s="1274"/>
      <c r="S152" s="685" t="str">
        <f>$C$29</f>
        <v>1st module in Inner zone</v>
      </c>
      <c r="T152" s="681">
        <v>0.03</v>
      </c>
      <c r="U152" s="682">
        <v>0.01</v>
      </c>
      <c r="V152" s="682">
        <v>0.24</v>
      </c>
      <c r="W152" s="683">
        <f t="shared" si="30"/>
        <v>3.1622776601683791E-2</v>
      </c>
      <c r="X152" s="684">
        <v>0.25</v>
      </c>
    </row>
    <row r="153" spans="2:24" ht="15" customHeight="1" thickBot="1" x14ac:dyDescent="0.25">
      <c r="B153" s="1278"/>
      <c r="C153" s="774" t="str">
        <f>$C$30</f>
        <v>from 2nd module in Inner zone</v>
      </c>
      <c r="D153" s="299">
        <f>IF('wind load calc'!$C$21='wind load calc'!$B$96,L153,IF('wind load calc'!$C$21='wind load calc'!$B$97,T153,"FEHLER"))</f>
        <v>2.0127751139582463E-2</v>
      </c>
      <c r="E153" s="300">
        <f>IF('wind load calc'!$C$21='wind load calc'!$B$96,M153,IF('wind load calc'!$C$21='wind load calc'!$B$97,U153,"FEHLER"))</f>
        <v>0.01</v>
      </c>
      <c r="F153" s="300">
        <f>IF('wind load calc'!$C$21='wind load calc'!$B$96,N153,IF('wind load calc'!$C$21='wind load calc'!$B$97,V153,"FEHLER"))</f>
        <v>0.24469152215441159</v>
      </c>
      <c r="G153" s="301">
        <f>IF('wind load calc'!$C$21='wind load calc'!$B$96,O153,IF('wind load calc'!$C$21='wind load calc'!$B$97,W153,"FEHLER"))</f>
        <v>2.2475016483574892E-2</v>
      </c>
      <c r="H153" s="312">
        <f>IF('wind load calc'!$C$21='wind load calc'!$B$96,P153,IF('wind load calc'!$C$21='wind load calc'!$B$97,X153,"FEHLER"))</f>
        <v>0.25488700224417876</v>
      </c>
      <c r="J153" s="1278"/>
      <c r="K153" s="774" t="str">
        <f>$C$30</f>
        <v>from 2nd module in Inner zone</v>
      </c>
      <c r="L153" s="299">
        <v>2.0127751139582463E-2</v>
      </c>
      <c r="M153" s="300">
        <v>0.01</v>
      </c>
      <c r="N153" s="300">
        <v>0.24469152215441159</v>
      </c>
      <c r="O153" s="301">
        <v>2.2475016483574892E-2</v>
      </c>
      <c r="P153" s="312">
        <v>0.25488700224417876</v>
      </c>
      <c r="R153" s="1278"/>
      <c r="S153" s="774" t="str">
        <f>$C$30</f>
        <v>from 2nd module in Inner zone</v>
      </c>
      <c r="T153" s="299">
        <f>T152</f>
        <v>0.03</v>
      </c>
      <c r="U153" s="300">
        <f t="shared" ref="U153:V153" si="32">U152</f>
        <v>0.01</v>
      </c>
      <c r="V153" s="300">
        <f t="shared" si="32"/>
        <v>0.24</v>
      </c>
      <c r="W153" s="301">
        <f t="shared" si="30"/>
        <v>3.1622776601683791E-2</v>
      </c>
      <c r="X153" s="312">
        <f>X152</f>
        <v>0.25</v>
      </c>
    </row>
    <row r="154" spans="2:24" ht="15" customHeight="1" x14ac:dyDescent="0.25">
      <c r="B154" s="215"/>
      <c r="C154" s="216"/>
      <c r="D154" s="288"/>
      <c r="E154" s="288"/>
      <c r="F154" s="288"/>
      <c r="G154" s="288"/>
      <c r="H154" s="288"/>
      <c r="J154" s="215"/>
      <c r="K154" s="216"/>
      <c r="L154" s="288"/>
      <c r="M154" s="288"/>
      <c r="N154" s="288"/>
      <c r="O154" s="288"/>
      <c r="P154" s="288"/>
      <c r="R154" s="215"/>
      <c r="S154" s="216"/>
      <c r="T154" s="288"/>
      <c r="U154" s="288"/>
      <c r="V154" s="288"/>
      <c r="W154" s="288"/>
      <c r="X154" s="288"/>
    </row>
    <row r="155" spans="2:24" ht="15" customHeight="1" x14ac:dyDescent="0.25">
      <c r="B155" s="215"/>
      <c r="C155" s="216"/>
      <c r="D155" s="288"/>
      <c r="E155" s="288"/>
      <c r="F155" s="288"/>
      <c r="G155" s="288"/>
      <c r="H155" s="288"/>
      <c r="J155" s="215"/>
      <c r="K155" s="216"/>
      <c r="L155" s="288"/>
      <c r="M155" s="288"/>
      <c r="N155" s="288"/>
      <c r="O155" s="288"/>
      <c r="P155" s="288"/>
      <c r="R155" s="215"/>
      <c r="S155" s="216"/>
      <c r="T155" s="288"/>
      <c r="U155" s="288"/>
      <c r="V155" s="288"/>
      <c r="W155" s="288"/>
      <c r="X155" s="288"/>
    </row>
    <row r="156" spans="2:24" ht="15" customHeight="1" x14ac:dyDescent="0.25">
      <c r="C156" s="488"/>
      <c r="D156" s="288"/>
      <c r="E156" s="288"/>
      <c r="F156" s="288"/>
      <c r="G156" s="288"/>
      <c r="H156" s="288"/>
      <c r="K156" s="488"/>
      <c r="L156" s="288"/>
      <c r="M156" s="288"/>
      <c r="N156" s="288"/>
      <c r="O156" s="288"/>
      <c r="P156" s="288"/>
      <c r="S156" s="488"/>
      <c r="T156" s="288"/>
      <c r="U156" s="288"/>
      <c r="V156" s="288"/>
      <c r="W156" s="288"/>
      <c r="X156" s="288"/>
    </row>
    <row r="157" spans="2:24" ht="15" customHeight="1" thickBot="1" x14ac:dyDescent="0.3">
      <c r="B157" s="210" t="str">
        <f>IF($F$9="Deutsch","Kraftbeiwerte cF 4x4 Module",IF($F$9="English","Force coefficients cF 4x4 modules","Fehler"))</f>
        <v>Force coefficients cF 4x4 modules</v>
      </c>
      <c r="C157" s="488"/>
      <c r="D157" s="288"/>
      <c r="E157" s="288"/>
      <c r="F157" s="288"/>
      <c r="G157" s="288"/>
      <c r="H157" s="288"/>
      <c r="J157" s="210" t="str">
        <f>IF($F$9="Deutsch","Kraftbeiwerte cF 4x4 Module",IF($F$9="English","Force coefficients cF 4x4 modules","Fehler"))</f>
        <v>Force coefficients cF 4x4 modules</v>
      </c>
      <c r="K157" s="488"/>
      <c r="L157" s="288"/>
      <c r="M157" s="288"/>
      <c r="N157" s="288"/>
      <c r="O157" s="288"/>
      <c r="P157" s="288"/>
      <c r="R157" s="210" t="str">
        <f>IF($F$9="Deutsch","Kraftbeiwerte cF 4x4 Module",IF($F$9="English","Force coefficients cF 4x4 modules","Fehler"))</f>
        <v>Force coefficients cF 4x4 modules</v>
      </c>
      <c r="S157" s="488"/>
      <c r="T157" s="288"/>
      <c r="U157" s="288"/>
      <c r="V157" s="288"/>
      <c r="W157" s="288"/>
      <c r="X157" s="288"/>
    </row>
    <row r="158" spans="2:24" ht="15" customHeight="1" thickBot="1" x14ac:dyDescent="0.3">
      <c r="C158" s="488"/>
      <c r="D158" s="1275" t="str">
        <f>$D$26</f>
        <v>Sliding</v>
      </c>
      <c r="E158" s="1276"/>
      <c r="F158" s="1276"/>
      <c r="G158" s="1276"/>
      <c r="H158" s="308" t="str">
        <f>$H$26</f>
        <v>Uplift</v>
      </c>
      <c r="K158" s="488"/>
      <c r="L158" s="1275" t="str">
        <f>$D$26</f>
        <v>Sliding</v>
      </c>
      <c r="M158" s="1276"/>
      <c r="N158" s="1276"/>
      <c r="O158" s="1276"/>
      <c r="P158" s="308" t="str">
        <f>$H$26</f>
        <v>Uplift</v>
      </c>
      <c r="S158" s="488"/>
      <c r="T158" s="1275" t="str">
        <f>$D$26</f>
        <v>Sliding</v>
      </c>
      <c r="U158" s="1276"/>
      <c r="V158" s="1276"/>
      <c r="W158" s="1276"/>
      <c r="X158" s="308" t="str">
        <f>$H$26</f>
        <v>Uplift</v>
      </c>
    </row>
    <row r="159" spans="2:24" ht="15" customHeight="1" thickBot="1" x14ac:dyDescent="0.3">
      <c r="C159" s="488"/>
      <c r="D159" s="290" t="s">
        <v>82</v>
      </c>
      <c r="E159" s="291" t="s">
        <v>79</v>
      </c>
      <c r="F159" s="291" t="s">
        <v>80</v>
      </c>
      <c r="G159" s="292" t="s">
        <v>81</v>
      </c>
      <c r="H159" s="309" t="s">
        <v>80</v>
      </c>
      <c r="K159" s="488"/>
      <c r="L159" s="290" t="s">
        <v>82</v>
      </c>
      <c r="M159" s="291" t="s">
        <v>79</v>
      </c>
      <c r="N159" s="291" t="s">
        <v>80</v>
      </c>
      <c r="O159" s="292" t="s">
        <v>81</v>
      </c>
      <c r="P159" s="309" t="s">
        <v>80</v>
      </c>
      <c r="S159" s="488"/>
      <c r="T159" s="290" t="s">
        <v>82</v>
      </c>
      <c r="U159" s="291" t="s">
        <v>79</v>
      </c>
      <c r="V159" s="291" t="s">
        <v>80</v>
      </c>
      <c r="W159" s="292" t="s">
        <v>81</v>
      </c>
      <c r="X159" s="309" t="s">
        <v>80</v>
      </c>
    </row>
    <row r="160" spans="2:24" ht="15" customHeight="1" x14ac:dyDescent="0.2">
      <c r="B160" s="1273" t="str">
        <f>$B$28</f>
        <v>1st and 2nd outer row</v>
      </c>
      <c r="C160" s="275" t="str">
        <f>$C$28</f>
        <v>Outer zone</v>
      </c>
      <c r="D160" s="293">
        <f>IF('wind load calc'!$C$21='wind load calc'!$B$96,L160,IF('wind load calc'!$C$21='wind load calc'!$B$97,T160,"FEHLER"))</f>
        <v>6.7092503798608261E-2</v>
      </c>
      <c r="E160" s="294">
        <f>IF('wind load calc'!$C$21='wind load calc'!$B$96,M160,IF('wind load calc'!$C$21='wind load calc'!$B$97,U160,"FEHLER"))</f>
        <v>0.01</v>
      </c>
      <c r="F160" s="294">
        <f>IF('wind load calc'!$C$21='wind load calc'!$B$96,N160,IF('wind load calc'!$C$21='wind load calc'!$B$97,V160,"FEHLER"))</f>
        <v>3.0586440269301463E-2</v>
      </c>
      <c r="G160" s="295">
        <f>IF('wind load calc'!$C$21='wind load calc'!$B$96,O160,IF('wind load calc'!$C$21='wind load calc'!$B$97,W160,"FEHLER"))</f>
        <v>6.7833649953148362E-2</v>
      </c>
      <c r="H160" s="310">
        <f>IF('wind load calc'!$C$21='wind load calc'!$B$96,P160,IF('wind load calc'!$C$21='wind load calc'!$B$97,X160,"FEHLER"))</f>
        <v>0.16312768143627443</v>
      </c>
      <c r="J160" s="1273" t="str">
        <f>$B$28</f>
        <v>1st and 2nd outer row</v>
      </c>
      <c r="K160" s="275" t="str">
        <f>$C$28</f>
        <v>Outer zone</v>
      </c>
      <c r="L160" s="293">
        <v>6.7092503798608261E-2</v>
      </c>
      <c r="M160" s="294">
        <v>0.01</v>
      </c>
      <c r="N160" s="294">
        <v>3.0586440269301463E-2</v>
      </c>
      <c r="O160" s="295">
        <v>6.7833649953148362E-2</v>
      </c>
      <c r="P160" s="310">
        <v>0.16312768143627443</v>
      </c>
      <c r="R160" s="1273" t="str">
        <f>$B$28</f>
        <v>1st and 2nd outer row</v>
      </c>
      <c r="S160" s="275" t="str">
        <f>$C$28</f>
        <v>Outer zone</v>
      </c>
      <c r="T160" s="293">
        <v>9.9999999999999992E-2</v>
      </c>
      <c r="U160" s="294">
        <v>0.01</v>
      </c>
      <c r="V160" s="294">
        <v>0.03</v>
      </c>
      <c r="W160" s="295">
        <f t="shared" ref="W160:W165" si="33">SQRT(T160^2+U160^2)</f>
        <v>0.10049875621120889</v>
      </c>
      <c r="X160" s="310">
        <v>0.16</v>
      </c>
    </row>
    <row r="161" spans="2:24" ht="15" customHeight="1" x14ac:dyDescent="0.2">
      <c r="B161" s="1274"/>
      <c r="C161" s="685" t="str">
        <f>$C$29</f>
        <v>1st module in Inner zone</v>
      </c>
      <c r="D161" s="681">
        <f>IF('wind load calc'!$C$21='wind load calc'!$B$96,L161,IF('wind load calc'!$C$21='wind load calc'!$B$97,T161,"FEHLER"))</f>
        <v>5.3674003038886607E-2</v>
      </c>
      <c r="E161" s="682">
        <f>IF('wind load calc'!$C$21='wind load calc'!$B$96,M161,IF('wind load calc'!$C$21='wind load calc'!$B$97,U161,"FEHLER"))</f>
        <v>0.01</v>
      </c>
      <c r="F161" s="682">
        <f>IF('wind load calc'!$C$21='wind load calc'!$B$96,N161,IF('wind load calc'!$C$21='wind load calc'!$B$97,V161,"FEHLER"))</f>
        <v>6.1172880538602925E-2</v>
      </c>
      <c r="G161" s="683">
        <f>IF('wind load calc'!$C$21='wind load calc'!$B$96,O161,IF('wind load calc'!$C$21='wind load calc'!$B$97,W161,"FEHLER"))</f>
        <v>5.4597606194946025E-2</v>
      </c>
      <c r="H161" s="684">
        <f>IF('wind load calc'!$C$21='wind load calc'!$B$96,P161,IF('wind load calc'!$C$21='wind load calc'!$B$97,X161,"FEHLER"))</f>
        <v>0.16312768143627443</v>
      </c>
      <c r="J161" s="1274"/>
      <c r="K161" s="685" t="str">
        <f>$C$29</f>
        <v>1st module in Inner zone</v>
      </c>
      <c r="L161" s="681">
        <v>5.3674003038886607E-2</v>
      </c>
      <c r="M161" s="682">
        <v>0.01</v>
      </c>
      <c r="N161" s="682">
        <v>6.1172880538602925E-2</v>
      </c>
      <c r="O161" s="683">
        <v>5.4597606194946025E-2</v>
      </c>
      <c r="P161" s="684">
        <v>0.16312768143627443</v>
      </c>
      <c r="R161" s="1274"/>
      <c r="S161" s="685" t="str">
        <f>$C$29</f>
        <v>1st module in Inner zone</v>
      </c>
      <c r="T161" s="681">
        <v>0.08</v>
      </c>
      <c r="U161" s="682">
        <v>0.01</v>
      </c>
      <c r="V161" s="682">
        <v>6.0000000000000005E-2</v>
      </c>
      <c r="W161" s="683">
        <f t="shared" si="33"/>
        <v>8.06225774829855E-2</v>
      </c>
      <c r="X161" s="684">
        <v>0.16</v>
      </c>
    </row>
    <row r="162" spans="2:24" ht="15" customHeight="1" thickBot="1" x14ac:dyDescent="0.25">
      <c r="B162" s="1278"/>
      <c r="C162" s="773" t="str">
        <f>$C$30</f>
        <v>from 2nd module in Inner zone</v>
      </c>
      <c r="D162" s="296">
        <f>IF('wind load calc'!$C$21='wind load calc'!$B$96,L162,IF('wind load calc'!$C$21='wind load calc'!$B$97,T162,"FEHLER"))</f>
        <v>5.3674003038886607E-2</v>
      </c>
      <c r="E162" s="297">
        <f>IF('wind load calc'!$C$21='wind load calc'!$B$96,M162,IF('wind load calc'!$C$21='wind load calc'!$B$97,U162,"FEHLER"))</f>
        <v>0.01</v>
      </c>
      <c r="F162" s="297">
        <f>IF('wind load calc'!$C$21='wind load calc'!$B$96,N162,IF('wind load calc'!$C$21='wind load calc'!$B$97,V162,"FEHLER"))</f>
        <v>6.1172880538602925E-2</v>
      </c>
      <c r="G162" s="298">
        <f>IF('wind load calc'!$C$21='wind load calc'!$B$96,O162,IF('wind load calc'!$C$21='wind load calc'!$B$97,W162,"FEHLER"))</f>
        <v>5.4597606194946025E-2</v>
      </c>
      <c r="H162" s="311">
        <f>IF('wind load calc'!$C$21='wind load calc'!$B$96,P162,IF('wind load calc'!$C$21='wind load calc'!$B$97,X162,"FEHLER"))</f>
        <v>0.16312768143627443</v>
      </c>
      <c r="J162" s="1278"/>
      <c r="K162" s="773" t="str">
        <f>$C$30</f>
        <v>from 2nd module in Inner zone</v>
      </c>
      <c r="L162" s="296">
        <v>5.3674003038886607E-2</v>
      </c>
      <c r="M162" s="297">
        <v>0.01</v>
      </c>
      <c r="N162" s="297">
        <v>6.1172880538602925E-2</v>
      </c>
      <c r="O162" s="298">
        <v>5.4597606194946025E-2</v>
      </c>
      <c r="P162" s="311">
        <v>0.16312768143627443</v>
      </c>
      <c r="R162" s="1278"/>
      <c r="S162" s="773" t="str">
        <f>$C$30</f>
        <v>from 2nd module in Inner zone</v>
      </c>
      <c r="T162" s="296">
        <f>T161</f>
        <v>0.08</v>
      </c>
      <c r="U162" s="297">
        <f t="shared" ref="U162:V162" si="34">U161</f>
        <v>0.01</v>
      </c>
      <c r="V162" s="297">
        <f t="shared" si="34"/>
        <v>6.0000000000000005E-2</v>
      </c>
      <c r="W162" s="298">
        <f t="shared" si="33"/>
        <v>8.06225774829855E-2</v>
      </c>
      <c r="X162" s="311">
        <f>X161</f>
        <v>0.16</v>
      </c>
    </row>
    <row r="163" spans="2:24" ht="15" customHeight="1" x14ac:dyDescent="0.2">
      <c r="B163" s="1273" t="str">
        <f>$B$31</f>
        <v>Inner rows</v>
      </c>
      <c r="C163" s="275" t="str">
        <f>$C$28</f>
        <v>Outer zone</v>
      </c>
      <c r="D163" s="293">
        <f>IF('wind load calc'!$C$21='wind load calc'!$B$96,L163,IF('wind load calc'!$C$21='wind load calc'!$B$97,T163,"FEHLER"))</f>
        <v>4.5014040659662635E-2</v>
      </c>
      <c r="E163" s="294">
        <f>IF('wind load calc'!$C$21='wind load calc'!$B$96,M163,IF('wind load calc'!$C$21='wind load calc'!$B$97,U163,"FEHLER"))</f>
        <v>0.01</v>
      </c>
      <c r="F163" s="294">
        <f>IF('wind load calc'!$C$21='wind load calc'!$B$96,N163,IF('wind load calc'!$C$21='wind load calc'!$B$97,V163,"FEHLER"))</f>
        <v>3.1184344278251563E-2</v>
      </c>
      <c r="G163" s="295">
        <f>IF('wind load calc'!$C$21='wind load calc'!$B$96,O163,IF('wind load calc'!$C$21='wind load calc'!$B$97,W163,"FEHLER"))</f>
        <v>4.6111428697338808E-2</v>
      </c>
      <c r="H163" s="310">
        <f>IF('wind load calc'!$C$21='wind load calc'!$B$96,P163,IF('wind load calc'!$C$21='wind load calc'!$B$97,X163,"FEHLER"))</f>
        <v>0.16631650281734145</v>
      </c>
      <c r="J163" s="1273" t="str">
        <f>$B$31</f>
        <v>Inner rows</v>
      </c>
      <c r="K163" s="275" t="str">
        <f>$C$28</f>
        <v>Outer zone</v>
      </c>
      <c r="L163" s="293">
        <v>4.5014040659662635E-2</v>
      </c>
      <c r="M163" s="294">
        <v>0.01</v>
      </c>
      <c r="N163" s="294">
        <v>3.1184344278251563E-2</v>
      </c>
      <c r="O163" s="295">
        <v>4.6111428697338808E-2</v>
      </c>
      <c r="P163" s="310">
        <v>0.16631650281734145</v>
      </c>
      <c r="R163" s="1273" t="str">
        <f>$B$31</f>
        <v>Inner rows</v>
      </c>
      <c r="S163" s="275" t="str">
        <f>$C$28</f>
        <v>Outer zone</v>
      </c>
      <c r="T163" s="293">
        <f>$D$160</f>
        <v>6.7092503798608261E-2</v>
      </c>
      <c r="U163" s="294">
        <f>$E$160</f>
        <v>0.01</v>
      </c>
      <c r="V163" s="294">
        <f>$F$160</f>
        <v>3.0586440269301463E-2</v>
      </c>
      <c r="W163" s="295">
        <f t="shared" si="33"/>
        <v>6.7833649953148362E-2</v>
      </c>
      <c r="X163" s="310">
        <f>$H$160</f>
        <v>0.16312768143627443</v>
      </c>
    </row>
    <row r="164" spans="2:24" ht="15" customHeight="1" x14ac:dyDescent="0.2">
      <c r="B164" s="1274"/>
      <c r="C164" s="685" t="str">
        <f>$C$29</f>
        <v>1st module in Inner zone</v>
      </c>
      <c r="D164" s="681">
        <f>IF('wind load calc'!$C$21='wind load calc'!$B$96,L164,IF('wind load calc'!$C$21='wind load calc'!$B$97,T164,"FEHLER"))</f>
        <v>3.6011232527730107E-2</v>
      </c>
      <c r="E164" s="682">
        <f>IF('wind load calc'!$C$21='wind load calc'!$B$96,M164,IF('wind load calc'!$C$21='wind load calc'!$B$97,U164,"FEHLER"))</f>
        <v>0.01</v>
      </c>
      <c r="F164" s="682">
        <f>IF('wind load calc'!$C$21='wind load calc'!$B$96,N164,IF('wind load calc'!$C$21='wind load calc'!$B$97,V164,"FEHLER"))</f>
        <v>6.2368688556503044E-2</v>
      </c>
      <c r="G164" s="683">
        <f>IF('wind load calc'!$C$21='wind load calc'!$B$96,O164,IF('wind load calc'!$C$21='wind load calc'!$B$97,W164,"FEHLER"))</f>
        <v>3.7373906247089653E-2</v>
      </c>
      <c r="H164" s="684">
        <f>IF('wind load calc'!$C$21='wind load calc'!$B$96,P164,IF('wind load calc'!$C$21='wind load calc'!$B$97,X164,"FEHLER"))</f>
        <v>0.16631650281734145</v>
      </c>
      <c r="J164" s="1274"/>
      <c r="K164" s="685" t="str">
        <f>$C$29</f>
        <v>1st module in Inner zone</v>
      </c>
      <c r="L164" s="681">
        <v>3.6011232527730107E-2</v>
      </c>
      <c r="M164" s="682">
        <v>0.01</v>
      </c>
      <c r="N164" s="682">
        <v>6.2368688556503044E-2</v>
      </c>
      <c r="O164" s="683">
        <v>3.7373906247089653E-2</v>
      </c>
      <c r="P164" s="684">
        <v>0.16631650281734145</v>
      </c>
      <c r="R164" s="1274"/>
      <c r="S164" s="685" t="str">
        <f>$C$29</f>
        <v>1st module in Inner zone</v>
      </c>
      <c r="T164" s="681">
        <f>$D$161</f>
        <v>5.3674003038886607E-2</v>
      </c>
      <c r="U164" s="682">
        <f>$E$161</f>
        <v>0.01</v>
      </c>
      <c r="V164" s="682">
        <f>$F$161</f>
        <v>6.1172880538602925E-2</v>
      </c>
      <c r="W164" s="683">
        <f t="shared" si="33"/>
        <v>5.4597606194946025E-2</v>
      </c>
      <c r="X164" s="684">
        <f>$H$161</f>
        <v>0.16312768143627443</v>
      </c>
    </row>
    <row r="165" spans="2:24" ht="15" customHeight="1" thickBot="1" x14ac:dyDescent="0.25">
      <c r="B165" s="1278"/>
      <c r="C165" s="774" t="str">
        <f>$C$30</f>
        <v>from 2nd module in Inner zone</v>
      </c>
      <c r="D165" s="299">
        <f>IF('wind load calc'!$C$21='wind load calc'!$B$96,L165,IF('wind load calc'!$C$21='wind load calc'!$B$97,T165,"FEHLER"))</f>
        <v>3.6011232527730107E-2</v>
      </c>
      <c r="E165" s="300">
        <f>IF('wind load calc'!$C$21='wind load calc'!$B$96,M165,IF('wind load calc'!$C$21='wind load calc'!$B$97,U165,"FEHLER"))</f>
        <v>0.01</v>
      </c>
      <c r="F165" s="300">
        <f>IF('wind load calc'!$C$21='wind load calc'!$B$96,N165,IF('wind load calc'!$C$21='wind load calc'!$B$97,V165,"FEHLER"))</f>
        <v>6.2368688556503044E-2</v>
      </c>
      <c r="G165" s="301">
        <f>IF('wind load calc'!$C$21='wind load calc'!$B$96,O165,IF('wind load calc'!$C$21='wind load calc'!$B$97,W165,"FEHLER"))</f>
        <v>3.7373906247089653E-2</v>
      </c>
      <c r="H165" s="312">
        <f>IF('wind load calc'!$C$21='wind load calc'!$B$96,P165,IF('wind load calc'!$C$21='wind load calc'!$B$97,X165,"FEHLER"))</f>
        <v>0.16631650281734145</v>
      </c>
      <c r="J165" s="1278"/>
      <c r="K165" s="774" t="str">
        <f>$C$30</f>
        <v>from 2nd module in Inner zone</v>
      </c>
      <c r="L165" s="299">
        <v>3.6011232527730107E-2</v>
      </c>
      <c r="M165" s="300">
        <v>0.01</v>
      </c>
      <c r="N165" s="300">
        <v>6.2368688556503044E-2</v>
      </c>
      <c r="O165" s="301">
        <v>3.7373906247089653E-2</v>
      </c>
      <c r="P165" s="312">
        <v>0.16631650281734145</v>
      </c>
      <c r="R165" s="1278"/>
      <c r="S165" s="774" t="str">
        <f>$C$30</f>
        <v>from 2nd module in Inner zone</v>
      </c>
      <c r="T165" s="299">
        <f>$D$162</f>
        <v>5.3674003038886607E-2</v>
      </c>
      <c r="U165" s="300">
        <f>$E$162</f>
        <v>0.01</v>
      </c>
      <c r="V165" s="300">
        <f>$F$162</f>
        <v>6.1172880538602925E-2</v>
      </c>
      <c r="W165" s="301">
        <f t="shared" si="33"/>
        <v>5.4597606194946025E-2</v>
      </c>
      <c r="X165" s="312">
        <f>$H$162</f>
        <v>0.16312768143627443</v>
      </c>
    </row>
    <row r="169" spans="2:24" ht="15" customHeight="1" thickBot="1" x14ac:dyDescent="0.3">
      <c r="B169" s="210" t="str">
        <f>IF($F$9="Deutsch","Kraftbeiwerte für große Felder",IF($F$9="English","Force coefficients for large arrays","Fehler"))</f>
        <v>Force coefficients for large arrays</v>
      </c>
      <c r="J169" s="210" t="str">
        <f>IF($F$9="Deutsch","Kraftbeiwerte für große Felder",IF($F$9="English","Force coefficients for large arrays","Fehler"))</f>
        <v>Force coefficients for large arrays</v>
      </c>
      <c r="R169" s="210" t="str">
        <f>IF($F$9="Deutsch","Kraftbeiwerte für große Felder",IF($F$9="English","Force coefficients for large arrays","Fehler"))</f>
        <v>Force coefficients for large arrays</v>
      </c>
    </row>
    <row r="170" spans="2:24" ht="15" customHeight="1" thickBot="1" x14ac:dyDescent="0.3">
      <c r="D170" s="1275" t="str">
        <f>$D$26</f>
        <v>Sliding</v>
      </c>
      <c r="E170" s="1276"/>
      <c r="F170" s="1276"/>
      <c r="G170" s="1277"/>
      <c r="H170" s="308" t="str">
        <f>$H$26</f>
        <v>Uplift</v>
      </c>
      <c r="L170" s="1275" t="str">
        <f>$D$26</f>
        <v>Sliding</v>
      </c>
      <c r="M170" s="1276"/>
      <c r="N170" s="1276"/>
      <c r="O170" s="1277"/>
      <c r="P170" s="308" t="str">
        <f>$H$26</f>
        <v>Uplift</v>
      </c>
      <c r="T170" s="1275" t="str">
        <f>$D$26</f>
        <v>Sliding</v>
      </c>
      <c r="U170" s="1276"/>
      <c r="V170" s="1276"/>
      <c r="W170" s="1277"/>
      <c r="X170" s="308" t="str">
        <f>$H$26</f>
        <v>Uplift</v>
      </c>
    </row>
    <row r="171" spans="2:24" ht="15" customHeight="1" thickBot="1" x14ac:dyDescent="0.3">
      <c r="D171" s="290" t="s">
        <v>48</v>
      </c>
      <c r="E171" s="291" t="s">
        <v>49</v>
      </c>
      <c r="F171" s="291" t="s">
        <v>50</v>
      </c>
      <c r="G171" s="292" t="s">
        <v>51</v>
      </c>
      <c r="H171" s="518" t="s">
        <v>50</v>
      </c>
      <c r="L171" s="290" t="s">
        <v>48</v>
      </c>
      <c r="M171" s="291" t="s">
        <v>49</v>
      </c>
      <c r="N171" s="291" t="s">
        <v>50</v>
      </c>
      <c r="O171" s="292" t="s">
        <v>51</v>
      </c>
      <c r="P171" s="518" t="s">
        <v>50</v>
      </c>
      <c r="T171" s="290" t="s">
        <v>48</v>
      </c>
      <c r="U171" s="291" t="s">
        <v>49</v>
      </c>
      <c r="V171" s="291" t="s">
        <v>50</v>
      </c>
      <c r="W171" s="292" t="s">
        <v>51</v>
      </c>
      <c r="X171" s="518" t="s">
        <v>50</v>
      </c>
    </row>
    <row r="172" spans="2:24" ht="15" customHeight="1" thickBot="1" x14ac:dyDescent="0.3">
      <c r="B172" s="1285" t="str">
        <f>IF($F$9="Deutsch","Große Felder",IF($F$9="English","Large Arrays","Fehler"))</f>
        <v>Large Arrays</v>
      </c>
      <c r="C172" s="1286"/>
      <c r="D172" s="563">
        <f>IF('wind load calc'!$C$21='wind load calc'!$B$96,L172,IF('wind load calc'!$C$21='wind load calc'!$B$97,T172,"FEHLER"))</f>
        <v>1.3418500759721652E-2</v>
      </c>
      <c r="E172" s="564">
        <f>IF('wind load calc'!$C$21='wind load calc'!$B$96,M172,IF('wind load calc'!$C$21='wind load calc'!$B$97,U172,"FEHLER"))</f>
        <v>0.01</v>
      </c>
      <c r="F172" s="564">
        <f>IF('wind load calc'!$C$21='wind load calc'!$B$96,N172,IF('wind load calc'!$C$21='wind load calc'!$B$97,V172,"FEHLER"))</f>
        <v>0.10195480089767153</v>
      </c>
      <c r="G172" s="565">
        <f>IF('wind load calc'!$C$21='wind load calc'!$B$96,O172,IF('wind load calc'!$C$21='wind load calc'!$B$97,W172,"FEHLER"))</f>
        <v>1.6734878626349536E-2</v>
      </c>
      <c r="H172" s="566">
        <f>IF('wind load calc'!$C$21='wind load calc'!$B$96,P172,IF('wind load calc'!$C$21='wind load calc'!$B$97,X172,"FEHLER"))</f>
        <v>0.11215028098743868</v>
      </c>
      <c r="J172" s="1285" t="str">
        <f>IF($F$9="Deutsch","Große Felder",IF($F$9="English","Large Arrays","Fehler"))</f>
        <v>Large Arrays</v>
      </c>
      <c r="K172" s="1286"/>
      <c r="L172" s="563">
        <v>1.3418500759721652E-2</v>
      </c>
      <c r="M172" s="564">
        <v>0.01</v>
      </c>
      <c r="N172" s="564">
        <v>0.10195480089767153</v>
      </c>
      <c r="O172" s="565">
        <v>1.6734878626349536E-2</v>
      </c>
      <c r="P172" s="566">
        <v>0.11215028098743868</v>
      </c>
      <c r="R172" s="1285" t="str">
        <f>IF($F$9="Deutsch","Große Felder",IF($F$9="English","Large Arrays","Fehler"))</f>
        <v>Large Arrays</v>
      </c>
      <c r="S172" s="1286"/>
      <c r="T172" s="563">
        <v>0.02</v>
      </c>
      <c r="U172" s="564">
        <v>0.01</v>
      </c>
      <c r="V172" s="564">
        <v>0.1</v>
      </c>
      <c r="W172" s="565">
        <f t="shared" ref="W172" si="35">SQRT(T172^2+U172^2)</f>
        <v>2.2360679774997897E-2</v>
      </c>
      <c r="X172" s="566">
        <v>0.11</v>
      </c>
    </row>
    <row r="176" spans="2:24" ht="15" customHeight="1" x14ac:dyDescent="0.25">
      <c r="C176" s="216"/>
      <c r="D176" s="220"/>
      <c r="E176" s="220"/>
      <c r="F176" s="220"/>
      <c r="G176" s="220"/>
    </row>
    <row r="177" spans="2:7" ht="15" customHeight="1" x14ac:dyDescent="0.25">
      <c r="B177" s="221"/>
      <c r="C177" s="216"/>
      <c r="D177" s="220"/>
      <c r="E177" s="220"/>
      <c r="F177" s="220"/>
      <c r="G177" s="220"/>
    </row>
    <row r="179" spans="2:7" ht="15" customHeight="1" x14ac:dyDescent="0.25">
      <c r="D179" s="222"/>
      <c r="E179" s="222"/>
      <c r="F179" s="222"/>
      <c r="G179" s="222"/>
    </row>
    <row r="180" spans="2:7" ht="15" customHeight="1" x14ac:dyDescent="0.25">
      <c r="D180" s="222"/>
      <c r="E180" s="222"/>
      <c r="F180" s="222"/>
      <c r="G180" s="222"/>
    </row>
    <row r="181" spans="2:7" ht="15" customHeight="1" x14ac:dyDescent="0.25">
      <c r="D181" s="222"/>
      <c r="E181" s="222"/>
      <c r="F181" s="222"/>
      <c r="G181" s="222"/>
    </row>
    <row r="182" spans="2:7" ht="15" customHeight="1" x14ac:dyDescent="0.25">
      <c r="D182" s="222"/>
      <c r="E182" s="222"/>
      <c r="F182" s="222"/>
      <c r="G182" s="222"/>
    </row>
  </sheetData>
  <mergeCells count="71">
    <mergeCell ref="T170:W170"/>
    <mergeCell ref="R172:S172"/>
    <mergeCell ref="J160:J162"/>
    <mergeCell ref="J163:J165"/>
    <mergeCell ref="L170:O170"/>
    <mergeCell ref="J172:K172"/>
    <mergeCell ref="R160:R162"/>
    <mergeCell ref="R163:R165"/>
    <mergeCell ref="T122:W122"/>
    <mergeCell ref="R124:R126"/>
    <mergeCell ref="R127:R129"/>
    <mergeCell ref="T134:W134"/>
    <mergeCell ref="R136:R138"/>
    <mergeCell ref="R139:R141"/>
    <mergeCell ref="T146:W146"/>
    <mergeCell ref="R148:R150"/>
    <mergeCell ref="R151:R153"/>
    <mergeCell ref="T158:W158"/>
    <mergeCell ref="J139:J141"/>
    <mergeCell ref="L146:O146"/>
    <mergeCell ref="J148:J150"/>
    <mergeCell ref="J151:J153"/>
    <mergeCell ref="L158:O158"/>
    <mergeCell ref="L122:O122"/>
    <mergeCell ref="J124:J126"/>
    <mergeCell ref="J127:J129"/>
    <mergeCell ref="L134:O134"/>
    <mergeCell ref="J136:J138"/>
    <mergeCell ref="B163:B165"/>
    <mergeCell ref="D110:G110"/>
    <mergeCell ref="B112:B114"/>
    <mergeCell ref="B115:B117"/>
    <mergeCell ref="B127:B129"/>
    <mergeCell ref="D146:G146"/>
    <mergeCell ref="B139:B141"/>
    <mergeCell ref="B151:B153"/>
    <mergeCell ref="B172:C172"/>
    <mergeCell ref="B64:B66"/>
    <mergeCell ref="D170:G170"/>
    <mergeCell ref="B160:B162"/>
    <mergeCell ref="B88:B90"/>
    <mergeCell ref="D122:G122"/>
    <mergeCell ref="B136:B138"/>
    <mergeCell ref="D134:G134"/>
    <mergeCell ref="B124:B126"/>
    <mergeCell ref="D98:G98"/>
    <mergeCell ref="B100:B102"/>
    <mergeCell ref="B148:B150"/>
    <mergeCell ref="D158:G158"/>
    <mergeCell ref="B91:B93"/>
    <mergeCell ref="B103:B105"/>
    <mergeCell ref="B79:B81"/>
    <mergeCell ref="B5:I5"/>
    <mergeCell ref="C9:D9"/>
    <mergeCell ref="C10:D10"/>
    <mergeCell ref="C11:D11"/>
    <mergeCell ref="C12:D12"/>
    <mergeCell ref="D26:G26"/>
    <mergeCell ref="B28:B30"/>
    <mergeCell ref="D86:G86"/>
    <mergeCell ref="D50:G50"/>
    <mergeCell ref="B52:B54"/>
    <mergeCell ref="D38:G38"/>
    <mergeCell ref="B40:B42"/>
    <mergeCell ref="B76:B78"/>
    <mergeCell ref="D74:G74"/>
    <mergeCell ref="D62:G62"/>
    <mergeCell ref="B67:B69"/>
    <mergeCell ref="B31:B33"/>
    <mergeCell ref="B43:B45"/>
    <mergeCell ref="B55:B57"/>
  </mergeCells>
  <pageMargins left="0.75" right="0.75" top="1" bottom="1" header="0.4921259845" footer="0.4921259845"/>
  <pageSetup paperSize="9" scale="13" orientation="landscape" r:id="rId1"/>
  <headerFooter alignWithMargins="0"/>
  <ignoredErrors>
    <ignoredError sqref="C166:C171 C118:C123 C130:C135 C154:C159 C142:C147 C58:C63 G52 C46:C51 G112 C106:C111 G100 C94:C99 C82:C87 G76 C70:C75" formula="1"/>
  </ignoredErrors>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Eingabe</vt:lpstr>
      <vt:lpstr>building data</vt:lpstr>
      <vt:lpstr>wind load calc</vt:lpstr>
      <vt:lpstr>DIN EN 1991-1-4 (DE)</vt:lpstr>
      <vt:lpstr>Annex A.3</vt:lpstr>
      <vt:lpstr>ASCE 7-05 (US)</vt:lpstr>
      <vt:lpstr>ASCE 7-10 (US)</vt:lpstr>
      <vt:lpstr>internal presets fc</vt:lpstr>
      <vt:lpstr>'Annex A.3'!Print_Area</vt:lpstr>
      <vt:lpstr>'ASCE 7-05 (US)'!Print_Area</vt:lpstr>
      <vt:lpstr>'ASCE 7-10 (US)'!Print_Area</vt:lpstr>
      <vt:lpstr>'building data'!Print_Area</vt:lpstr>
      <vt:lpstr>Eingabe!Print_Area</vt:lpstr>
      <vt:lpstr>'wind load calc'!Print_Area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Rockstein</dc:creator>
  <cp:lastModifiedBy>Bassel Saridar</cp:lastModifiedBy>
  <cp:lastPrinted>2014-02-25T09:53:15Z</cp:lastPrinted>
  <dcterms:created xsi:type="dcterms:W3CDTF">2012-12-03T13:57:27Z</dcterms:created>
  <dcterms:modified xsi:type="dcterms:W3CDTF">2021-04-20T14:35:36Z</dcterms:modified>
</cp:coreProperties>
</file>